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1"/>
  <sheets>
    <sheet name="进度统计表" sheetId="1" r:id="rId3"/>
    <sheet name="透视表" sheetId="2" r:id="rId4"/>
    <sheet name="车控车设进展汇总" sheetId="3" r:id="rId5"/>
    <sheet name="【对接进度说明】" sheetId="4" r:id="rId6"/>
    <sheet name="车控" sheetId="5" r:id="rId7"/>
    <sheet name="系统设置" sheetId="6" r:id="rId8"/>
    <sheet name="通讯" sheetId="7" r:id="rId9"/>
    <sheet name="智能驾驶✅" sheetId="8" r:id="rId10"/>
    <sheet name="多媒体" sheetId="9" r:id="rId11"/>
    <sheet name="地图导航" sheetId="10" r:id="rId12"/>
    <sheet name="手车互联" sheetId="11" r:id="rId13"/>
    <sheet name="通用" sheetId="12" r:id="rId14"/>
    <sheet name="新增变更需求" sheetId="13" r:id="rId15"/>
    <sheet name="车控工具返回及NLG话术" sheetId="14" r:id="rId16"/>
    <sheet name="附件：语音打开应用" sheetId="15" r:id="rId17"/>
    <sheet name="附件：语音打开页面" sheetId="16" r:id="rId18"/>
    <sheet name="附件：语音关闭页面" sheetId="17" r:id="rId19"/>
    <sheet name="附件：语音关闭页面（副本）" sheetId="18" r:id="rId20"/>
    <sheet name="工作任务趋势分析" sheetId="19" r:id="rId21"/>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m月d日"/>
    <numFmt numFmtId="166" formatCode="0_);(0)"/>
    <numFmt numFmtId="167" formatCode="yyyy/m/d dddd"/>
    <numFmt numFmtId="168" formatCode="yyyy/m/d"/>
  </numFmts>
  <fonts count="29" x14ac:knownFonts="1">
    <font>
      <sz val="11"/>
      <color theme="1"/>
      <name val="Calibri"/>
      <family val="2"/>
      <scheme val="minor"/>
    </font>
    <font>
      <sz val="10"/>
      <name val="Arial"/>
    </font>
    <font>
      <b/>
      <sz val="10"/>
      <name val="Arial"/>
    </font>
    <font>
      <sz val="10"/>
      <color rgb="FF1F2329"/>
      <name val="Arial"/>
    </font>
    <font>
      <sz val="10"/>
      <color rgb="FF34C724"/>
      <name val="Arial"/>
    </font>
    <font>
      <sz val="10"/>
      <color rgb="FF000000"/>
      <name val="Arial"/>
    </font>
    <font>
      <sz val="10"/>
      <color rgb="FF2EA121"/>
      <name val="Arial"/>
    </font>
    <font>
      <b/>
      <sz val="10"/>
      <color rgb="FF000000"/>
      <name val="Arial"/>
    </font>
    <font>
      <b/>
      <sz val="10"/>
      <color rgb="FFF54A45"/>
      <name val="Arial"/>
    </font>
    <font>
      <sz val="9"/>
      <color rgb="FF000000"/>
      <name val="Arial"/>
    </font>
    <font>
      <strike/>
      <sz val="10"/>
      <color rgb="FF1F2329"/>
      <name val="Arial"/>
    </font>
    <font>
      <u/>
      <color rgb="FF0000FF"/>
    </font>
    <font>
      <strike/>
      <sz val="10"/>
      <name val="Arial"/>
    </font>
    <font>
      <strike/>
      <sz val="10"/>
      <color rgb="FF000000"/>
      <name val="Arial"/>
    </font>
    <font>
      <b/>
      <sz val="10"/>
      <color rgb="FF1F2329"/>
      <name val="Arial"/>
    </font>
    <font>
      <sz val="10"/>
      <color rgb="FFF54A45"/>
      <name val="Arial"/>
    </font>
    <font>
      <strike/>
      <sz val="10"/>
      <color rgb="FFF54A45"/>
      <name val="Arial"/>
    </font>
    <font>
      <strike/>
      <sz val="10"/>
      <color rgb="FF373C43"/>
      <name val="Arial"/>
    </font>
    <font>
      <sz val="10"/>
      <color rgb="FF373C43"/>
      <name val="Arial"/>
    </font>
    <font>
      <sz val="9"/>
      <color rgb="FFF54A45"/>
      <name val="Arial"/>
    </font>
    <font>
      <strike/>
      <sz val="9"/>
      <color rgb="FF1F2329"/>
      <name val="Arial"/>
    </font>
    <font>
      <strike/>
      <sz val="9"/>
      <color rgb="FF000000"/>
      <name val="Arial"/>
    </font>
    <font>
      <sz val="9"/>
      <color rgb="FF1F2329"/>
      <name val="Arial"/>
    </font>
    <font>
      <strike/>
      <sz val="9"/>
      <color rgb="FFF54A45"/>
      <name val="Arial"/>
    </font>
    <font>
      <sz val="11"/>
      <color rgb="FF1F2329"/>
      <name val="Arial"/>
    </font>
    <font>
      <sz val="11"/>
      <color rgb="FF172B4D"/>
      <name val="Arial"/>
    </font>
    <font>
      <sz val="10"/>
      <color rgb="FF0F1115"/>
      <name val="Arial"/>
    </font>
    <font>
      <strike/>
      <sz val="10"/>
      <color rgb="FF0F1115"/>
      <name val="Arial"/>
    </font>
    <font>
      <sz val="12"/>
      <color rgb="FF000000"/>
      <name val="Arial"/>
    </font>
  </fonts>
  <fills count="29">
    <fill>
      <patternFill patternType="none"/>
    </fill>
    <fill>
      <patternFill patternType="gray125"/>
    </fill>
    <fill>
      <patternFill patternType="solid">
        <fgColor rgb="FFFFC60A"/>
      </patternFill>
    </fill>
    <fill>
      <patternFill patternType="solid">
        <fgColor rgb="FFFFF258"/>
      </patternFill>
    </fill>
    <fill>
      <patternFill patternType="solid">
        <fgColor rgb="FF34C724"/>
      </patternFill>
    </fill>
    <fill>
      <patternFill patternType="solid">
        <fgColor rgb="FFD9F5D6"/>
      </patternFill>
    </fill>
    <fill>
      <patternFill patternType="solid">
        <fgColor rgb="FFFFFFFF"/>
      </patternFill>
    </fill>
    <fill>
      <patternFill patternType="solid">
        <fgColor rgb="FFF8F9FA"/>
      </patternFill>
    </fill>
    <fill>
      <patternFill patternType="solid">
        <fgColor rgb="FFFBBFBC"/>
      </patternFill>
    </fill>
    <fill>
      <patternFill patternType="solid">
        <fgColor rgb="FFFAF1D1"/>
      </patternFill>
    </fill>
    <fill>
      <patternFill patternType="solid">
        <fgColor rgb="FFFF8800"/>
      </patternFill>
    </fill>
    <fill>
      <patternFill patternType="solid">
        <fgColor rgb="FFF54A45"/>
      </patternFill>
    </fill>
    <fill>
      <patternFill patternType="solid">
        <fgColor rgb="FFD7E6D8"/>
      </patternFill>
    </fill>
    <fill>
      <patternFill patternType="solid">
        <fgColor rgb="FFF57AC0"/>
      </patternFill>
    </fill>
    <fill>
      <patternFill patternType="solid">
        <fgColor rgb="FF14C0FF"/>
      </patternFill>
    </fill>
    <fill>
      <patternFill patternType="solid">
        <fgColor rgb="FFECE2FE"/>
      </patternFill>
    </fill>
    <fill>
      <patternFill patternType="solid">
        <fgColor rgb="FF8F959E"/>
      </patternFill>
    </fill>
    <fill>
      <patternFill patternType="solid">
        <fgColor rgb="FFAD82F7"/>
      </patternFill>
    </fill>
    <fill>
      <patternFill patternType="solid">
        <fgColor rgb="FFDEE0E3"/>
      </patternFill>
    </fill>
    <fill>
      <patternFill patternType="solid">
        <fgColor rgb="FFFFFF00"/>
      </patternFill>
    </fill>
    <fill>
      <patternFill patternType="solid">
        <fgColor rgb="FFFFBA6B"/>
      </patternFill>
    </fill>
    <fill>
      <patternFill patternType="solid">
        <fgColor rgb="FF64E8D6"/>
      </patternFill>
    </fill>
    <fill>
      <patternFill patternType="solid">
        <fgColor rgb="FFC3DD40"/>
      </patternFill>
    </fill>
    <fill>
      <patternFill patternType="solid">
        <fgColor rgb="FF4E83FD"/>
      </patternFill>
    </fill>
    <fill>
      <patternFill patternType="solid">
        <fgColor rgb="FFC7ECFF"/>
      </patternFill>
    </fill>
    <fill>
      <patternFill patternType="solid">
        <fgColor rgb="FFE1EAFF"/>
      </patternFill>
    </fill>
    <fill>
      <patternFill patternType="solid">
        <fgColor rgb="FFFF0000"/>
      </patternFill>
    </fill>
    <fill>
      <patternFill patternType="solid">
        <fgColor rgb="FF7EDAFB"/>
      </patternFill>
    </fill>
    <fill>
      <patternFill patternType="solid">
        <fgColor rgb="FFFAD355"/>
      </patternFill>
    </fill>
  </fills>
  <borders count="30">
    <border>
      <left/>
      <right/>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right style="thin">
        <color rgb="FF1F2329"/>
      </right>
      <top style="thin">
        <color rgb="FF1F2329"/>
      </top>
      <bottom/>
      <diagonal/>
    </border>
    <border>
      <left style="thin">
        <color rgb="FF1F2329"/>
      </left>
      <right style="thin">
        <color rgb="FF1F2329"/>
      </right>
      <top/>
      <bottom/>
      <diagonal/>
    </border>
    <border>
      <left style="thin">
        <color rgb="FF1F2329"/>
      </left>
      <right/>
      <top/>
      <bottom style="thin">
        <color rgb="FF1F2329"/>
      </bottom>
      <diagonal/>
    </border>
    <border>
      <left/>
      <right style="thin">
        <color rgb="FF1F2329"/>
      </right>
      <top/>
      <bottom style="thin">
        <color rgb="FF1F2329"/>
      </bottom>
      <diagonal/>
    </border>
    <border>
      <left/>
      <right style="thin">
        <color rgb="FF1F2329"/>
      </right>
      <top/>
      <bottom/>
      <diagonal/>
    </border>
    <border>
      <left style="thin">
        <color rgb="FF000000"/>
      </left>
      <right style="thin">
        <color rgb="FF000000"/>
      </right>
      <top style="thin">
        <color rgb="FF000000"/>
      </top>
      <bottom style="thin">
        <color rgb="FF000000"/>
      </bottom>
      <diagonal/>
    </border>
    <border>
      <left/>
      <right/>
      <top style="thin">
        <color rgb="FF1F2329"/>
      </top>
      <bottom style="thin">
        <color rgb="FF1F2329"/>
      </bottom>
      <diagonal/>
    </border>
    <border>
      <left style="thin">
        <color rgb="FFC1C7D0"/>
      </left>
      <right style="thin">
        <color rgb="FFC1C7D0"/>
      </right>
      <top style="thin">
        <color rgb="FFC1C7D0"/>
      </top>
      <bottom style="thin">
        <color rgb="FFC1C7D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1F2329"/>
      </left>
      <right/>
      <top/>
      <bottom/>
      <diagonal/>
    </border>
  </borders>
  <cellStyleXfs count="1">
    <xf numFmtId="0" fontId="0" fillId="0" borderId="0"/>
  </cellStyleXfs>
  <cellXfs count="373">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wrapText="1"/>
    </xf>
    <xf numFmtId="0" fontId="1" fillId="0" borderId="0" xfId="0" applyFont="1" applyAlignment="1">
      <alignment horizontal="right" vertical="center" wrapText="1"/>
    </xf>
    <xf numFmtId="164" fontId="1" fillId="2" borderId="0" xfId="0" applyNumberFormat="1" applyFont="1" applyFill="1" applyAlignment="1">
      <alignment horizontal="center" vertical="center" wrapText="1"/>
    </xf>
    <xf numFmtId="0" fontId="1" fillId="3" borderId="0" xfId="0" applyFont="1" applyFill="1" applyAlignment="1">
      <alignment horizontal="center" vertical="center" wrapText="1"/>
    </xf>
    <xf numFmtId="9" fontId="1" fillId="0" borderId="0" xfId="0" applyNumberFormat="1" applyFont="1" applyAlignment="1">
      <alignment horizontal="center" vertical="center" wrapText="1"/>
    </xf>
    <xf numFmtId="10" fontId="1" fillId="0" borderId="0" xfId="0" applyNumberFormat="1" applyFont="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horizontal="right" vertical="center" wrapText="1"/>
    </xf>
    <xf numFmtId="0" fontId="1" fillId="0" borderId="3" xfId="0" applyFont="1" applyBorder="1" applyAlignment="1">
      <alignment horizontal="right" vertical="center" wrapText="1"/>
    </xf>
    <xf numFmtId="0" fontId="1" fillId="0" borderId="2" xfId="0" applyFont="1" applyBorder="1" applyAlignment="1">
      <alignment horizontal="right" vertical="center" wrapText="1"/>
    </xf>
    <xf numFmtId="10" fontId="1" fillId="0" borderId="1" xfId="0" applyNumberFormat="1" applyFont="1" applyBorder="1" applyAlignment="1">
      <alignment horizontal="right" vertical="center" wrapText="1"/>
    </xf>
    <xf numFmtId="165" fontId="1" fillId="0" borderId="0" xfId="0" applyNumberFormat="1" applyFont="1" applyAlignment="1">
      <alignment horizontal="right" vertical="center" wrapText="1"/>
    </xf>
    <xf numFmtId="0" fontId="3" fillId="6" borderId="1" xfId="0" applyFont="1" applyFill="1" applyBorder="1" applyAlignment="1">
      <alignment horizontal="center" vertical="center" wrapText="1"/>
    </xf>
    <xf numFmtId="9" fontId="1" fillId="0" borderId="1" xfId="0" applyNumberFormat="1" applyFont="1" applyBorder="1" applyAlignment="1">
      <alignment horizontal="right" vertical="center" wrapText="1"/>
    </xf>
    <xf numFmtId="0" fontId="6" fillId="0" borderId="1" xfId="0" applyFont="1" applyBorder="1" applyAlignment="1">
      <alignment horizontal="center" vertical="center" wrapText="1"/>
    </xf>
    <xf numFmtId="0" fontId="3" fillId="8" borderId="1" xfId="0" applyFont="1" applyFill="1" applyBorder="1" applyAlignment="1">
      <alignment horizontal="center" vertical="center" wrapText="1"/>
    </xf>
    <xf numFmtId="0" fontId="5" fillId="0" borderId="1" xfId="0" applyFont="1" applyBorder="1" applyAlignment="1">
      <alignment horizontal="right" vertical="center" wrapText="1"/>
    </xf>
    <xf numFmtId="10" fontId="1" fillId="0" borderId="3" xfId="0" applyNumberFormat="1" applyFont="1" applyBorder="1" applyAlignment="1">
      <alignment horizontal="right" vertical="center" wrapText="1"/>
    </xf>
    <xf numFmtId="0" fontId="5" fillId="0" borderId="4" xfId="0" applyFont="1" applyBorder="1" applyAlignment="1">
      <alignment horizontal="center" vertical="center" wrapText="1"/>
    </xf>
    <xf numFmtId="0" fontId="4" fillId="6" borderId="1" xfId="0" applyFont="1" applyFill="1" applyBorder="1" applyAlignment="1">
      <alignment horizontal="center" vertical="center" wrapText="1"/>
    </xf>
    <xf numFmtId="0" fontId="1" fillId="7" borderId="5" xfId="0" applyFont="1" applyFill="1" applyBorder="1" applyAlignment="1">
      <alignment horizontal="center" vertical="center" wrapText="1"/>
    </xf>
    <xf numFmtId="10" fontId="1" fillId="0" borderId="1" xfId="0" applyNumberFormat="1" applyFont="1" applyBorder="1" applyAlignment="1">
      <alignment horizontal="center" vertical="center" wrapText="1"/>
    </xf>
    <xf numFmtId="9" fontId="1" fillId="0" borderId="1" xfId="0" applyNumberFormat="1" applyFont="1" applyBorder="1" applyAlignment="1">
      <alignment horizontal="center" vertical="center" wrapText="1"/>
    </xf>
    <xf numFmtId="10" fontId="1" fillId="0" borderId="3"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166" fontId="2" fillId="5" borderId="5" xfId="0" applyNumberFormat="1"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2" fillId="10" borderId="0" xfId="0" applyFont="1" applyFill="1" applyAlignment="1">
      <alignment horizontal="center" vertical="center" wrapText="1"/>
    </xf>
    <xf numFmtId="0" fontId="1" fillId="11" borderId="0" xfId="0" applyFont="1" applyFill="1" applyAlignment="1">
      <alignment horizontal="center" vertical="center" wrapText="1"/>
    </xf>
    <xf numFmtId="0" fontId="1" fillId="0" borderId="5" xfId="0" applyFont="1" applyBorder="1" applyAlignment="1">
      <alignment horizontal="center" vertical="center" wrapText="1"/>
    </xf>
    <xf numFmtId="1" fontId="9" fillId="6" borderId="1" xfId="0" applyNumberFormat="1" applyFont="1" applyFill="1" applyBorder="1" applyAlignment="1">
      <alignment horizontal="right" vertical="center" wrapText="1"/>
    </xf>
    <xf numFmtId="9" fontId="9" fillId="12" borderId="1" xfId="0" applyNumberFormat="1" applyFont="1" applyFill="1" applyBorder="1" applyAlignment="1">
      <alignment horizontal="center" vertical="center" wrapText="1"/>
    </xf>
    <xf numFmtId="1" fontId="1" fillId="6" borderId="1" xfId="0" applyNumberFormat="1" applyFont="1" applyFill="1" applyBorder="1" applyAlignment="1">
      <alignment horizontal="right" vertical="center" wrapText="1"/>
    </xf>
    <xf numFmtId="1" fontId="3" fillId="6" borderId="5"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7" xfId="0" applyFont="1" applyBorder="1" applyAlignment="1">
      <alignment horizontal="center" vertical="center" wrapText="1"/>
    </xf>
    <xf numFmtId="49" fontId="1" fillId="0" borderId="1" xfId="0" applyNumberFormat="1" applyFont="1" applyBorder="1" applyAlignment="1">
      <alignment horizontal="center" vertical="center" wrapText="1"/>
    </xf>
    <xf numFmtId="9" fontId="9" fillId="12" borderId="3" xfId="0" applyNumberFormat="1" applyFont="1" applyFill="1" applyBorder="1" applyAlignment="1">
      <alignment horizontal="center" vertical="center" wrapText="1"/>
    </xf>
    <xf numFmtId="1" fontId="9" fillId="12" borderId="3" xfId="0" applyNumberFormat="1" applyFont="1" applyFill="1" applyBorder="1" applyAlignment="1">
      <alignment horizontal="center" vertical="center" wrapText="1"/>
    </xf>
    <xf numFmtId="0" fontId="5" fillId="0" borderId="5" xfId="0" applyFont="1" applyBorder="1" applyAlignment="1">
      <alignment horizontal="right" vertical="center" wrapText="1"/>
    </xf>
    <xf numFmtId="0" fontId="7" fillId="6" borderId="7"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11" fillId="0" borderId="0" xfId="0" applyFont="1" applyAlignment="1">
      <alignment horizontal="center" vertical="center" wrapText="1"/>
    </xf>
    <xf numFmtId="0" fontId="1" fillId="0" borderId="8" xfId="0" applyFont="1" applyBorder="1" applyAlignment="1">
      <alignment horizontal="center" vertical="center" wrapText="1"/>
    </xf>
    <xf numFmtId="0" fontId="11" fillId="0" borderId="5" xfId="0" applyFont="1" applyBorder="1" applyAlignment="1">
      <alignment horizontal="center" vertical="center" wrapText="1"/>
    </xf>
    <xf numFmtId="9" fontId="9" fillId="12" borderId="2" xfId="0" applyNumberFormat="1" applyFont="1" applyFill="1" applyBorder="1" applyAlignment="1">
      <alignment horizontal="center" vertical="center" wrapText="1"/>
    </xf>
    <xf numFmtId="0" fontId="5" fillId="0" borderId="3" xfId="0" applyFont="1" applyBorder="1" applyAlignment="1">
      <alignment horizontal="center" vertical="center" wrapText="1"/>
    </xf>
    <xf numFmtId="0" fontId="7" fillId="3" borderId="1" xfId="0" applyFont="1" applyFill="1" applyBorder="1" applyAlignment="1">
      <alignment horizontal="center" vertical="center" wrapText="1"/>
    </xf>
    <xf numFmtId="0" fontId="12" fillId="0" borderId="0" xfId="0" applyFont="1" applyAlignment="1">
      <alignment horizontal="center" vertical="center" wrapText="1"/>
    </xf>
    <xf numFmtId="1" fontId="9" fillId="6" borderId="3" xfId="0" applyNumberFormat="1" applyFont="1" applyFill="1" applyBorder="1" applyAlignment="1">
      <alignment horizontal="right" vertical="center" wrapText="1"/>
    </xf>
    <xf numFmtId="0" fontId="12" fillId="0" borderId="1" xfId="0" applyFont="1" applyBorder="1" applyAlignment="1">
      <alignment horizontal="center" vertical="center" wrapText="1"/>
    </xf>
    <xf numFmtId="0" fontId="5" fillId="0" borderId="0" xfId="0" applyFont="1" applyAlignment="1">
      <alignment horizontal="center" vertical="center" wrapText="1"/>
    </xf>
    <xf numFmtId="0" fontId="3" fillId="0" borderId="3" xfId="0" applyFont="1" applyBorder="1" applyAlignment="1">
      <alignment horizontal="center" vertical="center" wrapText="1"/>
    </xf>
    <xf numFmtId="0" fontId="10" fillId="0" borderId="2" xfId="0" applyFont="1" applyBorder="1" applyAlignment="1">
      <alignment horizontal="center" vertical="center" wrapText="1"/>
    </xf>
    <xf numFmtId="0" fontId="3" fillId="0" borderId="1" xfId="0" applyFont="1" applyBorder="1" applyAlignment="1">
      <alignment horizontal="right" vertical="center" wrapText="1"/>
    </xf>
    <xf numFmtId="0" fontId="13" fillId="0" borderId="1" xfId="0" applyFont="1" applyBorder="1" applyAlignment="1">
      <alignment horizontal="center" vertical="center" wrapText="1"/>
    </xf>
    <xf numFmtId="49" fontId="1" fillId="6" borderId="1" xfId="0" applyNumberFormat="1" applyFont="1" applyFill="1" applyBorder="1" applyAlignment="1">
      <alignment horizontal="center" vertical="center" wrapText="1"/>
    </xf>
    <xf numFmtId="0" fontId="14" fillId="3" borderId="3" xfId="0" applyFont="1" applyFill="1" applyBorder="1" applyAlignment="1">
      <alignment horizontal="center" vertical="center" wrapText="1"/>
    </xf>
    <xf numFmtId="1" fontId="3" fillId="6" borderId="1" xfId="0" applyNumberFormat="1" applyFont="1" applyFill="1" applyBorder="1" applyAlignment="1">
      <alignment horizontal="right" vertical="center" wrapText="1"/>
    </xf>
    <xf numFmtId="0" fontId="3" fillId="6" borderId="8"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5" fillId="0" borderId="9" xfId="0" applyFont="1" applyBorder="1" applyAlignment="1">
      <alignment horizontal="right" vertical="center" wrapText="1"/>
    </xf>
    <xf numFmtId="0" fontId="10" fillId="0" borderId="3" xfId="0" applyFont="1" applyBorder="1" applyAlignment="1">
      <alignment horizontal="center" vertical="center" wrapText="1"/>
    </xf>
    <xf numFmtId="167" fontId="9" fillId="6" borderId="1" xfId="0" applyNumberFormat="1" applyFont="1" applyFill="1" applyBorder="1" applyAlignment="1">
      <alignment horizontal="center" vertical="center" wrapText="1"/>
    </xf>
    <xf numFmtId="0" fontId="15" fillId="0" borderId="1" xfId="0" applyFont="1" applyBorder="1" applyAlignment="1">
      <alignment horizontal="center" vertical="center" wrapText="1"/>
    </xf>
    <xf numFmtId="0" fontId="10" fillId="0" borderId="0" xfId="0" applyFont="1" applyAlignment="1">
      <alignment horizontal="center" vertical="center" wrapText="1"/>
    </xf>
    <xf numFmtId="0" fontId="11" fillId="0" borderId="3" xfId="0" applyFont="1" applyBorder="1" applyAlignment="1">
      <alignment horizontal="center" vertical="center" wrapText="1"/>
    </xf>
    <xf numFmtId="0" fontId="10" fillId="6" borderId="1" xfId="0" applyFont="1" applyFill="1" applyBorder="1" applyAlignment="1">
      <alignment horizontal="center" vertical="center" wrapText="1"/>
    </xf>
    <xf numFmtId="0" fontId="5" fillId="0" borderId="3" xfId="0" applyFont="1" applyBorder="1" applyAlignment="1">
      <alignment horizontal="right" vertical="center" wrapText="1"/>
    </xf>
    <xf numFmtId="0" fontId="2" fillId="3" borderId="3" xfId="0" applyFont="1" applyFill="1" applyBorder="1" applyAlignment="1">
      <alignment horizontal="center" vertical="center" wrapText="1"/>
    </xf>
    <xf numFmtId="0" fontId="16" fillId="0" borderId="0" xfId="0" applyFont="1" applyAlignment="1">
      <alignment horizontal="center" vertical="center" wrapText="1"/>
    </xf>
    <xf numFmtId="167" fontId="9" fillId="6" borderId="1" xfId="0" applyNumberFormat="1" applyFont="1" applyFill="1" applyBorder="1" applyAlignment="1">
      <alignment horizontal="right" vertical="center" wrapText="1"/>
    </xf>
    <xf numFmtId="49" fontId="1" fillId="0" borderId="3" xfId="0" applyNumberFormat="1" applyFont="1" applyBorder="1" applyAlignment="1">
      <alignment horizontal="center" vertical="center" wrapText="1"/>
    </xf>
    <xf numFmtId="0" fontId="16" fillId="0" borderId="2" xfId="0" applyFont="1" applyBorder="1" applyAlignment="1">
      <alignment horizontal="center" vertical="center" wrapText="1"/>
    </xf>
    <xf numFmtId="49" fontId="1" fillId="13" borderId="1" xfId="0" applyNumberFormat="1" applyFont="1" applyFill="1" applyBorder="1" applyAlignment="1">
      <alignment horizontal="center" vertical="center" wrapText="1"/>
    </xf>
    <xf numFmtId="0" fontId="11" fillId="0" borderId="1" xfId="0" applyFont="1" applyBorder="1" applyAlignment="1">
      <alignment horizontal="center" vertical="center" wrapText="1"/>
    </xf>
    <xf numFmtId="1" fontId="5" fillId="0" borderId="1" xfId="0" applyNumberFormat="1" applyFont="1" applyBorder="1" applyAlignment="1">
      <alignment horizontal="right" vertical="center" wrapText="1"/>
    </xf>
    <xf numFmtId="1" fontId="5" fillId="0" borderId="1" xfId="0" applyNumberFormat="1" applyFont="1" applyBorder="1" applyAlignment="1">
      <alignment horizontal="center" vertical="center" wrapText="1"/>
    </xf>
    <xf numFmtId="1" fontId="15" fillId="0" borderId="1" xfId="0" applyNumberFormat="1" applyFont="1" applyBorder="1" applyAlignment="1">
      <alignment horizontal="center" vertical="center" wrapText="1"/>
    </xf>
    <xf numFmtId="49" fontId="1" fillId="0" borderId="2" xfId="0" applyNumberFormat="1" applyFont="1" applyBorder="1" applyAlignment="1">
      <alignment horizontal="center" vertical="center" wrapText="1"/>
    </xf>
    <xf numFmtId="0" fontId="10" fillId="0" borderId="5" xfId="0" applyFont="1" applyBorder="1" applyAlignment="1">
      <alignment horizontal="center" vertical="center" wrapText="1"/>
    </xf>
    <xf numFmtId="1" fontId="10" fillId="0" borderId="1" xfId="0" applyNumberFormat="1" applyFont="1" applyBorder="1" applyAlignment="1">
      <alignment horizontal="center" vertical="center" wrapText="1"/>
    </xf>
    <xf numFmtId="0" fontId="1" fillId="6" borderId="0" xfId="0" applyFont="1" applyFill="1" applyAlignment="1">
      <alignment horizontal="right" vertical="center" wrapText="1"/>
    </xf>
    <xf numFmtId="9" fontId="5" fillId="0" borderId="1"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15" fillId="0" borderId="1" xfId="0" applyFont="1" applyBorder="1" applyAlignment="1">
      <alignment horizontal="right" vertical="center" wrapText="1"/>
    </xf>
    <xf numFmtId="1" fontId="3" fillId="0" borderId="1" xfId="0" applyNumberFormat="1" applyFont="1" applyBorder="1" applyAlignment="1">
      <alignment horizontal="right" vertical="center" wrapText="1"/>
    </xf>
    <xf numFmtId="0" fontId="14" fillId="3" borderId="0" xfId="0" applyFont="1" applyFill="1" applyAlignment="1">
      <alignment horizontal="center" vertical="center" wrapText="1"/>
    </xf>
    <xf numFmtId="0" fontId="3" fillId="6" borderId="1" xfId="0" applyFont="1" applyFill="1" applyBorder="1" applyAlignment="1">
      <alignment horizontal="right" vertical="center" wrapText="1"/>
    </xf>
    <xf numFmtId="9" fontId="5" fillId="0" borderId="1" xfId="0" applyNumberFormat="1" applyFont="1" applyBorder="1" applyAlignment="1">
      <alignment horizontal="right" vertical="center" wrapText="1"/>
    </xf>
    <xf numFmtId="167" fontId="9" fillId="3" borderId="1" xfId="0" applyNumberFormat="1" applyFont="1" applyFill="1" applyBorder="1" applyAlignment="1">
      <alignment horizontal="center" vertical="center" wrapText="1"/>
    </xf>
    <xf numFmtId="167" fontId="11" fillId="6" borderId="1" xfId="0" applyNumberFormat="1" applyFont="1" applyFill="1" applyBorder="1" applyAlignment="1">
      <alignment horizontal="center" vertical="center" wrapText="1"/>
    </xf>
    <xf numFmtId="0" fontId="3" fillId="0" borderId="2" xfId="0" applyFont="1" applyBorder="1" applyAlignment="1">
      <alignment horizontal="right" vertical="center" wrapText="1"/>
    </xf>
    <xf numFmtId="0" fontId="1" fillId="0" borderId="4" xfId="0" applyFont="1" applyBorder="1" applyAlignment="1">
      <alignment horizontal="center" vertical="center" wrapText="1"/>
    </xf>
    <xf numFmtId="0" fontId="17" fillId="0" borderId="1" xfId="0" applyFont="1" applyBorder="1" applyAlignment="1">
      <alignment horizontal="center" vertical="center" wrapText="1"/>
    </xf>
    <xf numFmtId="167" fontId="9" fillId="3" borderId="4" xfId="0" applyNumberFormat="1" applyFont="1" applyFill="1" applyBorder="1" applyAlignment="1">
      <alignment horizontal="center" vertical="center" wrapText="1"/>
    </xf>
    <xf numFmtId="167" fontId="11" fillId="3" borderId="4" xfId="0" applyNumberFormat="1" applyFont="1" applyFill="1" applyBorder="1" applyAlignment="1">
      <alignment horizontal="center" vertical="center" wrapText="1"/>
    </xf>
    <xf numFmtId="0" fontId="11" fillId="0" borderId="10" xfId="0" applyFont="1" applyBorder="1" applyAlignment="1">
      <alignment horizontal="center" vertical="center" wrapText="1"/>
    </xf>
    <xf numFmtId="0" fontId="15" fillId="6" borderId="1" xfId="0" applyFont="1" applyFill="1" applyBorder="1" applyAlignment="1">
      <alignment horizontal="center" vertical="center" wrapText="1"/>
    </xf>
    <xf numFmtId="0" fontId="16" fillId="0" borderId="1" xfId="0" applyFont="1" applyBorder="1" applyAlignment="1">
      <alignment horizontal="center" vertical="center" wrapText="1"/>
    </xf>
    <xf numFmtId="1" fontId="18" fillId="6" borderId="1" xfId="0" applyNumberFormat="1" applyFont="1" applyFill="1" applyBorder="1" applyAlignment="1">
      <alignment horizontal="right" vertical="center" wrapText="1"/>
    </xf>
    <xf numFmtId="0" fontId="1" fillId="0" borderId="6" xfId="0" applyFont="1" applyBorder="1" applyAlignment="1">
      <alignment horizontal="right" vertical="center" wrapText="1"/>
    </xf>
    <xf numFmtId="0" fontId="7" fillId="6" borderId="2" xfId="0" applyFont="1" applyFill="1" applyBorder="1" applyAlignment="1">
      <alignment horizontal="center" vertical="center" wrapText="1"/>
    </xf>
    <xf numFmtId="0" fontId="1" fillId="0" borderId="9" xfId="0" applyFont="1" applyBorder="1" applyAlignment="1">
      <alignment horizontal="right" vertical="center" wrapText="1"/>
    </xf>
    <xf numFmtId="0" fontId="7" fillId="6" borderId="11" xfId="0" applyFont="1" applyFill="1" applyBorder="1" applyAlignment="1">
      <alignment horizontal="center" vertical="center" wrapText="1"/>
    </xf>
    <xf numFmtId="0" fontId="15" fillId="0" borderId="5" xfId="0" applyFont="1" applyBorder="1" applyAlignment="1">
      <alignment horizontal="center" vertical="center" wrapText="1"/>
    </xf>
    <xf numFmtId="167" fontId="11" fillId="3" borderId="1" xfId="0" applyNumberFormat="1" applyFont="1" applyFill="1" applyBorder="1" applyAlignment="1">
      <alignment horizontal="center" vertical="center" wrapText="1"/>
    </xf>
    <xf numFmtId="0" fontId="12" fillId="0" borderId="2" xfId="0" applyFont="1" applyBorder="1" applyAlignment="1">
      <alignment horizontal="center" vertical="center" wrapText="1"/>
    </xf>
    <xf numFmtId="1" fontId="9" fillId="12" borderId="3" xfId="0" applyNumberFormat="1" applyFont="1" applyFill="1" applyBorder="1" applyAlignment="1">
      <alignment horizontal="right" vertical="center" wrapText="1"/>
    </xf>
    <xf numFmtId="0" fontId="15" fillId="0" borderId="2" xfId="0" applyFont="1" applyBorder="1" applyAlignment="1">
      <alignment horizontal="center" vertical="center" wrapText="1"/>
    </xf>
    <xf numFmtId="0" fontId="1" fillId="6" borderId="5" xfId="0" applyFont="1" applyFill="1" applyBorder="1" applyAlignment="1">
      <alignment horizontal="center" vertical="center" wrapText="1"/>
    </xf>
    <xf numFmtId="167" fontId="19" fillId="6" borderId="1" xfId="0" applyNumberFormat="1" applyFont="1" applyFill="1" applyBorder="1" applyAlignment="1">
      <alignment horizontal="center" vertical="center" wrapText="1"/>
    </xf>
    <xf numFmtId="0" fontId="12" fillId="0" borderId="4" xfId="0" applyFont="1" applyBorder="1" applyAlignment="1">
      <alignment horizontal="center" vertical="center" wrapText="1"/>
    </xf>
    <xf numFmtId="0" fontId="1" fillId="6" borderId="8" xfId="0" applyFont="1" applyFill="1" applyBorder="1" applyAlignment="1">
      <alignment horizontal="center" vertical="center" wrapText="1"/>
    </xf>
    <xf numFmtId="0" fontId="20" fillId="0" borderId="12" xfId="0" applyFont="1" applyBorder="1" applyAlignment="1">
      <alignment horizontal="center" vertical="center" wrapText="1"/>
    </xf>
    <xf numFmtId="167" fontId="9" fillId="0" borderId="1" xfId="0" applyNumberFormat="1" applyFont="1" applyBorder="1" applyAlignment="1">
      <alignment horizontal="right" vertical="center" wrapText="1"/>
    </xf>
    <xf numFmtId="0" fontId="10" fillId="0" borderId="12" xfId="0" applyFont="1" applyBorder="1" applyAlignment="1">
      <alignment horizontal="center" vertical="center" wrapText="1"/>
    </xf>
    <xf numFmtId="1" fontId="1" fillId="0" borderId="3" xfId="0" applyNumberFormat="1" applyFont="1" applyBorder="1" applyAlignment="1">
      <alignment horizontal="right" vertical="center" wrapText="1"/>
    </xf>
    <xf numFmtId="0" fontId="15" fillId="0" borderId="3" xfId="0" applyFont="1" applyBorder="1" applyAlignment="1">
      <alignment horizontal="center" vertical="center" wrapText="1"/>
    </xf>
    <xf numFmtId="0" fontId="1" fillId="6" borderId="4"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6"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17" fillId="0" borderId="6" xfId="0" applyFont="1" applyBorder="1" applyAlignment="1">
      <alignment horizontal="center" vertical="center" wrapText="1"/>
    </xf>
    <xf numFmtId="0" fontId="1" fillId="0" borderId="5" xfId="0" applyFont="1" applyBorder="1" applyAlignment="1">
      <alignment horizontal="right" vertical="center" wrapText="1"/>
    </xf>
    <xf numFmtId="9" fontId="9" fillId="12" borderId="6" xfId="0" applyNumberFormat="1" applyFont="1" applyFill="1" applyBorder="1" applyAlignment="1">
      <alignment horizontal="center" vertical="center" wrapText="1"/>
    </xf>
    <xf numFmtId="1" fontId="3" fillId="6" borderId="6" xfId="0" applyNumberFormat="1" applyFont="1" applyFill="1" applyBorder="1" applyAlignment="1">
      <alignment horizontal="center" vertical="center" wrapText="1"/>
    </xf>
    <xf numFmtId="0" fontId="1" fillId="6" borderId="1" xfId="0" applyFont="1" applyFill="1" applyBorder="1" applyAlignment="1">
      <alignment horizontal="right" vertical="center" wrapText="1"/>
    </xf>
    <xf numFmtId="9" fontId="9" fillId="6" borderId="1" xfId="0" applyNumberFormat="1" applyFont="1" applyFill="1" applyBorder="1" applyAlignment="1">
      <alignment horizontal="center" vertical="center" wrapText="1"/>
    </xf>
    <xf numFmtId="0" fontId="11" fillId="0" borderId="13" xfId="0" applyFont="1" applyBorder="1" applyAlignment="1">
      <alignment horizontal="center" vertical="center" wrapText="1"/>
    </xf>
    <xf numFmtId="9" fontId="9" fillId="6" borderId="2" xfId="0" applyNumberFormat="1" applyFont="1" applyFill="1" applyBorder="1" applyAlignment="1">
      <alignment horizontal="center" vertical="center" wrapText="1"/>
    </xf>
    <xf numFmtId="0" fontId="5" fillId="6" borderId="1" xfId="0" applyFont="1" applyFill="1" applyBorder="1" applyAlignment="1">
      <alignment horizontal="right" vertical="center" wrapText="1"/>
    </xf>
    <xf numFmtId="0" fontId="5" fillId="6" borderId="1" xfId="0" applyFont="1" applyFill="1" applyBorder="1" applyAlignment="1">
      <alignment horizontal="center" vertical="center" wrapText="1"/>
    </xf>
    <xf numFmtId="1" fontId="21" fillId="6" borderId="3" xfId="0" applyNumberFormat="1" applyFont="1" applyFill="1" applyBorder="1" applyAlignment="1">
      <alignment horizontal="right" vertical="center" wrapText="1"/>
    </xf>
    <xf numFmtId="1" fontId="21" fillId="6" borderId="3"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 fillId="0" borderId="4" xfId="0" applyFont="1" applyBorder="1" applyAlignment="1">
      <alignment horizontal="right" vertical="center" wrapText="1"/>
    </xf>
    <xf numFmtId="9" fontId="9" fillId="12" borderId="9" xfId="0" applyNumberFormat="1" applyFont="1" applyFill="1" applyBorder="1" applyAlignment="1">
      <alignment horizontal="center" vertical="center" wrapText="1"/>
    </xf>
    <xf numFmtId="0" fontId="11"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8" xfId="0" applyFont="1" applyBorder="1" applyAlignment="1">
      <alignment horizontal="center" vertical="center" wrapText="1"/>
    </xf>
    <xf numFmtId="49" fontId="5" fillId="0" borderId="0" xfId="0" applyNumberFormat="1" applyFont="1" applyAlignment="1">
      <alignment horizontal="center" vertical="center" wrapText="1"/>
    </xf>
    <xf numFmtId="0" fontId="3" fillId="0" borderId="4" xfId="0" applyFont="1" applyBorder="1" applyAlignment="1">
      <alignment horizontal="center" vertical="center" wrapText="1"/>
    </xf>
    <xf numFmtId="1" fontId="1" fillId="6" borderId="5" xfId="0" applyNumberFormat="1" applyFont="1" applyFill="1" applyBorder="1" applyAlignment="1">
      <alignment horizontal="right" vertical="center" wrapText="1"/>
    </xf>
    <xf numFmtId="165" fontId="1" fillId="0" borderId="1" xfId="0" applyNumberFormat="1" applyFont="1" applyBorder="1" applyAlignment="1">
      <alignment horizontal="right" vertical="center" wrapText="1"/>
    </xf>
    <xf numFmtId="0" fontId="5" fillId="4"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5" fillId="0" borderId="5" xfId="0" applyFont="1" applyBorder="1" applyAlignment="1">
      <alignment horizontal="center" vertical="center" wrapText="1"/>
    </xf>
    <xf numFmtId="0" fontId="9" fillId="0" borderId="1" xfId="0" applyFont="1" applyBorder="1" applyAlignment="1">
      <alignment horizontal="center" vertical="center" wrapText="1"/>
    </xf>
    <xf numFmtId="0" fontId="5" fillId="0" borderId="8" xfId="0" applyFont="1" applyBorder="1" applyAlignment="1">
      <alignment horizontal="center" vertical="center" wrapText="1"/>
    </xf>
    <xf numFmtId="0" fontId="9" fillId="6" borderId="0" xfId="0" applyFont="1" applyFill="1" applyAlignment="1">
      <alignment horizontal="center" vertical="center" wrapText="1"/>
    </xf>
    <xf numFmtId="0" fontId="5" fillId="9" borderId="5"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4" xfId="0" applyFont="1" applyFill="1" applyBorder="1" applyAlignment="1">
      <alignment horizontal="center" vertical="center" wrapText="1"/>
    </xf>
    <xf numFmtId="0" fontId="22" fillId="0" borderId="1" xfId="0" applyFont="1" applyBorder="1" applyAlignment="1">
      <alignment horizontal="center" vertical="center" wrapText="1"/>
    </xf>
    <xf numFmtId="0" fontId="15" fillId="15" borderId="5" xfId="0" applyFont="1" applyFill="1" applyBorder="1" applyAlignment="1">
      <alignment horizontal="center" vertical="center" wrapText="1"/>
    </xf>
    <xf numFmtId="0" fontId="15" fillId="15"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13" fillId="16" borderId="1" xfId="0" applyFont="1" applyFill="1" applyBorder="1" applyAlignment="1">
      <alignment horizontal="center" vertical="center" wrapText="1"/>
    </xf>
    <xf numFmtId="0" fontId="13" fillId="16" borderId="1" xfId="0" applyFont="1" applyFill="1" applyBorder="1" applyAlignment="1">
      <alignment horizontal="right" vertical="center" wrapText="1"/>
    </xf>
    <xf numFmtId="0" fontId="9" fillId="3" borderId="1" xfId="0" applyFont="1" applyFill="1" applyBorder="1" applyAlignment="1">
      <alignment horizontal="center" vertical="center" wrapText="1"/>
    </xf>
    <xf numFmtId="0" fontId="13" fillId="6" borderId="1" xfId="0" applyFont="1" applyFill="1" applyBorder="1" applyAlignment="1">
      <alignment horizontal="right" vertical="center" wrapText="1"/>
    </xf>
    <xf numFmtId="0" fontId="3" fillId="6" borderId="4"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9" fillId="14"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4" xfId="0" applyFont="1" applyBorder="1" applyAlignment="1">
      <alignment horizontal="center" vertical="center" wrapText="1"/>
    </xf>
    <xf numFmtId="0" fontId="18" fillId="0" borderId="1" xfId="0" applyFont="1" applyBorder="1" applyAlignment="1">
      <alignment horizontal="center" vertical="center" wrapText="1"/>
    </xf>
    <xf numFmtId="0" fontId="15" fillId="0" borderId="4" xfId="0" applyFont="1" applyBorder="1" applyAlignment="1">
      <alignment horizontal="center" vertical="center" wrapText="1"/>
    </xf>
    <xf numFmtId="0" fontId="19" fillId="0" borderId="1" xfId="0" applyFont="1" applyBorder="1" applyAlignment="1">
      <alignment horizontal="center" vertical="center" wrapText="1"/>
    </xf>
    <xf numFmtId="0" fontId="19" fillId="14" borderId="3" xfId="0" applyFont="1" applyFill="1" applyBorder="1" applyAlignment="1">
      <alignment horizontal="center" vertical="center" wrapText="1"/>
    </xf>
    <xf numFmtId="0" fontId="15" fillId="15" borderId="8" xfId="0" applyFont="1" applyFill="1" applyBorder="1" applyAlignment="1">
      <alignment horizontal="center" vertical="center" wrapText="1"/>
    </xf>
    <xf numFmtId="0" fontId="15" fillId="0" borderId="8" xfId="0" applyFont="1" applyBorder="1" applyAlignment="1">
      <alignment horizontal="center" vertical="center" wrapText="1"/>
    </xf>
    <xf numFmtId="0" fontId="21" fillId="16" borderId="1" xfId="0" applyFont="1" applyFill="1" applyBorder="1" applyAlignment="1">
      <alignment horizontal="center" vertical="center" wrapText="1"/>
    </xf>
    <xf numFmtId="0" fontId="12" fillId="16" borderId="1"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8" xfId="0" applyFont="1" applyBorder="1" applyAlignment="1">
      <alignment horizontal="center" vertical="center" wrapText="1"/>
    </xf>
    <xf numFmtId="0" fontId="9" fillId="0" borderId="4" xfId="0" applyFont="1" applyBorder="1" applyAlignment="1">
      <alignment horizontal="center" vertical="center" wrapText="1"/>
    </xf>
    <xf numFmtId="0" fontId="1" fillId="3" borderId="1" xfId="0" applyFont="1" applyFill="1" applyBorder="1" applyAlignment="1">
      <alignment horizontal="center" vertical="center" wrapText="1"/>
    </xf>
    <xf numFmtId="0" fontId="19" fillId="0" borderId="0" xfId="0" applyFont="1" applyAlignment="1">
      <alignment horizontal="center" vertical="center" wrapText="1"/>
    </xf>
    <xf numFmtId="0" fontId="5" fillId="17" borderId="1" xfId="0" applyFont="1" applyFill="1" applyBorder="1" applyAlignment="1">
      <alignment horizontal="center" vertical="center" wrapText="1"/>
    </xf>
    <xf numFmtId="0" fontId="9" fillId="17" borderId="1" xfId="0" applyFont="1" applyFill="1" applyBorder="1" applyAlignment="1">
      <alignment horizontal="center" vertical="center" wrapText="1"/>
    </xf>
    <xf numFmtId="0" fontId="12" fillId="0" borderId="5" xfId="0" applyFont="1" applyBorder="1" applyAlignment="1">
      <alignment horizontal="center" vertical="center" wrapText="1"/>
    </xf>
    <xf numFmtId="0" fontId="9" fillId="3" borderId="5"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2" fillId="0" borderId="8"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8" xfId="0" applyFont="1" applyBorder="1" applyAlignment="1">
      <alignment horizontal="center" vertical="center" wrapText="1"/>
    </xf>
    <xf numFmtId="0" fontId="1" fillId="15" borderId="5" xfId="0" applyFont="1" applyFill="1" applyBorder="1" applyAlignment="1">
      <alignment horizontal="center" vertical="center" wrapText="1"/>
    </xf>
    <xf numFmtId="0" fontId="16" fillId="0" borderId="4" xfId="0" applyFont="1" applyBorder="1" applyAlignment="1">
      <alignment horizontal="center" vertical="center" wrapText="1"/>
    </xf>
    <xf numFmtId="0" fontId="1" fillId="15" borderId="4"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3" fillId="16" borderId="4" xfId="0" applyFont="1" applyFill="1" applyBorder="1" applyAlignment="1">
      <alignment horizontal="center" vertical="center" wrapText="1"/>
    </xf>
    <xf numFmtId="0" fontId="13" fillId="16" borderId="5" xfId="0" applyFont="1" applyFill="1" applyBorder="1" applyAlignment="1">
      <alignment horizontal="center" vertical="center" wrapText="1"/>
    </xf>
    <xf numFmtId="0" fontId="23" fillId="16" borderId="1" xfId="0" applyFont="1" applyFill="1" applyBorder="1" applyAlignment="1">
      <alignment horizontal="center" vertical="center" wrapText="1"/>
    </xf>
    <xf numFmtId="0" fontId="12" fillId="16" borderId="5" xfId="0" applyFont="1" applyFill="1" applyBorder="1" applyAlignment="1">
      <alignment horizontal="center" vertical="center" wrapText="1"/>
    </xf>
    <xf numFmtId="0" fontId="13" fillId="16" borderId="8" xfId="0" applyFont="1" applyFill="1" applyBorder="1" applyAlignment="1">
      <alignment horizontal="center" vertical="center" wrapText="1"/>
    </xf>
    <xf numFmtId="0" fontId="12" fillId="16" borderId="8" xfId="0" applyFont="1" applyFill="1" applyBorder="1" applyAlignment="1">
      <alignment horizontal="center" vertical="center" wrapText="1"/>
    </xf>
    <xf numFmtId="0" fontId="12" fillId="16"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11" fillId="6" borderId="5"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5" fillId="9" borderId="8" xfId="0" applyFont="1" applyFill="1" applyBorder="1" applyAlignment="1">
      <alignment horizontal="center" vertical="center" wrapText="1"/>
    </xf>
    <xf numFmtId="49" fontId="5" fillId="6" borderId="1" xfId="0" applyNumberFormat="1" applyFont="1" applyFill="1" applyBorder="1" applyAlignment="1">
      <alignment horizontal="center" vertical="center" wrapText="1"/>
    </xf>
    <xf numFmtId="0" fontId="1" fillId="15" borderId="8" xfId="0" applyFont="1" applyFill="1" applyBorder="1" applyAlignment="1">
      <alignment horizontal="center" vertical="center" wrapText="1"/>
    </xf>
    <xf numFmtId="0" fontId="7" fillId="0" borderId="1" xfId="0" applyFont="1" applyBorder="1" applyAlignment="1">
      <alignment horizontal="center" vertical="center" wrapText="1"/>
    </xf>
    <xf numFmtId="0" fontId="12" fillId="6" borderId="1"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5" fillId="15" borderId="5" xfId="0" applyFont="1" applyFill="1" applyBorder="1" applyAlignment="1">
      <alignment horizontal="center" vertical="center" wrapText="1"/>
    </xf>
    <xf numFmtId="49" fontId="5" fillId="0" borderId="1" xfId="0" applyNumberFormat="1" applyFont="1" applyBorder="1" applyAlignment="1">
      <alignment horizontal="center" vertical="center" wrapText="1"/>
    </xf>
    <xf numFmtId="0" fontId="5" fillId="15" borderId="4" xfId="0" applyFont="1" applyFill="1" applyBorder="1" applyAlignment="1">
      <alignment horizontal="center" vertical="center" wrapText="1"/>
    </xf>
    <xf numFmtId="49" fontId="11" fillId="0" borderId="1" xfId="0" applyNumberFormat="1" applyFont="1" applyBorder="1" applyAlignment="1">
      <alignment horizontal="center" vertical="center" wrapText="1"/>
    </xf>
    <xf numFmtId="0" fontId="16" fillId="18" borderId="1"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5" fillId="19"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24" fillId="0" borderId="1" xfId="0" applyFont="1" applyBorder="1" applyAlignment="1">
      <alignment horizontal="center" vertical="center" wrapText="1"/>
    </xf>
    <xf numFmtId="0" fontId="24" fillId="0" borderId="5" xfId="0" applyFont="1" applyBorder="1" applyAlignment="1">
      <alignment horizontal="center" vertical="center" wrapText="1"/>
    </xf>
    <xf numFmtId="0" fontId="3" fillId="15" borderId="0" xfId="0" applyFont="1" applyFill="1" applyAlignment="1">
      <alignment horizontal="center" vertical="center" wrapText="1"/>
    </xf>
    <xf numFmtId="0" fontId="24" fillId="0" borderId="8" xfId="0" applyFont="1" applyBorder="1" applyAlignment="1">
      <alignment horizontal="center" vertical="center" wrapText="1"/>
    </xf>
    <xf numFmtId="0" fontId="24" fillId="0" borderId="4" xfId="0" applyFont="1" applyBorder="1" applyAlignment="1">
      <alignment horizontal="center" vertical="center" wrapText="1"/>
    </xf>
    <xf numFmtId="0" fontId="13" fillId="18" borderId="1" xfId="0" applyFont="1" applyFill="1" applyBorder="1" applyAlignment="1">
      <alignment horizontal="center" vertical="center" wrapText="1"/>
    </xf>
    <xf numFmtId="0" fontId="13" fillId="18" borderId="5" xfId="0" applyFont="1" applyFill="1" applyBorder="1" applyAlignment="1">
      <alignment horizontal="center" vertical="center" wrapText="1"/>
    </xf>
    <xf numFmtId="0" fontId="13" fillId="18"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5" fillId="20" borderId="1" xfId="0" applyFont="1" applyFill="1" applyBorder="1" applyAlignment="1">
      <alignment horizontal="center" vertical="center" wrapText="1"/>
    </xf>
    <xf numFmtId="0" fontId="22" fillId="0" borderId="5" xfId="0" applyFont="1" applyBorder="1" applyAlignment="1">
      <alignment horizontal="center" vertical="center" wrapText="1"/>
    </xf>
    <xf numFmtId="0" fontId="22" fillId="0" borderId="4" xfId="0" applyFont="1" applyBorder="1" applyAlignment="1">
      <alignment horizontal="center" vertical="center" wrapText="1"/>
    </xf>
    <xf numFmtId="0" fontId="1" fillId="1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5" fillId="15" borderId="1"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25" fillId="21" borderId="14" xfId="0" applyFont="1" applyFill="1" applyBorder="1" applyAlignment="1">
      <alignment horizontal="center" vertical="center" wrapText="1"/>
    </xf>
    <xf numFmtId="0" fontId="1" fillId="22" borderId="0" xfId="0" applyFont="1" applyFill="1" applyAlignment="1">
      <alignment horizontal="center" vertical="center" wrapText="1"/>
    </xf>
    <xf numFmtId="0" fontId="3" fillId="10" borderId="0" xfId="0" applyFont="1" applyFill="1" applyAlignment="1">
      <alignment horizontal="center" vertical="center" wrapText="1"/>
    </xf>
    <xf numFmtId="0" fontId="25" fillId="21" borderId="0" xfId="0" applyFont="1" applyFill="1" applyAlignment="1">
      <alignment horizontal="center" vertical="center" wrapText="1"/>
    </xf>
    <xf numFmtId="0" fontId="25" fillId="0" borderId="14" xfId="0" applyFont="1" applyBorder="1" applyAlignment="1">
      <alignment horizontal="center" vertical="center" wrapText="1"/>
    </xf>
    <xf numFmtId="0" fontId="5" fillId="23"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4" xfId="0" applyFont="1" applyBorder="1" applyAlignment="1">
      <alignment horizontal="center" vertical="center" wrapText="1"/>
    </xf>
    <xf numFmtId="0" fontId="26" fillId="9" borderId="5" xfId="0" applyFont="1" applyFill="1" applyBorder="1" applyAlignment="1">
      <alignment horizontal="center" vertical="center" wrapText="1"/>
    </xf>
    <xf numFmtId="0" fontId="26" fillId="9" borderId="4" xfId="0" applyFont="1" applyFill="1" applyBorder="1" applyAlignment="1">
      <alignment horizontal="center" vertical="center" wrapText="1"/>
    </xf>
    <xf numFmtId="0" fontId="26" fillId="9" borderId="8" xfId="0" applyFont="1" applyFill="1" applyBorder="1" applyAlignment="1">
      <alignment horizontal="center" vertical="center" wrapText="1"/>
    </xf>
    <xf numFmtId="0" fontId="15" fillId="9" borderId="5" xfId="0" applyFont="1" applyFill="1" applyBorder="1" applyAlignment="1">
      <alignment horizontal="center" vertical="center" wrapText="1"/>
    </xf>
    <xf numFmtId="0" fontId="15" fillId="9" borderId="8" xfId="0" applyFont="1" applyFill="1" applyBorder="1" applyAlignment="1">
      <alignment horizontal="center" vertical="center" wrapText="1"/>
    </xf>
    <xf numFmtId="0" fontId="15" fillId="9" borderId="4" xfId="0" applyFont="1" applyFill="1" applyBorder="1" applyAlignment="1">
      <alignment horizontal="center" vertical="center" wrapText="1"/>
    </xf>
    <xf numFmtId="165" fontId="5" fillId="23" borderId="1" xfId="0" applyNumberFormat="1" applyFont="1" applyFill="1" applyBorder="1" applyAlignment="1">
      <alignment horizontal="right" vertical="center" wrapText="1"/>
    </xf>
    <xf numFmtId="0" fontId="26" fillId="9" borderId="1" xfId="0" applyFont="1" applyFill="1" applyBorder="1" applyAlignment="1">
      <alignment horizontal="center" vertical="center" wrapText="1"/>
    </xf>
    <xf numFmtId="168" fontId="5" fillId="23" borderId="1" xfId="0" applyNumberFormat="1" applyFont="1" applyFill="1" applyBorder="1" applyAlignment="1">
      <alignment horizontal="right" vertical="center" wrapText="1"/>
    </xf>
    <xf numFmtId="0" fontId="27" fillId="16" borderId="1"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9" fillId="24"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7" fillId="0" borderId="5" xfId="0" applyFont="1" applyBorder="1" applyAlignment="1">
      <alignment horizontal="center" vertical="center" wrapText="1"/>
    </xf>
    <xf numFmtId="0" fontId="15" fillId="25" borderId="1" xfId="0" applyFont="1" applyFill="1" applyBorder="1" applyAlignment="1">
      <alignment horizontal="center" vertical="center" wrapText="1"/>
    </xf>
    <xf numFmtId="0" fontId="27" fillId="0" borderId="4" xfId="0" applyFont="1" applyBorder="1" applyAlignment="1">
      <alignment horizontal="center" vertical="center" wrapText="1"/>
    </xf>
    <xf numFmtId="0" fontId="1" fillId="4" borderId="1" xfId="0" applyFont="1" applyFill="1" applyBorder="1" applyAlignment="1">
      <alignment horizontal="center" vertical="center" wrapText="1"/>
    </xf>
    <xf numFmtId="0" fontId="1" fillId="18" borderId="5" xfId="0" applyFont="1" applyFill="1" applyBorder="1" applyAlignment="1">
      <alignment horizontal="center" vertical="center" wrapText="1"/>
    </xf>
    <xf numFmtId="0" fontId="1" fillId="18" borderId="8" xfId="0" applyFont="1" applyFill="1" applyBorder="1" applyAlignment="1">
      <alignment horizontal="center" vertical="center" wrapText="1"/>
    </xf>
    <xf numFmtId="0" fontId="1" fillId="18" borderId="4"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12" fillId="18" borderId="5"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2" fillId="18" borderId="4" xfId="0" applyFont="1" applyFill="1" applyBorder="1" applyAlignment="1">
      <alignment horizontal="center" vertical="center" wrapText="1"/>
    </xf>
    <xf numFmtId="165" fontId="5" fillId="0" borderId="1" xfId="0" applyNumberFormat="1" applyFont="1" applyBorder="1" applyAlignment="1">
      <alignment horizontal="right" vertical="center" wrapText="1"/>
    </xf>
    <xf numFmtId="0" fontId="1" fillId="11"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8" borderId="5" xfId="0" applyFont="1" applyFill="1" applyBorder="1" applyAlignment="1">
      <alignment horizontal="center" vertical="center" wrapText="1"/>
    </xf>
    <xf numFmtId="0" fontId="3" fillId="18" borderId="4" xfId="0" applyFont="1" applyFill="1" applyBorder="1" applyAlignment="1">
      <alignment horizontal="center" vertical="center" wrapText="1"/>
    </xf>
    <xf numFmtId="0" fontId="15" fillId="18" borderId="5" xfId="0" applyFont="1" applyFill="1" applyBorder="1" applyAlignment="1">
      <alignment horizontal="center" vertical="center" wrapText="1"/>
    </xf>
    <xf numFmtId="0" fontId="15" fillId="18" borderId="4" xfId="0" applyFont="1" applyFill="1" applyBorder="1" applyAlignment="1">
      <alignment horizontal="center" vertical="center" wrapText="1"/>
    </xf>
    <xf numFmtId="0" fontId="1" fillId="16" borderId="5" xfId="0" applyFont="1" applyFill="1" applyBorder="1" applyAlignment="1">
      <alignment horizontal="center" vertical="center" wrapText="1"/>
    </xf>
    <xf numFmtId="0" fontId="1" fillId="16" borderId="1" xfId="0" applyFont="1" applyFill="1" applyBorder="1" applyAlignment="1">
      <alignment horizontal="right" vertical="center" wrapText="1"/>
    </xf>
    <xf numFmtId="0" fontId="1" fillId="16" borderId="8"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1" fillId="16" borderId="4" xfId="0" applyFont="1" applyFill="1" applyBorder="1" applyAlignment="1">
      <alignment horizontal="center" vertical="center" wrapText="1"/>
    </xf>
    <xf numFmtId="0" fontId="15" fillId="16" borderId="5" xfId="0" applyFont="1" applyFill="1" applyBorder="1" applyAlignment="1">
      <alignment horizontal="center" vertical="center" wrapText="1"/>
    </xf>
    <xf numFmtId="0" fontId="15" fillId="16" borderId="4" xfId="0" applyFont="1" applyFill="1" applyBorder="1" applyAlignment="1">
      <alignment horizontal="center" vertical="center" wrapText="1"/>
    </xf>
    <xf numFmtId="0" fontId="15" fillId="16" borderId="1" xfId="0" applyFont="1" applyFill="1" applyBorder="1" applyAlignment="1">
      <alignment horizontal="center" vertical="center" wrapText="1"/>
    </xf>
    <xf numFmtId="0" fontId="1" fillId="3" borderId="0" xfId="0" applyFont="1" applyFill="1" applyAlignment="1">
      <alignment horizontal="right" vertical="center" wrapText="1"/>
    </xf>
    <xf numFmtId="0" fontId="5" fillId="3" borderId="15"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3" borderId="0" xfId="0" applyFont="1" applyFill="1" applyAlignment="1">
      <alignment horizontal="center" vertical="center" wrapText="1"/>
    </xf>
    <xf numFmtId="0" fontId="5" fillId="26" borderId="16" xfId="0" applyFont="1" applyFill="1" applyBorder="1" applyAlignment="1">
      <alignment horizontal="center" vertical="center" wrapText="1"/>
    </xf>
    <xf numFmtId="0" fontId="5" fillId="0" borderId="17" xfId="0" applyFont="1" applyBorder="1" applyAlignment="1">
      <alignment horizontal="center" vertical="center" wrapText="1"/>
    </xf>
    <xf numFmtId="0" fontId="5" fillId="19" borderId="0" xfId="0" applyFont="1" applyFill="1" applyAlignment="1">
      <alignment horizontal="center" vertical="center" wrapText="1"/>
    </xf>
    <xf numFmtId="0" fontId="5" fillId="0" borderId="12"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8" xfId="0" applyFont="1" applyBorder="1" applyAlignment="1">
      <alignment horizontal="center" vertical="center" wrapText="1"/>
    </xf>
    <xf numFmtId="0" fontId="5" fillId="3" borderId="12" xfId="0" applyFont="1" applyFill="1" applyBorder="1" applyAlignment="1">
      <alignment horizontal="center" vertical="center" wrapText="1"/>
    </xf>
    <xf numFmtId="0" fontId="28" fillId="0" borderId="19" xfId="0" applyFont="1" applyBorder="1" applyAlignment="1">
      <alignment horizontal="center" vertical="center" wrapText="1"/>
    </xf>
    <xf numFmtId="0" fontId="28" fillId="0" borderId="17" xfId="0" applyFont="1" applyBorder="1" applyAlignment="1">
      <alignment horizontal="center" vertical="center" wrapText="1"/>
    </xf>
    <xf numFmtId="0" fontId="28" fillId="0" borderId="20" xfId="0" applyFont="1" applyBorder="1" applyAlignment="1">
      <alignment horizontal="center" vertical="center" wrapText="1"/>
    </xf>
    <xf numFmtId="0" fontId="28" fillId="3" borderId="19" xfId="0" applyFont="1" applyFill="1" applyBorder="1" applyAlignment="1">
      <alignment horizontal="center" vertical="center" wrapText="1"/>
    </xf>
    <xf numFmtId="0" fontId="28" fillId="3" borderId="20" xfId="0" applyFont="1" applyFill="1" applyBorder="1" applyAlignment="1">
      <alignment horizontal="center" vertical="center" wrapText="1"/>
    </xf>
    <xf numFmtId="0" fontId="28" fillId="3" borderId="17" xfId="0" applyFont="1" applyFill="1" applyBorder="1" applyAlignment="1">
      <alignment horizontal="center" vertical="center" wrapText="1"/>
    </xf>
    <xf numFmtId="0" fontId="28" fillId="0" borderId="21" xfId="0" applyFont="1" applyBorder="1" applyAlignment="1">
      <alignment horizontal="center" vertical="center" wrapText="1"/>
    </xf>
    <xf numFmtId="0" fontId="28" fillId="0" borderId="22" xfId="0" applyFont="1" applyBorder="1" applyAlignment="1">
      <alignment horizontal="center" vertical="center" wrapText="1"/>
    </xf>
    <xf numFmtId="0" fontId="28" fillId="0" borderId="23" xfId="0" applyFont="1" applyBorder="1" applyAlignment="1">
      <alignment horizontal="center" vertical="center" wrapText="1"/>
    </xf>
    <xf numFmtId="0" fontId="28" fillId="3" borderId="21" xfId="0" applyFont="1" applyFill="1" applyBorder="1" applyAlignment="1">
      <alignment horizontal="center" vertical="center" wrapText="1"/>
    </xf>
    <xf numFmtId="0" fontId="28" fillId="3" borderId="23" xfId="0" applyFont="1" applyFill="1" applyBorder="1" applyAlignment="1">
      <alignment horizontal="center" vertical="center" wrapText="1"/>
    </xf>
    <xf numFmtId="0" fontId="28" fillId="3" borderId="22" xfId="0" applyFont="1" applyFill="1" applyBorder="1" applyAlignment="1">
      <alignment horizontal="center" vertical="center" wrapText="1"/>
    </xf>
    <xf numFmtId="0" fontId="28" fillId="0" borderId="24" xfId="0" applyFont="1" applyBorder="1" applyAlignment="1">
      <alignment horizontal="center" vertical="center" wrapText="1"/>
    </xf>
    <xf numFmtId="0" fontId="28" fillId="0" borderId="0" xfId="0" applyFont="1" applyAlignment="1">
      <alignment horizontal="center" vertical="center" wrapText="1"/>
    </xf>
    <xf numFmtId="0" fontId="28" fillId="0" borderId="3" xfId="0" applyFont="1" applyBorder="1" applyAlignment="1">
      <alignment horizontal="center" vertical="center" wrapText="1"/>
    </xf>
    <xf numFmtId="0" fontId="28" fillId="0" borderId="2" xfId="0" applyFont="1" applyBorder="1" applyAlignment="1">
      <alignment horizontal="center" vertical="center" wrapText="1"/>
    </xf>
    <xf numFmtId="0" fontId="28" fillId="0" borderId="13" xfId="0" applyFont="1" applyBorder="1" applyAlignment="1">
      <alignment horizontal="center" vertical="center" wrapText="1"/>
    </xf>
    <xf numFmtId="0" fontId="28" fillId="3" borderId="25" xfId="0" applyFont="1" applyFill="1" applyBorder="1" applyAlignment="1">
      <alignment horizontal="center" vertical="center" wrapText="1"/>
    </xf>
    <xf numFmtId="0" fontId="28" fillId="3" borderId="26" xfId="0" applyFont="1" applyFill="1" applyBorder="1" applyAlignment="1">
      <alignment horizontal="center" vertical="center" wrapText="1"/>
    </xf>
    <xf numFmtId="0" fontId="28" fillId="3" borderId="27" xfId="0" applyFont="1" applyFill="1" applyBorder="1" applyAlignment="1">
      <alignment horizontal="center" vertical="center" wrapText="1"/>
    </xf>
    <xf numFmtId="0" fontId="28" fillId="0" borderId="25" xfId="0" applyFont="1" applyBorder="1" applyAlignment="1">
      <alignment horizontal="center" vertical="center" wrapText="1"/>
    </xf>
    <xf numFmtId="0" fontId="28" fillId="0" borderId="26" xfId="0" applyFont="1" applyBorder="1" applyAlignment="1">
      <alignment horizontal="center" vertical="center" wrapText="1"/>
    </xf>
    <xf numFmtId="0" fontId="28" fillId="0" borderId="27"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7" xfId="0" applyFont="1" applyBorder="1" applyAlignment="1">
      <alignment horizontal="center" vertical="center" wrapText="1"/>
    </xf>
    <xf numFmtId="0" fontId="28" fillId="0" borderId="28" xfId="0" applyFont="1" applyBorder="1" applyAlignment="1">
      <alignment horizontal="center" vertical="center" wrapText="1"/>
    </xf>
    <xf numFmtId="0" fontId="28" fillId="0" borderId="9"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29" xfId="0" applyFont="1" applyBorder="1" applyAlignment="1">
      <alignment horizontal="center" vertical="center" wrapText="1"/>
    </xf>
    <xf numFmtId="0" fontId="28" fillId="0" borderId="11" xfId="0" applyFont="1" applyBorder="1" applyAlignment="1">
      <alignment horizontal="center" vertical="center" wrapText="1"/>
    </xf>
    <xf numFmtId="0" fontId="28" fillId="3" borderId="24" xfId="0" applyFont="1" applyFill="1" applyBorder="1" applyAlignment="1">
      <alignment horizontal="center" vertical="center" wrapText="1"/>
    </xf>
    <xf numFmtId="0" fontId="28" fillId="3" borderId="0" xfId="0" applyFont="1" applyFill="1" applyAlignment="1">
      <alignment horizontal="center" vertical="center" wrapText="1"/>
    </xf>
    <xf numFmtId="0" fontId="28" fillId="3" borderId="28"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27" borderId="1" xfId="0"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5" fillId="0" borderId="0" xfId="0" applyFont="1" applyAlignment="1">
      <alignment horizontal="right" vertical="center" wrapText="1"/>
    </xf>
    <xf numFmtId="49" fontId="5"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s>
</file>

<file path=xl/drawings/_rels/drawing4.xml.rels><?xml version="1.0" encoding="UTF-8" standalone="yes"?>
<Relationships xmlns="http://schemas.openxmlformats.org/package/2006/relationships"><Relationship Id="rId1" Type="http://schemas.openxmlformats.org/officeDocument/2006/relationships/image" Target="../media/image0.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drawing4.xml><?xml version="1.0" encoding="utf-8"?>
<xdr:wsDr xmlns:xdr="http://schemas.openxmlformats.org/drawingml/2006/spreadsheetDrawing" xmlns:a="http://schemas.openxmlformats.org/drawingml/2006/main">
  <xdr:twoCellAnchor editAs="oneCell">
    <xdr:from>
      <xdr:col>39</xdr:col>
      <xdr:colOff>0</xdr:colOff>
      <xdr:row>51</xdr:row>
      <xdr:rowOff>0</xdr:rowOff>
    </xdr:from>
    <xdr:to>
      <xdr:col>40</xdr:col>
      <xdr:colOff>0</xdr:colOff>
      <xdr:row>52</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363</xdr:row>
      <xdr:rowOff>0</xdr:rowOff>
    </xdr:from>
    <xdr:to>
      <xdr:col>7</xdr:col>
      <xdr:colOff>0</xdr:colOff>
      <xdr:row>364</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0</xdr:colOff>
      <xdr:row>5</xdr:row>
      <xdr:rowOff>0</xdr:rowOff>
    </xdr:from>
    <xdr:to>
      <xdr:col>15</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16</xdr:col>
      <xdr:colOff>0</xdr:colOff>
      <xdr:row>41</xdr:row>
      <xdr:rowOff>0</xdr:rowOff>
    </xdr:from>
    <xdr:to>
      <xdr:col>17</xdr:col>
      <xdr:colOff>0</xdr:colOff>
      <xdr:row>42</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0</xdr:colOff>
      <xdr:row>87</xdr:row>
      <xdr:rowOff>0</xdr:rowOff>
    </xdr:from>
    <xdr:to>
      <xdr:col>12</xdr:col>
      <xdr:colOff>0</xdr:colOff>
      <xdr:row>88</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8</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bytedance.larkoffice.com/record/UqyPriTOceQPk2cK286cUiD1niC" TargetMode="External"/><Relationship Id="rId2" Type="http://schemas.openxmlformats.org/officeDocument/2006/relationships/hyperlink" Target="http://jira.z-onesoftware.com:8080/browse/DNA-3017" TargetMode="External"/><Relationship Id="rId3" Type="http://schemas.openxmlformats.org/officeDocument/2006/relationships/hyperlink" Target="https://bytedance.larkoffice.com/record/Uo2yrneFcel0qIcSomxceYHPnQe" TargetMode="External"/><Relationship Id="rId4" Type="http://schemas.openxmlformats.org/officeDocument/2006/relationships/hyperlink" Target="https://bytedance.larkoffice.com/record/CaiNreLVueitpDc6sjGcM4lknkc" TargetMode="External"/><Relationship Id="rId5" Type="http://schemas.openxmlformats.org/officeDocument/2006/relationships/hyperlink" Target="https://bytedance.larkoffice.com/record/WHmar4YrIe51dMco5l6ctZapnuh" TargetMode="External"/><Relationship Id="rId6" Type="http://schemas.openxmlformats.org/officeDocument/2006/relationships/hyperlink" Target="https://meego.larkoffice.com/telematics/issue/detail/7356996132?from=from_parent_docs&amp;tabKey=detail#detail" TargetMode="External"/><Relationship Id="rId7" Type="http://schemas.openxmlformats.org/officeDocument/2006/relationships/hyperlink" Target="https://meego.larkoffice.com/telematics/issue/detail/7088293062" TargetMode="External"/><Relationship Id="rId8" Type="http://schemas.openxmlformats.org/officeDocument/2006/relationships/hyperlink" Target="https://bytedance.larkoffice.com/record/KzAOrafdOeCnHacfiK6ckJ8unyf" TargetMode="External"/><Relationship Id="rId9" Type="http://schemas.openxmlformats.org/officeDocument/2006/relationships/hyperlink" Target="https://bytedance.larkoffice.com/record/ON1prVSuKeU1TYcsLHpcu3Txnlg" TargetMode="External"/><Relationship Id="rId10" Type="http://schemas.openxmlformats.org/officeDocument/2006/relationships/hyperlink" Target="https://bytedance.larkoffice.com/record/Iyywrgsh2eQA08cSItScxKQCnzh" TargetMode="External"/><Relationship Id="rId11" Type="http://schemas.openxmlformats.org/officeDocument/2006/relationships/hyperlink" Target="https://bytedance.larkoffice.com/record/EX65rvfNmePZEbcDBZpcHXG1nrh" TargetMode="External"/><Relationship Id="rId12" Type="http://schemas.openxmlformats.org/officeDocument/2006/relationships/hyperlink" Target="https://bytedance.larkoffice.com/record/D7ggrwtCledBrIcYQYlcpyRhnDd" TargetMode="External"/><Relationship Id="rId13" Type="http://schemas.openxmlformats.org/officeDocument/2006/relationships/hyperlink" Target="https://bytedance.larkoffice.com/file/W0fxbJGjKoTq7KxYUyIcUbU2ncf" TargetMode="External"/><Relationship Id="rId14" Type="http://schemas.openxmlformats.org/officeDocument/2006/relationships/hyperlink" Target="https://bytedance.larkoffice.com/record/Eunmr4LB4eJFXrcxyVlcb1qun6c" TargetMode="External"/><Relationship Id="rId15" Type="http://schemas.openxmlformats.org/officeDocument/2006/relationships/hyperlink" Target="https://bytedance.larkoffice.com/record/WtndrrGeye5iX2cyOPycM3nOnTh" TargetMode="External"/><Relationship Id="rId16" Type="http://schemas.openxmlformats.org/officeDocument/2006/relationships/hyperlink" Target="https://bytedance.larkoffice.com/record/XTdSr1uKTeSfTHcqTcVcqiTRnfe" TargetMode="External"/><Relationship Id="rId17" Type="http://schemas.openxmlformats.org/officeDocument/2006/relationships/hyperlink" Target="https://bytedance.larkoffice.com/record/UgDRr5xMweJZnIcKKWFcfusIntf" TargetMode="External"/><Relationship Id="rId18" Type="http://schemas.openxmlformats.org/officeDocument/2006/relationships/hyperlink" Target="https://bytedance.larkoffice.com/record/Qvzjr1p6xetzHDcusklceEj7nrd" TargetMode="External"/><Relationship Id="rId19" Type="http://schemas.openxmlformats.org/officeDocument/2006/relationships/hyperlink" Target="https://bytedance.larkoffice.com/record/V9xGreDHke2mECcNdOycFZu4nhn" TargetMode="External"/><Relationship Id="rId20" Type="http://schemas.openxmlformats.org/officeDocument/2006/relationships/hyperlink" Target="https://bytedance.larkoffice.com/wiki/UcRRwKhTEi6by2ks5vNcjGdtnb9?renamingWikiNode=false&amp;sheet=drewLC" TargetMode="External"/><Relationship Id="rId21" Type="http://schemas.openxmlformats.org/officeDocument/2006/relationships/hyperlink" Target="https://bytedance.larkoffice.com/record/YmcYrm0ape8GgBc2Q8mcApEsnyh" TargetMode="External"/><Relationship Id="rId22" Type="http://schemas.openxmlformats.org/officeDocument/2006/relationships/hyperlink" Target="https://bytedance.larkoffice.com/record/J3rDrUbjKeMm4CcISQAc3XM7n2e" TargetMode="External"/><Relationship Id="rId23" Type="http://schemas.openxmlformats.org/officeDocument/2006/relationships/hyperlink" Target="https://bytedance.larkoffice.com/record/P22rruNyEejDVbc8E9OcrEzPn8e" TargetMode="External"/><Relationship Id="rId24" Type="http://schemas.openxmlformats.org/officeDocument/2006/relationships/hyperlink" Target="http://jira.z-onesoftware.com:8080/browse/DNA-2973" TargetMode="External"/><Relationship Id="rId25" Type="http://schemas.openxmlformats.org/officeDocument/2006/relationships/hyperlink" Target="https://meego.larkoffice.com/telematics/issue/detail/7282835850" TargetMode="External"/><Relationship Id="rId26" Type="http://schemas.openxmlformats.org/officeDocument/2006/relationships/hyperlink" Target="https://meego.larkoffice.com/telematics/issue/detail/7344391775?parentUrl=%2Ftelematics%2Fissue%2Fhomepage&amp;openScene=4&amp;tabKey=comment#comment" TargetMode="External"/><Relationship Id="rId27" Type="http://schemas.openxmlformats.org/officeDocument/2006/relationships/hyperlink" Target="https://bytedance.larkoffice.com/file/YV7HbJ1y5o7ZY8xj1SdcAwOLnih" TargetMode="External"/><Relationship Id="rId28" Type="http://schemas.openxmlformats.org/officeDocument/2006/relationships/hyperlink" Target="https://bytedance.larkoffice.com/record/Tg97rhktlet3uOcsBo5cWzjynhf" TargetMode="External"/><Relationship Id="rId29" Type="http://schemas.openxmlformats.org/officeDocument/2006/relationships/hyperlink" Target="https://bytedance.larkoffice.com/record/Yki8raciieLBemcU9DMcffK0nqd" TargetMode="External"/><Relationship Id="rId30" Type="http://schemas.openxmlformats.org/officeDocument/2006/relationships/hyperlink" Target="https://bytedance.larkoffice.com/record/G7xSrn6Bfe8crUcp8YAcV28rniH" TargetMode="External"/><Relationship Id="rId31" Type="http://schemas.openxmlformats.org/officeDocument/2006/relationships/hyperlink" Target="https://bytedance.larkoffice.com/record/U5PmrChWJekPLRcK4zXcJuk8nIf" TargetMode="External"/><Relationship Id="rId32" Type="http://schemas.openxmlformats.org/officeDocument/2006/relationships/hyperlink" Target="https://bytedance.larkoffice.com/record/S1CprG4p4e8Ko7ct8tFcOSzQnZf" TargetMode="External"/><Relationship Id="rId33" Type="http://schemas.openxmlformats.org/officeDocument/2006/relationships/hyperlink" Target="https://bytedance.larkoffice.com/record/McRSr2rVBeIG93cOKO0cmSnKnjM" TargetMode="External"/><Relationship Id="rId34" Type="http://schemas.openxmlformats.org/officeDocument/2006/relationships/hyperlink" Target="https://meego.larkoffice.com/telematics/story/detail/7163979318" TargetMode="External"/><Relationship Id="rId35" Type="http://schemas.openxmlformats.org/officeDocument/2006/relationships/hyperlink" Target="http://jira.z-onesoftware.com:8080/browse/DNA-2649" TargetMode="External"/><Relationship Id="rId36" Type="http://schemas.openxmlformats.org/officeDocument/2006/relationships/hyperlink" Target="https://bytedance.larkoffice.com/record/QGV6rg2rmemOEJcTZKacf3mknmg" TargetMode="External"/><Relationship Id="rId37" Type="http://schemas.openxmlformats.org/officeDocument/2006/relationships/hyperlink" Target="https://bytedance.larkoffice.com/record/NlZyrvRCreozNDcrnkNcIXa6nRd" TargetMode="External"/><Relationship Id="rId38" Type="http://schemas.openxmlformats.org/officeDocument/2006/relationships/hyperlink" Target="http://jira.z-onesoftware.com:8080/browse/DNA-2898" TargetMode="External"/><Relationship Id="rId39" Type="http://schemas.openxmlformats.org/officeDocument/2006/relationships/hyperlink" Target="http://jira.z-onesoftware.com:8080/browse/DNA-1891" TargetMode="External"/><Relationship Id="rId40" Type="http://schemas.openxmlformats.org/officeDocument/2006/relationships/hyperlink" Target="https://bytedance.larkoffice.com/record/EPhZrHKC3eVNObcEb8pcMBvunnh" TargetMode="External"/><Relationship Id="rId41" Type="http://schemas.openxmlformats.org/officeDocument/2006/relationships/hyperlink" Target="https://bytedance.larkoffice.com/file/D8tGbrTi2ovDJzxJJZSc2khWnTf" TargetMode="External"/><Relationship Id="rId42" Type="http://schemas.openxmlformats.org/officeDocument/2006/relationships/hyperlink" Target="https://bytedance.larkoffice.com/record/PFRercs5WeJWclcT1RJc0ZtenNc" TargetMode="External"/><Relationship Id="rId43" Type="http://schemas.openxmlformats.org/officeDocument/2006/relationships/hyperlink" Target="https://bytedance.larkoffice.com/record/PFRercs5WeJWclcT1RJc0ZtenNc" TargetMode="External"/><Relationship Id="rId44" Type="http://schemas.openxmlformats.org/officeDocument/2006/relationships/hyperlink" Target="https://bytedance.larkoffice.com/record/Jtncr4RPWehLmLcoLhsclgw0nWd" TargetMode="External"/><Relationship Id="rId45" Type="http://schemas.openxmlformats.org/officeDocument/2006/relationships/hyperlink" Target="https://bytedance.larkoffice.com/record/GV2qrvCnpeVIS1cjwzWcOWN5n4g" TargetMode="External"/><Relationship Id="rId46" Type="http://schemas.openxmlformats.org/officeDocument/2006/relationships/hyperlink" Target="https://bytedance.larkoffice.com/record/V4AArjvjoe4SdYccJ3AcihNdnyd" TargetMode="External"/><Relationship Id="rId47" Type="http://schemas.openxmlformats.org/officeDocument/2006/relationships/hyperlink" Target="https://bytedance.larkoffice.com/record/AwG3rgVQ6eTKLdc7uFncAIWHnke" TargetMode="External"/><Relationship Id="rId48" Type="http://schemas.openxmlformats.org/officeDocument/2006/relationships/hyperlink" Target="https://bytedance.larkoffice.com/record/WxAlrhoJle2R0ccXVrlcafhjnsh" TargetMode="External"/><Relationship Id="rId49" Type="http://schemas.openxmlformats.org/officeDocument/2006/relationships/hyperlink" Target="https://bytedance.larkoffice.com/record/Gn1IrBO4XeBcu9cpYaTci7FDnGb" TargetMode="External"/><Relationship Id="rId50" Type="http://schemas.openxmlformats.org/officeDocument/2006/relationships/hyperlink" Target="https://bytedance.larkoffice.com/record/U9DFrKvWsesAXdc0rgScEWeAnih?ccm_open_type=record_message&amp;open_in_browser=true" TargetMode="External"/><Relationship Id="rId51" Type="http://schemas.openxmlformats.org/officeDocument/2006/relationships/hyperlink" Target="https://bytedance.larkoffice.com/record/VEh4rM8AEeqzGNcvuwQcGSW7nmf" TargetMode="External"/><Relationship Id="rId5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ternal-api-drive-stream.larkoffice.com/space/api/box/stream/download/preview/FH3MbXG3DovIIuxFMKscSvuUniC?mount_point=docx_file&amp;preview_type=16" TargetMode="External"/><Relationship Id="rId2" Type="http://schemas.openxmlformats.org/officeDocument/2006/relationships/hyperlink" Target="https://bytedance.larkoffice.com/wiki/UcRRwKhTEi6by2ks5vNcjGdtnb9?renamingWikiNode=false&amp;sheet=75P8pj" TargetMode="External"/><Relationship Id="rId3" Type="http://schemas.openxmlformats.org/officeDocument/2006/relationships/hyperlink" Target="https://internal-api-drive-stream.larkoffice.com/space/api/box/stream/download/preview/E00MbW95dopf7nxUdIZccCL6nmh?mount_point=docx_file&amp;preview_type=16" TargetMode="External"/><Relationship Id="rId4" Type="http://schemas.openxmlformats.org/officeDocument/2006/relationships/hyperlink" Target="https://internal-api-drive-stream.larkoffice.com/space/api/box/stream/download/preview/RLZnbX77xonMJuxXdEkcMzzIngf?mount_point=docx_file&amp;preview_type=16" TargetMode="External"/><Relationship Id="rId5" Type="http://schemas.openxmlformats.org/officeDocument/2006/relationships/hyperlink" Target="https://internal-api-drive-stream.larkoffice.com/space/api/box/stream/download/preview/CpmybEouko8MB5xEnskceMlFneb?mount_point=docx_file&amp;preview_type=16" TargetMode="External"/><Relationship Id="rId6" Type="http://schemas.openxmlformats.org/officeDocument/2006/relationships/hyperlink" Target="https://internal-api-drive-stream.larkoffice.com/space/api/box/stream/download/preview/WpAmbulTdoU7EFxWTdKc5X00n1b?mount_point=docx_file&amp;preview_type=16" TargetMode="External"/><Relationship Id="rId7" Type="http://schemas.openxmlformats.org/officeDocument/2006/relationships/hyperlink" Target="https://internal-api-drive-stream.larkoffice.com/space/api/box/stream/download/preview/G5UhbXIq8oJfn2xvYf7cqVYPnUg?mount_point=docx_file&amp;preview_type=16" TargetMode="External"/><Relationship Id="rId8" Type="http://schemas.openxmlformats.org/officeDocument/2006/relationships/hyperlink" Target="https://internal-api-drive-stream.larkoffice.com/space/api/box/stream/download/preview/Wsb7bG7Lwo0qrvxNjIAc15TznVd?mount_point=docx_file&amp;preview_type=16" TargetMode="External"/><Relationship Id="rId9" Type="http://schemas.openxmlformats.org/officeDocument/2006/relationships/hyperlink" Target="https://internal-api-drive-stream.larkoffice.com/space/api/box/stream/download/preview/G6hGb4a6YoL9rjxbTYacEB9Znld?mount_point=docx_file&amp;preview_type=16" TargetMode="External"/><Relationship Id="rId10" Type="http://schemas.openxmlformats.org/officeDocument/2006/relationships/hyperlink" Target="https://internal-api-drive-stream.larkoffice.com/space/api/box/stream/download/preview/N8mkba3dtoDyldxTx49cEn4znDp?mount_point=docx_file&amp;preview_type=16" TargetMode="External"/><Relationship Id="rId11" Type="http://schemas.openxmlformats.org/officeDocument/2006/relationships/hyperlink" Target="https://bytedance.larkoffice.com/wiki/J73rwW0EtiyHZekXaaacYQmxnBg?renamingWikiNode=false" TargetMode="External"/><Relationship Id="rId12" Type="http://schemas.openxmlformats.org/officeDocument/2006/relationships/hyperlink" Target="https://internal-api-drive-stream.larkoffice.com/space/api/box/stream/download/preview/Czhzb02bjoMPRKxJxG0cKt5ln3d?mount_point=docx_file&amp;preview_type=16" TargetMode="External"/><Relationship Id="rId13" Type="http://schemas.openxmlformats.org/officeDocument/2006/relationships/hyperlink" Target="https://internal-api-drive-stream.larkoffice.com/space/api/box/stream/download/preview/JmE6bmBTOoq9htxsgibc3sXQnoh?mount_point=docx_file&amp;preview_type=16" TargetMode="External"/><Relationship Id="rId14" Type="http://schemas.openxmlformats.org/officeDocument/2006/relationships/hyperlink" Target="https://internal-api-drive-stream.larkoffice.com/space/api/box/stream/download/preview/Ml1sbVzqPoZwh8xCnC7c0ODDnNB?mount_point=docx_file&amp;preview_type=16" TargetMode="External"/><Relationship Id="rId15" Type="http://schemas.openxmlformats.org/officeDocument/2006/relationships/hyperlink" Target="https://internal-api-drive-stream.larkoffice.com/space/api/box/stream/download/preview/YGW1bsm0doJTGExRIH7cMJDvnzh?mount_point=docx_file&amp;preview_type=16" TargetMode="External"/><Relationship Id="rId16" Type="http://schemas.openxmlformats.org/officeDocument/2006/relationships/hyperlink" Target="https://internal-api-drive-stream.larkoffice.com/space/api/box/stream/download/preview/KxiDb46D0odIFRxCWiecpsXxn5f?mount_point=docx_file&amp;preview_type=16" TargetMode="External"/><Relationship Id="rId17" Type="http://schemas.openxmlformats.org/officeDocument/2006/relationships/hyperlink" Target="https://internal-api-drive-stream.larkoffice.com/space/api/box/stream/download/preview/XeC5bPtVfo9DE2xJjt0cO18endg?mount_point=docx_file&amp;preview_type=16" TargetMode="External"/><Relationship Id="rId18" Type="http://schemas.openxmlformats.org/officeDocument/2006/relationships/hyperlink" Target="https://internal-api-drive-stream.larkoffice.com/space/api/box/stream/download/preview/B7OPbYDtVoZiJwxrfzgcYtNdnbd?mount_point=docx_file&amp;preview_type=16" TargetMode="External"/><Relationship Id="rId19" Type="http://schemas.openxmlformats.org/officeDocument/2006/relationships/hyperlink" Target="https://internal-api-drive-stream.larkoffice.com/space/api/box/stream/download/preview/ErMabRHqPoqBQ2x90yHcjEfinZ7?mount_point=docx_file&amp;preview_type=16" TargetMode="External"/><Relationship Id="rId20" Type="http://schemas.openxmlformats.org/officeDocument/2006/relationships/hyperlink" Target="https://internal-api-drive-stream.larkoffice.com/space/api/box/stream/download/preview/DNVxbMX7joPjUSx81qUcSQyInEg?mount_point=docx_file&amp;preview_type=16" TargetMode="External"/><Relationship Id="rId21" Type="http://schemas.openxmlformats.org/officeDocument/2006/relationships/hyperlink" Target="https://internal-api-drive-stream.larkoffice.com/space/api/box/stream/download/preview/MxzYbVFtPobDj2xkJBncIyyqnKc?mount_point=docx_file&amp;preview_type=16" TargetMode="External"/><Relationship Id="rId22" Type="http://schemas.openxmlformats.org/officeDocument/2006/relationships/hyperlink" Target="https://internal-api-drive-stream.larkoffice.com/space/api/box/stream/download/preview/B1aLbyMxloHQmRxzJKncE0cSnAh?mount_point=docx_file&amp;preview_type=16" TargetMode="External"/><Relationship Id="rId23" Type="http://schemas.openxmlformats.org/officeDocument/2006/relationships/hyperlink" Target="https://internal-api-drive-stream.larkoffice.com/space/api/box/stream/download/preview/KFulb8Sl6obDIuxkn7tc1Prnn8W?mount_point=docx_file&amp;preview_type=16" TargetMode="External"/><Relationship Id="rId24" Type="http://schemas.openxmlformats.org/officeDocument/2006/relationships/hyperlink" Target="https://internal-api-drive-stream.larkoffice.com/space/api/box/stream/download/preview/PUhibB3o3owHzUxzHGHcVwrgnqf?mount_point=docx_file&amp;preview_type=16" TargetMode="External"/><Relationship Id="rId25" Type="http://schemas.openxmlformats.org/officeDocument/2006/relationships/hyperlink" Target="https://internal-api-drive-stream.larkoffice.com/space/api/box/stream/download/preview/LeV8b6FlBoumiUxHAalc7ekon3c?mount_point=docx_file&amp;preview_type=16" TargetMode="External"/><Relationship Id="rId26" Type="http://schemas.openxmlformats.org/officeDocument/2006/relationships/hyperlink" Target="https://bytedance.larkoffice.com/wiki/LightConstants.LightArea.html" TargetMode="External"/><Relationship Id="rId27" Type="http://schemas.openxmlformats.org/officeDocument/2006/relationships/hyperlink" Target="http://jira.z-onesoftware.com:8080/browse/DNA-1475" TargetMode="External"/><Relationship Id="rId28" Type="http://schemas.openxmlformats.org/officeDocument/2006/relationships/hyperlink" Target="https://internal-api-drive-stream.larkoffice.com/space/api/box/stream/download/preview/XVvVbxT7soPygdx294wcsryznsb?mount_point=docx_file&amp;preview_type=16" TargetMode="External"/><Relationship Id="rId29" Type="http://schemas.openxmlformats.org/officeDocument/2006/relationships/hyperlink" Target="https://bytedance.larkoffice.com/file/TNu0bdiqmo49vmxVufDcNZNrnrh" TargetMode="External"/><Relationship Id="rId30" Type="http://schemas.openxmlformats.org/officeDocument/2006/relationships/hyperlink" Target="https://internal-api-drive-stream.larkoffice.com/space/api/box/stream/download/preview/Q6aVbOqFJojpAdxYEfccTOdpnNh?mount_point=docx_file&amp;preview_type=16" TargetMode="External"/><Relationship Id="rId31" Type="http://schemas.openxmlformats.org/officeDocument/2006/relationships/hyperlink" Target="https://internal-api-drive-stream.larkoffice.com/space/api/box/stream/download/preview/VhgebkMBgonABfx72iecUFrqnJf?mount_point=docx_file&amp;preview_type=16" TargetMode="External"/><Relationship Id="rId32" Type="http://schemas.openxmlformats.org/officeDocument/2006/relationships/hyperlink" Target="https://bytedance.larkoffice.com/file/BbGWb3XuHoRV7SxAc1FcEaoWnRh" TargetMode="External"/><Relationship Id="rId33" Type="http://schemas.openxmlformats.org/officeDocument/2006/relationships/hyperlink" Target="https://internal-api-drive-stream.larkoffice.com/space/api/box/stream/download/preview/YWYfbjahWoEc7Hxe0DLckLz3neg?mount_point=docx_file&amp;preview_type=16" TargetMode="External"/><Relationship Id="rId34" Type="http://schemas.openxmlformats.org/officeDocument/2006/relationships/hyperlink" Target="https://internal-api-drive-stream.larkoffice.com/space/api/box/stream/download/preview/TwvubIy07ouTF0xSb8rcinMRnxd?mount_point=docx_file&amp;preview_type=16" TargetMode="External"/><Relationship Id="rId3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internal-api-drive-stream.larkoffice.com/space/api/box/stream/download/preview/THBLbLW5XoUKPGxHLKQcFb0Cnsh?mount_point=docx_file&amp;preview_type=16" TargetMode="External"/><Relationship Id="rId2" Type="http://schemas.openxmlformats.org/officeDocument/2006/relationships/hyperlink" Target="https://bytedance.larkoffice.com/file/SnKhbGGH4o5D8Sxc6UWcMahWnfc" TargetMode="External"/><Relationship Id="rId3" Type="http://schemas.openxmlformats.org/officeDocument/2006/relationships/hyperlink" Target="https://internal-api-drive-stream.larkoffice.com/space/api/box/stream/download/preview/N4atbsoGboMKRyxpzpCcHebZnGg?mount_point=docx_file&amp;preview_type=16" TargetMode="External"/><Relationship Id="rId4" Type="http://schemas.openxmlformats.org/officeDocument/2006/relationships/hyperlink" Target="http://jira.z-onesoftware.com:8080/browse/DNA-2839"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internal-api-drive-stream.larkoffice.com/space/api/box/stream/download/preview/IaIUbykvvonR9Xx6DKocwFhSnWc?mount_point=docx_file&amp;preview_type=16" TargetMode="External"/><Relationship Id="rId2" Type="http://schemas.openxmlformats.org/officeDocument/2006/relationships/hyperlink" Target="https://internal-api-drive-stream.larkoffice.com/space/api/box/stream/download/preview/N5FibgmNhoHkFDx1EThcZhNUnLe?mount_point=docx_file&amp;preview_type=16" TargetMode="External"/><Relationship Id="rId3" Type="http://schemas.openxmlformats.org/officeDocument/2006/relationships/hyperlink" Target="https://internal-api-drive-stream.larkoffice.com/space/api/box/stream/download/preview/JiTxbqc15oVPEVxT2V4ckmpHnBe?mount_point=docx_file&amp;preview_type=1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internal-api-drive-stream.larkoffice.com/space/api/box/stream/download/preview/WZzTb9DSNoTgoexWMYKcINvFnmc?mount_point=docx_file&amp;preview_type=16" TargetMode="External"/><Relationship Id="rId2" Type="http://schemas.openxmlformats.org/officeDocument/2006/relationships/hyperlink" Target="https://internal-api-drive-stream.larkoffice.com/space/api/box/stream/download/preview/S7rpbwQBdonAGvxi0NNcobuHn9c?mount_point=docx_file&amp;preview_type=16"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bytedance.larkoffice.com/file/MUhnbTJ7ho1X6txZgmac8HNRnmW" TargetMode="External"/><Relationship Id="rId2" Type="http://schemas.openxmlformats.org/officeDocument/2006/relationships/hyperlink" Target="https://internal-api-drive-stream.larkoffice.com/space/api/box/stream/download/preview/YJ4YbzYpdoCJxyxQMSScxokJndb?mount_point=docx_file&amp;preview_type=16" TargetMode="External"/><Relationship Id="rId3" Type="http://schemas.openxmlformats.org/officeDocument/2006/relationships/hyperlink" Target="https://bytedance.larkoffice.com/wiki/UcRRwKhTEi6by2ks5vNcjGdtnb9?renamingWikiNode=false&amp;sheet=drewLC"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pq3b44yw2t9.feishu.cn/file/ScR8byQo7oTJiExiUgCccI9Jn8f"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internal-api-drive-stream.larkoffice.com/space/api/box/stream/download/preview/Kva7bFLv8oB6d0xvmuJcNMPnnyb?mount_point=docx_file&amp;preview_type=16"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Blh6QD" TargetMode="External"/><Relationship Id="rId2" Type="http://schemas.openxmlformats.org/officeDocument/2006/relationships/hyperlink" Target="https://internal-api-drive-stream.larkoffice.com/space/api/box/stream/download/preview/W2idb8mkuo476PxUHs2c4d6nnOd?mount_point=docx_file&amp;preview_type=16" TargetMode="External"/><Relationship Id="rId3" Type="http://schemas.openxmlformats.org/officeDocument/2006/relationships/hyperlink" Target="ccVCxB" TargetMode="External"/><Relationship Id="rId4" Type="http://schemas.openxmlformats.org/officeDocument/2006/relationships/hyperlink" Target="https://bytedance.larkoffice.com/file/EXc1bEFkaoWOxPxQRSEc58qOn6c"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bytedance.larkoffice.com/wiki/GLONwArA3iP8kGk6B2ychD1Snpe?sheet=3dSGsY"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bytedance.larkoffice.com/wiki/AgNIw2znCil1yBkJY6ccW7FOnVb?sheet=9ba0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8.142857142857142" style="1" customWidth="1"/>
    <col min="2" max="2" width="18.2500000984541" style="1" customWidth="1"/>
    <col min="3" max="3" width="13.535714384168386" style="1" customWidth="1"/>
    <col min="4" max="4" width="16.535714384168386" style="1" customWidth="1"/>
    <col min="5" max="5" width="15" style="1" customWidth="1"/>
    <col min="6" max="6" width="16.2500000984541" style="1" customWidth="1"/>
    <col min="7" max="7" width="15.535714384168386" style="1" customWidth="1"/>
    <col min="8" max="9" width="15" style="1" customWidth="1"/>
    <col min="10" max="10" width="19.82142866988267" style="1" customWidth="1"/>
    <col min="11" max="21" width="15" style="1" customWidth="1"/>
  </cols>
  <sheetData>
    <row r="1" spans="1:10">
      <c r="A1" s="2" t="str">
        <v>车控车设</v>
      </c>
      <c r="B1" s="2" t="str">
        <v>总接口量</v>
      </c>
      <c r="C1" s="2">
        <f>SUM('【对接进度说明】'!E2:E70)</f>
      </c>
      <c r="H1" s="3">
        <f>G5+G12</f>
      </c>
      <c r="I1" s="4">
        <v>7</v>
      </c>
      <c r="J1" s="5">
        <f>H1/I1</f>
      </c>
    </row>
    <row r="2" spans="1:10">
      <c r="A2" s="2"/>
      <c r="C2" s="2" t="str">
        <v>已完成/已通过</v>
      </c>
      <c r="D2" s="6" t="str">
        <v>待完成/待通过</v>
      </c>
      <c r="E2" s="2" t="str">
        <v>总进度百分比</v>
      </c>
      <c r="F2" s="2" t="str">
        <v>生产率（条/人天）</v>
      </c>
      <c r="G2" s="2" t="str">
        <v>剩余工期（人天）</v>
      </c>
      <c r="H2" s="2" t="str">
        <v>合计剩余工作量</v>
      </c>
      <c r="I2" s="2" t="str">
        <v>可用人力
（已协调人力）</v>
      </c>
      <c r="J2" s="2" t="str">
        <v>无任何阻塞所需工期</v>
      </c>
    </row>
    <row r="3" spans="1:5">
      <c r="A3" s="2"/>
      <c r="B3" s="2" t="str">
        <v>上汽适配接口提供</v>
      </c>
      <c r="C3" s="3">
        <f>SUM('【对接进度说明】'!I2:I70)</f>
      </c>
      <c r="D3" s="6">
        <f>C1-C3</f>
      </c>
      <c r="E3" s="7">
        <f>C3/$C$1</f>
      </c>
    </row>
    <row r="4" spans="1:5">
      <c r="A4" s="2"/>
      <c r="B4" s="2" t="str">
        <v>上汽实车能力提供</v>
      </c>
      <c r="C4" s="3">
        <f>SUM('【对接进度说明】'!K2:J70)</f>
      </c>
      <c r="D4" s="6">
        <f>'【对接进度说明】'!P65:P64</f>
      </c>
      <c r="E4" s="7">
        <f>C4/$C$1</f>
      </c>
    </row>
    <row r="5" spans="1:7">
      <c r="A5" s="2"/>
      <c r="B5" s="2" t="str">
        <v>火山开发适配</v>
      </c>
      <c r="C5" s="3">
        <f>SUM('【对接进度说明】'!T2:T70)</f>
      </c>
      <c r="D5" s="3">
        <f>C1-C5</f>
      </c>
      <c r="E5" s="7">
        <f>C5/$C$1</f>
      </c>
      <c r="F5" s="4">
        <v>4</v>
      </c>
      <c r="G5" s="3">
        <f>D5/F5</f>
      </c>
    </row>
    <row r="6" spans="1:5">
      <c r="A6" s="2"/>
      <c r="B6" s="2" t="str">
        <v>上汽+火山测试执行</v>
      </c>
      <c r="C6" s="3">
        <f>SUM('【对接进度说明】'!AC2:AC70)</f>
      </c>
      <c r="D6" s="3">
        <f>C1-C6</f>
      </c>
      <c r="E6" s="7">
        <f>C6/$C$1</f>
      </c>
    </row>
    <row r="7" spans="1:5">
      <c r="A7" s="2"/>
      <c r="B7" s="2" t="str">
        <v>火山测试执行</v>
      </c>
      <c r="C7" s="3">
        <f>C6-C8</f>
      </c>
      <c r="D7" s="3">
        <f>D6-D8</f>
      </c>
      <c r="E7" s="7">
        <f>C7/$C$1</f>
      </c>
    </row>
    <row r="8" spans="1:5">
      <c r="A8" s="2"/>
      <c r="B8" s="2" t="str">
        <v>上汽测试执行</v>
      </c>
      <c r="C8" s="3">
        <f>'【对接进度说明】'!AB66:AB65</f>
      </c>
      <c r="D8" s="6">
        <f>'【对接进度说明】'!AC66:AC65</f>
      </c>
      <c r="E8" s="7">
        <f>C8/$C$1</f>
      </c>
    </row>
    <row r="9" spans="1:5">
      <c r="A9" s="2"/>
      <c r="B9" s="2" t="str">
        <v>测试通过case</v>
      </c>
      <c r="C9" s="3">
        <f>SUM('【对接进度说明】'!AI2:AI70)</f>
      </c>
      <c r="D9" s="3">
        <f>C1-C9</f>
      </c>
      <c r="E9" s="7">
        <f>C9/$C$1</f>
      </c>
    </row>
    <row r="11" spans="1:3">
      <c r="A11" s="2" t="str">
        <v>端状态</v>
      </c>
      <c r="B11" s="2" t="str">
        <v>总接口数量</v>
      </c>
      <c r="C11" s="4">
        <v>225</v>
      </c>
    </row>
    <row r="12" spans="2:7">
      <c r="B12" s="2" t="str">
        <v>火山开发适配</v>
      </c>
      <c r="C12" s="4">
        <v>161</v>
      </c>
      <c r="D12" s="3">
        <f>C11-C12</f>
      </c>
      <c r="E12" s="8">
        <f>C12/C11</f>
      </c>
      <c r="F12" s="4">
        <v>6</v>
      </c>
      <c r="G12" s="3">
        <f>D12/F12</f>
      </c>
    </row>
    <row r="13" spans="2:5">
      <c r="B13" s="2" t="str">
        <v>火山测试执行</v>
      </c>
      <c r="C13" s="4">
        <v>16</v>
      </c>
      <c r="D13" s="3">
        <f>C11-C13</f>
      </c>
      <c r="E13" s="8">
        <f>C13/C11</f>
      </c>
    </row>
    <row r="15" spans="5:9">
      <c r="E15" s="2" t="str">
        <v>当前负责人</v>
      </c>
      <c r="I15" s="2" t="str">
        <v>当前卡点</v>
      </c>
    </row>
    <row r="16" spans="3:10">
      <c r="C16" s="2" t="str">
        <v>数量</v>
      </c>
      <c r="D16" s="2" t="str">
        <v>比例</v>
      </c>
      <c r="E16" s="2" t="str">
        <v>上汽</v>
      </c>
      <c r="F16" s="2" t="str">
        <v>产品</v>
      </c>
      <c r="G16" s="2" t="str">
        <v>研发</v>
      </c>
      <c r="H16" s="2" t="str">
        <v>测试</v>
      </c>
      <c r="I16" s="2" t="str">
        <v>接口没提供</v>
      </c>
      <c r="J16" s="2" t="str">
        <v>接口</v>
      </c>
    </row>
    <row r="17" spans="2:2">
      <c r="B17" s="2" t="str">
        <v>总api数</v>
      </c>
    </row>
    <row r="18" spans="2:2">
      <c r="B18" s="2" t="str">
        <v>上汽提供api</v>
      </c>
    </row>
    <row r="19" spans="2:2">
      <c r="B19" s="2" t="str">
        <v>研发验证</v>
      </c>
    </row>
    <row r="20" spans="2:2">
      <c r="B20" s="2" t="str">
        <v>研发接</v>
      </c>
    </row>
    <row r="21" spans="2:2">
      <c r="B21" s="2" t="str">
        <v>测试执行</v>
      </c>
    </row>
    <row r="22" spans="2:2">
      <c r="B22" s="2" t="str">
        <v>测试通过</v>
      </c>
    </row>
  </sheetData>
  <mergeCells count="1">
    <mergeCell ref="A1:A9"/>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8.828284127371653" style="1" customWidth="1"/>
    <col min="2" max="9" width="17.814814347602205" style="1" customWidth="1"/>
    <col min="10" max="10" width="19.296197073800222" style="1" customWidth="1"/>
    <col min="11" max="11" width="23.042388916015625" style="1" customWidth="1"/>
    <col min="12" max="14" width="18.714285714285715" style="1" customWidth="1"/>
    <col min="15" max="15" width="15" style="1" customWidth="1"/>
    <col min="16" max="16" width="19.296197073800222" style="1" customWidth="1"/>
    <col min="17" max="17" width="23.042388916015625" style="1" customWidth="1"/>
    <col min="18" max="18" width="18.714285714285715" style="1" customWidth="1"/>
    <col min="19" max="19" width="19.296197073800222" style="1" customWidth="1"/>
    <col min="20" max="20" width="23.042388916015625" style="1" customWidth="1"/>
    <col min="21" max="21" width="18.714285714285715" style="1" customWidth="1"/>
    <col min="22" max="22" width="19.296197073800222" style="1" customWidth="1"/>
    <col min="23" max="23" width="23.042388916015625" style="1" customWidth="1"/>
    <col min="24" max="24" width="18.714285714285715" style="1" customWidth="1"/>
    <col min="25" max="25" width="8.285714285714286" style="1" customWidth="1"/>
    <col min="26" max="26" width="13.428571428571429" style="1" customWidth="1"/>
    <col min="27" max="27" width="19.714285714285715" style="1" customWidth="1"/>
    <col min="28" max="40" width="15" style="1" customWidth="1"/>
  </cols>
  <sheetData>
    <row r="1" spans="1:27">
      <c r="A1" s="2" t="str">
        <v>车控</v>
      </c>
      <c r="D1" s="2" t="str">
        <v>系统设置</v>
      </c>
      <c r="G1" s="2" t="str">
        <v>通讯</v>
      </c>
      <c r="J1" s="2" t="str">
        <v>智能驾驶</v>
      </c>
      <c r="M1" s="2" t="str">
        <v>多媒体</v>
      </c>
      <c r="N1" s="2" t="str">
        <v>❌</v>
      </c>
      <c r="P1" s="2" t="str">
        <v>地图导航</v>
      </c>
      <c r="S1" s="2" t="str">
        <v>手车互联</v>
      </c>
      <c r="V1" s="2" t="str">
        <v>通用</v>
      </c>
      <c r="Y1" s="9" t="str">
        <v>模块</v>
      </c>
      <c r="Z1" s="9" t="str">
        <v>功能名称</v>
      </c>
      <c r="AA1" s="10" t="str">
        <v>主开发
（service逻辑+上汽原子能力）</v>
      </c>
    </row>
    <row r="2" spans="25:27">
      <c r="Y2" s="11" t="str">
        <v>车控</v>
      </c>
      <c r="Z2" s="12" t="str">
        <v>车窗</v>
      </c>
      <c r="AA2" s="11" t="str">
        <v>余明明</v>
      </c>
    </row>
    <row r="3" spans="25:27">
      <c r="Y3" s="11" t="str">
        <v>车控</v>
      </c>
      <c r="Z3" s="12" t="str">
        <v>空调</v>
      </c>
      <c r="AA3" s="11" t="str">
        <v>赵明珠</v>
      </c>
    </row>
    <row r="4" spans="25:27">
      <c r="Y4" s="11" t="str">
        <v>车控</v>
      </c>
      <c r="Z4" s="13" t="str">
        <v>电动出风口</v>
      </c>
      <c r="AA4" s="11" t="str">
        <v>赵明珠</v>
      </c>
    </row>
    <row r="5" spans="25:27">
      <c r="Y5" s="11" t="str">
        <v>车控</v>
      </c>
      <c r="Z5" s="14" t="str">
        <v>座椅</v>
      </c>
      <c r="AA5" s="11" t="str">
        <v>陈果果</v>
      </c>
    </row>
    <row r="6" spans="25:27">
      <c r="Y6" s="11" t="str">
        <v>车控</v>
      </c>
      <c r="Z6" s="13" t="str">
        <v>外后视镜</v>
      </c>
      <c r="AA6" s="11" t="str">
        <v>谢一鸣</v>
      </c>
    </row>
    <row r="7" spans="25:27">
      <c r="Y7" s="11" t="str">
        <v>车控</v>
      </c>
      <c r="Z7" s="15" t="str">
        <v>尾门</v>
      </c>
      <c r="AA7" s="11" t="str">
        <v>谢一鸣</v>
      </c>
    </row>
    <row r="8" spans="25:27">
      <c r="Y8" s="11" t="str">
        <v>车控</v>
      </c>
      <c r="Z8" s="11" t="str">
        <v>雨刮</v>
      </c>
      <c r="AA8" s="11" t="str">
        <v>谢一鸣</v>
      </c>
    </row>
    <row r="9" spans="25:27">
      <c r="Y9" s="11" t="str">
        <v>车控</v>
      </c>
      <c r="Z9" s="14" t="str">
        <v>遮阳帘</v>
      </c>
      <c r="AA9" s="11" t="str">
        <v>余明明</v>
      </c>
    </row>
    <row r="10" spans="25:27">
      <c r="Y10" s="11" t="str">
        <v>车控</v>
      </c>
      <c r="Z10" s="11" t="str">
        <v>门锁</v>
      </c>
      <c r="AA10" s="16" t="str">
        <v>刘敬思</v>
      </c>
    </row>
    <row r="11" spans="25:27">
      <c r="Y11" s="11" t="str">
        <v>车控</v>
      </c>
      <c r="Z11" s="14" t="str">
        <v>充电管理</v>
      </c>
      <c r="AA11" s="11" t="str">
        <v>陈果果</v>
      </c>
    </row>
    <row r="12" spans="6:27">
      <c r="F12" s="3" t="str">
        <v>
</v>
      </c>
      <c r="Y12" s="11" t="str">
        <v>车控</v>
      </c>
      <c r="Z12" s="11" t="str">
        <v>冰箱</v>
      </c>
      <c r="AA12" s="17" t="str">
        <v>杨忠谕</v>
      </c>
    </row>
    <row r="13" spans="1:27">
      <c r="A13" s="4">
        <v>1</v>
      </c>
      <c r="Y13" s="11" t="str">
        <v>车控</v>
      </c>
      <c r="Z13" s="15" t="str">
        <v>晕动舒缓显示</v>
      </c>
      <c r="AA13" s="11" t="str">
        <v>余明明</v>
      </c>
    </row>
    <row r="14" spans="1:12">
      <c r="A14" s="11" t="str">
        <v>模块\API（04.29变更前）</v>
      </c>
      <c r="B14" s="11" t="str">
        <v>总api数</v>
      </c>
      <c r="C14" s="18" t="str">
        <v>本项目使用api数</v>
      </c>
      <c r="D14" s="11" t="str">
        <v>上汽已提供api数</v>
      </c>
      <c r="E14" s="17" t="str">
        <v>研发确认可用api数</v>
      </c>
      <c r="F14" s="11" t="str">
        <v>研发完成api数</v>
      </c>
      <c r="G14" s="11" t="str">
        <v>研发完成度</v>
      </c>
      <c r="H14" s="11" t="str">
        <v>测试覆盖api数</v>
      </c>
      <c r="I14" s="11" t="str">
        <v>测试执行完成度</v>
      </c>
      <c r="J14" s="11" t="str">
        <v>测试通过case数</v>
      </c>
      <c r="K14" s="11" t="str">
        <v>case通过完成度</v>
      </c>
      <c r="L14" s="2" t="str">
        <v>备注</v>
      </c>
    </row>
    <row r="15" spans="1:11">
      <c r="A15" s="11" t="str">
        <v>车控</v>
      </c>
      <c r="B15" s="19">
        <v>410</v>
      </c>
      <c r="C15" s="20">
        <v>400</v>
      </c>
      <c r="D15" s="19">
        <v>400</v>
      </c>
      <c r="E15" s="21">
        <v>392</v>
      </c>
      <c r="F15" s="19">
        <v>382</v>
      </c>
      <c r="G15" s="22">
        <v>0.955</v>
      </c>
      <c r="H15" s="19">
        <v>367</v>
      </c>
      <c r="I15" s="22">
        <v>0.9175</v>
      </c>
      <c r="J15" s="19">
        <v>335</v>
      </c>
      <c r="K15" s="22">
        <v>0.8375</v>
      </c>
    </row>
    <row r="16" spans="1:11">
      <c r="A16" s="11" t="str">
        <v>系统设置</v>
      </c>
      <c r="B16" s="19">
        <v>126</v>
      </c>
      <c r="C16" s="20">
        <v>111</v>
      </c>
      <c r="D16" s="19">
        <v>106</v>
      </c>
      <c r="E16" s="21">
        <v>105</v>
      </c>
      <c r="F16" s="19">
        <v>101</v>
      </c>
      <c r="G16" s="22">
        <v>0.9099099099099099</v>
      </c>
      <c r="H16" s="19">
        <v>79</v>
      </c>
      <c r="I16" s="22">
        <v>0.7117117117117117</v>
      </c>
      <c r="J16" s="19">
        <v>68</v>
      </c>
      <c r="K16" s="22">
        <v>0.6126126126126126</v>
      </c>
    </row>
    <row r="17" spans="1:11">
      <c r="A17" s="11" t="str">
        <v>通讯</v>
      </c>
      <c r="B17" s="19">
        <v>26</v>
      </c>
      <c r="C17" s="20">
        <v>26</v>
      </c>
      <c r="D17" s="19">
        <v>26</v>
      </c>
      <c r="E17" s="21">
        <v>26</v>
      </c>
      <c r="F17" s="19">
        <v>23</v>
      </c>
      <c r="G17" s="22">
        <v>0.8846153846153846</v>
      </c>
      <c r="H17" s="19">
        <v>24</v>
      </c>
      <c r="I17" s="22">
        <v>0.9230769230769231</v>
      </c>
      <c r="J17" s="19">
        <v>24</v>
      </c>
      <c r="K17" s="22">
        <v>0.9230769230769231</v>
      </c>
    </row>
    <row r="18" spans="1:11">
      <c r="A18" s="11" t="str">
        <v>智能驾驶</v>
      </c>
      <c r="B18" s="19">
        <v>12</v>
      </c>
      <c r="C18" s="20">
        <v>7</v>
      </c>
      <c r="D18" s="19">
        <v>7</v>
      </c>
      <c r="E18" s="21">
        <v>5</v>
      </c>
      <c r="F18" s="19">
        <v>4</v>
      </c>
      <c r="G18" s="22">
        <v>0.5714285714285714</v>
      </c>
      <c r="H18" s="19">
        <v>1</v>
      </c>
      <c r="I18" s="22">
        <v>0.14285714285714285</v>
      </c>
      <c r="J18" s="19">
        <v>1</v>
      </c>
      <c r="K18" s="22">
        <v>0.14285714285714285</v>
      </c>
    </row>
    <row r="19" spans="1:11">
      <c r="A19" s="11" t="str">
        <v>多媒体</v>
      </c>
      <c r="B19" s="19">
        <v>81</v>
      </c>
      <c r="C19" s="20">
        <v>80</v>
      </c>
      <c r="D19" s="19">
        <v>80</v>
      </c>
      <c r="E19" s="21">
        <v>79</v>
      </c>
      <c r="F19" s="19">
        <v>78</v>
      </c>
      <c r="G19" s="22">
        <v>0.975</v>
      </c>
      <c r="H19" s="19">
        <v>75</v>
      </c>
      <c r="I19" s="22">
        <v>0.9375</v>
      </c>
      <c r="J19" s="19">
        <v>56</v>
      </c>
      <c r="K19" s="22">
        <v>0.7</v>
      </c>
    </row>
    <row r="20" spans="1:12">
      <c r="A20" s="11" t="str">
        <v>地图导航</v>
      </c>
      <c r="B20" s="19">
        <v>69</v>
      </c>
      <c r="C20" s="20">
        <v>69</v>
      </c>
      <c r="D20" s="19">
        <v>69</v>
      </c>
      <c r="E20" s="21">
        <v>59</v>
      </c>
      <c r="F20" s="19">
        <v>59</v>
      </c>
      <c r="G20" s="22">
        <v>0.855072463768116</v>
      </c>
      <c r="H20" s="19">
        <v>61</v>
      </c>
      <c r="I20" s="22">
        <v>0.8840579710144928</v>
      </c>
      <c r="J20" s="19">
        <v>37</v>
      </c>
      <c r="K20" s="22">
        <v>0.5362318840579711</v>
      </c>
      <c r="L20" s="2" t="str">
        <v>不含AInavi</v>
      </c>
    </row>
    <row r="21" spans="1:11">
      <c r="A21" s="11" t="str">
        <v>手车互联</v>
      </c>
      <c r="B21" s="19">
        <v>8</v>
      </c>
      <c r="C21" s="20">
        <v>8</v>
      </c>
      <c r="D21" s="19">
        <v>8</v>
      </c>
      <c r="E21" s="1">
        <v>0</v>
      </c>
      <c r="F21" s="1">
        <v>0</v>
      </c>
      <c r="G21" s="1">
        <v>0</v>
      </c>
      <c r="H21" s="1">
        <v>0</v>
      </c>
      <c r="I21" s="1">
        <v>0</v>
      </c>
      <c r="J21" s="1">
        <v>0</v>
      </c>
      <c r="K21" s="1">
        <v>0</v>
      </c>
    </row>
    <row r="22" spans="1:11">
      <c r="A22" s="11" t="str">
        <v>通用</v>
      </c>
      <c r="B22" s="19">
        <v>3</v>
      </c>
      <c r="C22" s="20">
        <v>3</v>
      </c>
      <c r="D22" s="19">
        <v>3</v>
      </c>
      <c r="E22" s="21">
        <v>3</v>
      </c>
      <c r="F22" s="19">
        <v>3</v>
      </c>
      <c r="G22" s="22">
        <v>1</v>
      </c>
      <c r="H22" s="19">
        <v>3</v>
      </c>
      <c r="I22" s="22">
        <v>1</v>
      </c>
      <c r="J22" s="19">
        <v>1</v>
      </c>
      <c r="K22" s="22">
        <v>0.3333333333333333</v>
      </c>
    </row>
    <row r="23" spans="2:11">
      <c r="B23" s="19">
        <v>735</v>
      </c>
      <c r="C23" s="20">
        <v>704</v>
      </c>
      <c r="D23" s="19">
        <v>699</v>
      </c>
      <c r="E23" s="21">
        <v>669</v>
      </c>
      <c r="F23" s="19">
        <v>650</v>
      </c>
      <c r="G23" s="22">
        <v>0.9232954545454546</v>
      </c>
      <c r="H23" s="19">
        <v>610</v>
      </c>
      <c r="I23" s="22">
        <v>0.8664772727272727</v>
      </c>
      <c r="J23" s="19">
        <v>522</v>
      </c>
      <c r="K23" s="22">
        <v>0.7414772727272727</v>
      </c>
    </row>
    <row r="24" spans="1:12">
      <c r="A24" s="11" t="str">
        <v>端状态信号</v>
      </c>
      <c r="B24" s="19">
        <v>391</v>
      </c>
      <c r="C24" s="20">
        <v>241</v>
      </c>
      <c r="D24" s="19">
        <v>236</v>
      </c>
      <c r="E24" s="21">
        <v>208</v>
      </c>
      <c r="F24" s="19">
        <v>208</v>
      </c>
      <c r="G24" s="22">
        <v>0.8630705394190872</v>
      </c>
      <c r="H24" s="19">
        <v>188</v>
      </c>
      <c r="I24" s="22">
        <v>0.7800829875518672</v>
      </c>
      <c r="J24" s="19">
        <v>153</v>
      </c>
      <c r="K24" s="22">
        <v>0.6348547717842323</v>
      </c>
      <c r="L24" s="2" t="str">
        <v>字节侧依赖：
1、阅读灯+系统和设置相关的信号共9个，依赖P基线的实车。
2、道路导航相关的，拥堵、沿途服务区，相关的API上汽已提供
3、媒体播放2个，演员+导演名字，验证不通过；
4、智驾相关的，当前不具备验证条件；
无依赖进展：
1、道路导航相关的正在开发；
2、较多的异常信号，实车没有对应的信号block测试（47）；除去block通过率在：73%左右。</v>
      </c>
    </row>
    <row r="27" spans="1:1">
      <c r="A27" s="23">
        <v>46209</v>
      </c>
    </row>
    <row r="28" spans="1:12">
      <c r="A28" s="11" t="str">
        <v>模块\API（04.29变更前）</v>
      </c>
      <c r="B28" s="11" t="str">
        <v>总api数</v>
      </c>
      <c r="C28" s="18" t="str">
        <v>本项目使用api数</v>
      </c>
      <c r="D28" s="11" t="str">
        <v>上汽已提供api数</v>
      </c>
      <c r="E28" s="17" t="str">
        <v>研发确认可用api数</v>
      </c>
      <c r="F28" s="11" t="str">
        <v>研发完成api数</v>
      </c>
      <c r="G28" s="11" t="str">
        <v>研发完成度</v>
      </c>
      <c r="H28" s="11" t="str">
        <v>测试覆盖api数</v>
      </c>
      <c r="I28" s="11" t="str">
        <v>测试执行完成度</v>
      </c>
      <c r="J28" s="11" t="str">
        <v>测试通过case数</v>
      </c>
      <c r="K28" s="11" t="str">
        <v>case通过完成度</v>
      </c>
      <c r="L28" s="2" t="str">
        <v>备注</v>
      </c>
    </row>
    <row r="29" spans="1:11">
      <c r="A29" s="11" t="str">
        <v>车控</v>
      </c>
      <c r="B29" s="19">
        <v>410</v>
      </c>
      <c r="C29" s="20">
        <v>400</v>
      </c>
      <c r="D29" s="19">
        <v>400</v>
      </c>
      <c r="E29" s="21">
        <v>392</v>
      </c>
      <c r="F29" s="19">
        <v>382</v>
      </c>
      <c r="G29" s="22">
        <v>0.955</v>
      </c>
      <c r="H29" s="19">
        <v>367</v>
      </c>
      <c r="I29" s="22">
        <v>0.9175</v>
      </c>
      <c r="J29" s="19">
        <v>331</v>
      </c>
      <c r="K29" s="22">
        <v>0.8275</v>
      </c>
    </row>
    <row r="30" spans="1:11">
      <c r="A30" s="11" t="str">
        <v>系统设置</v>
      </c>
      <c r="B30" s="19">
        <v>126</v>
      </c>
      <c r="C30" s="20">
        <v>111</v>
      </c>
      <c r="D30" s="19">
        <v>106</v>
      </c>
      <c r="E30" s="21">
        <v>105</v>
      </c>
      <c r="F30" s="19">
        <v>101</v>
      </c>
      <c r="G30" s="22">
        <v>0.9099099099099099</v>
      </c>
      <c r="H30" s="19">
        <v>79</v>
      </c>
      <c r="I30" s="22">
        <v>0.7117117117117117</v>
      </c>
      <c r="J30" s="19">
        <v>68</v>
      </c>
      <c r="K30" s="22">
        <v>0.6126126126126126</v>
      </c>
    </row>
    <row r="31" spans="1:11">
      <c r="A31" s="11" t="str">
        <v>通讯</v>
      </c>
      <c r="B31" s="19">
        <v>26</v>
      </c>
      <c r="C31" s="20">
        <v>26</v>
      </c>
      <c r="D31" s="19">
        <v>26</v>
      </c>
      <c r="E31" s="21">
        <v>26</v>
      </c>
      <c r="F31" s="19">
        <v>23</v>
      </c>
      <c r="G31" s="22">
        <v>0.8846153846153846</v>
      </c>
      <c r="H31" s="19">
        <v>24</v>
      </c>
      <c r="I31" s="22">
        <v>0.9230769230769231</v>
      </c>
      <c r="J31" s="19">
        <v>24</v>
      </c>
      <c r="K31" s="22">
        <v>0.9230769230769231</v>
      </c>
    </row>
    <row r="32" spans="1:11">
      <c r="A32" s="11" t="str">
        <v>智能驾驶</v>
      </c>
      <c r="B32" s="19">
        <v>12</v>
      </c>
      <c r="C32" s="20">
        <v>7</v>
      </c>
      <c r="D32" s="19">
        <v>7</v>
      </c>
      <c r="E32" s="21">
        <v>5</v>
      </c>
      <c r="F32" s="19">
        <v>4</v>
      </c>
      <c r="G32" s="22">
        <v>0.5714285714285714</v>
      </c>
      <c r="H32" s="19">
        <v>1</v>
      </c>
      <c r="I32" s="22">
        <v>0.14285714285714285</v>
      </c>
      <c r="J32" s="19">
        <v>1</v>
      </c>
      <c r="K32" s="22">
        <v>0.14285714285714285</v>
      </c>
    </row>
    <row r="33" spans="1:11">
      <c r="A33" s="11" t="str">
        <v>多媒体</v>
      </c>
      <c r="B33" s="19">
        <v>81</v>
      </c>
      <c r="C33" s="20">
        <v>80</v>
      </c>
      <c r="D33" s="19">
        <v>80</v>
      </c>
      <c r="E33" s="21">
        <v>79</v>
      </c>
      <c r="F33" s="19">
        <v>78</v>
      </c>
      <c r="G33" s="22">
        <v>0.975</v>
      </c>
      <c r="H33" s="19">
        <v>75</v>
      </c>
      <c r="I33" s="22">
        <v>0.9375</v>
      </c>
      <c r="J33" s="19">
        <v>56</v>
      </c>
      <c r="K33" s="22">
        <v>0.7</v>
      </c>
    </row>
    <row r="34" spans="1:12">
      <c r="A34" s="11" t="str">
        <v>地图导航</v>
      </c>
      <c r="B34" s="19">
        <v>69</v>
      </c>
      <c r="C34" s="20">
        <v>69</v>
      </c>
      <c r="D34" s="19">
        <v>69</v>
      </c>
      <c r="E34" s="21">
        <v>59</v>
      </c>
      <c r="F34" s="19">
        <v>59</v>
      </c>
      <c r="G34" s="22">
        <v>0.855072463768116</v>
      </c>
      <c r="H34" s="19">
        <v>61</v>
      </c>
      <c r="I34" s="22">
        <v>0.8840579710144928</v>
      </c>
      <c r="J34" s="19">
        <v>37</v>
      </c>
      <c r="K34" s="22">
        <v>0.5362318840579711</v>
      </c>
      <c r="L34" s="2" t="str">
        <v>不含AInavi</v>
      </c>
    </row>
    <row r="35" spans="1:11">
      <c r="A35" s="11" t="str">
        <v>手车互联</v>
      </c>
      <c r="B35" s="19">
        <v>8</v>
      </c>
      <c r="C35" s="20">
        <v>8</v>
      </c>
      <c r="D35" s="19">
        <v>8</v>
      </c>
      <c r="E35" s="1">
        <v>0</v>
      </c>
      <c r="F35" s="1">
        <v>0</v>
      </c>
      <c r="G35" s="1">
        <v>0</v>
      </c>
      <c r="H35" s="1">
        <v>0</v>
      </c>
      <c r="I35" s="1">
        <v>0</v>
      </c>
      <c r="J35" s="1">
        <v>0</v>
      </c>
      <c r="K35" s="1">
        <v>0</v>
      </c>
    </row>
    <row r="36" spans="1:11">
      <c r="A36" s="11" t="str">
        <v>通用</v>
      </c>
      <c r="B36" s="19">
        <v>3</v>
      </c>
      <c r="C36" s="20">
        <v>3</v>
      </c>
      <c r="D36" s="19">
        <v>3</v>
      </c>
      <c r="E36" s="21">
        <v>3</v>
      </c>
      <c r="F36" s="19">
        <v>3</v>
      </c>
      <c r="G36" s="22">
        <v>1</v>
      </c>
      <c r="H36" s="19">
        <v>3</v>
      </c>
      <c r="I36" s="22">
        <v>1</v>
      </c>
      <c r="J36" s="19">
        <v>1</v>
      </c>
      <c r="K36" s="22">
        <v>0.3333333333333333</v>
      </c>
    </row>
    <row r="37" spans="2:11">
      <c r="B37" s="19">
        <v>735</v>
      </c>
      <c r="C37" s="20">
        <v>704</v>
      </c>
      <c r="D37" s="19">
        <v>699</v>
      </c>
      <c r="E37" s="21">
        <v>669</v>
      </c>
      <c r="F37" s="19">
        <v>650</v>
      </c>
      <c r="G37" s="22">
        <v>0.9232954545454546</v>
      </c>
      <c r="H37" s="19">
        <v>610</v>
      </c>
      <c r="I37" s="22">
        <v>0.8664772727272727</v>
      </c>
      <c r="J37" s="19">
        <v>518</v>
      </c>
      <c r="K37" s="22">
        <v>0.7357954545454546</v>
      </c>
    </row>
    <row r="38" spans="1:12">
      <c r="A38" s="11" t="str">
        <v>端状态信号</v>
      </c>
      <c r="B38" s="19">
        <v>391</v>
      </c>
      <c r="C38" s="20">
        <v>241</v>
      </c>
      <c r="D38" s="19">
        <v>236</v>
      </c>
      <c r="E38" s="21">
        <v>208</v>
      </c>
      <c r="F38" s="19">
        <v>208</v>
      </c>
      <c r="G38" s="22">
        <v>0.8630705394190872</v>
      </c>
      <c r="H38" s="19">
        <v>188</v>
      </c>
      <c r="I38" s="22">
        <v>0.7800829875518672</v>
      </c>
      <c r="J38" s="19">
        <v>153</v>
      </c>
      <c r="K38" s="22">
        <v>0.6348547717842323</v>
      </c>
      <c r="L38" s="2" t="str">
        <v>字节侧依赖：
1、阅读灯+系统和设置相关的信号共9个，依赖P基线的实车。
2、道路导航相关的，拥堵、沿途服务区，相关的API上汽已提供
3、媒体播放2个，演员+导演名字，验证不通过；
4、智驾相关的，当前不具备验证条件；
无依赖进展：
1、道路导航相关的正在开发；
2、较多的异常信号，实车没有对应的信号block测试（47）；除去block通过率在：73%左右。</v>
      </c>
    </row>
    <row r="40" spans="1:1">
      <c r="A40" s="23">
        <v>46206</v>
      </c>
    </row>
    <row r="41" spans="1:12">
      <c r="A41" s="11" t="str">
        <v>模块\API（04.29变更前）</v>
      </c>
      <c r="B41" s="11" t="str">
        <v>总api数</v>
      </c>
      <c r="C41" s="18" t="str">
        <v>本项目使用api数</v>
      </c>
      <c r="D41" s="11" t="str">
        <v>上汽已提供api数</v>
      </c>
      <c r="E41" s="17" t="str">
        <v>研发确认可用api数</v>
      </c>
      <c r="F41" s="11" t="str">
        <v>研发完成api数</v>
      </c>
      <c r="G41" s="11" t="str">
        <v>研发完成度</v>
      </c>
      <c r="H41" s="11" t="str">
        <v>测试覆盖api数</v>
      </c>
      <c r="I41" s="11" t="str">
        <v>测试执行完成度</v>
      </c>
      <c r="J41" s="11" t="str">
        <v>测试通过case数</v>
      </c>
      <c r="K41" s="11" t="str">
        <v>case通过完成度</v>
      </c>
      <c r="L41" s="2" t="str">
        <v>备注</v>
      </c>
    </row>
    <row r="42" spans="1:11">
      <c r="A42" s="11" t="str">
        <v>车控</v>
      </c>
      <c r="B42" s="19">
        <v>409</v>
      </c>
      <c r="C42" s="20">
        <v>399</v>
      </c>
      <c r="D42" s="19">
        <v>399</v>
      </c>
      <c r="E42" s="21">
        <v>389</v>
      </c>
      <c r="F42" s="19">
        <v>375</v>
      </c>
      <c r="G42" s="22">
        <v>0.9398496240601504</v>
      </c>
      <c r="H42" s="19">
        <v>364</v>
      </c>
      <c r="I42" s="22">
        <v>0.9122807017543859</v>
      </c>
      <c r="J42" s="19">
        <v>329</v>
      </c>
      <c r="K42" s="22">
        <v>0.8245614035087719</v>
      </c>
    </row>
    <row r="43" spans="1:11">
      <c r="A43" s="11" t="str">
        <v>系统设置</v>
      </c>
      <c r="B43" s="19">
        <v>126</v>
      </c>
      <c r="C43" s="20">
        <v>111</v>
      </c>
      <c r="D43" s="19">
        <v>106</v>
      </c>
      <c r="E43" s="21">
        <v>105</v>
      </c>
      <c r="F43" s="19">
        <v>101</v>
      </c>
      <c r="G43" s="22">
        <v>0.9099099099099099</v>
      </c>
      <c r="H43" s="19">
        <v>79</v>
      </c>
      <c r="I43" s="22">
        <v>0.7117117117117117</v>
      </c>
      <c r="J43" s="19">
        <v>68</v>
      </c>
      <c r="K43" s="22">
        <v>0.6126126126126126</v>
      </c>
    </row>
    <row r="44" spans="1:11">
      <c r="A44" s="11" t="str">
        <v>通讯</v>
      </c>
      <c r="B44" s="19">
        <v>26</v>
      </c>
      <c r="C44" s="20">
        <v>26</v>
      </c>
      <c r="D44" s="19">
        <v>26</v>
      </c>
      <c r="E44" s="21">
        <v>26</v>
      </c>
      <c r="F44" s="19">
        <v>23</v>
      </c>
      <c r="G44" s="22">
        <v>0.8846153846153846</v>
      </c>
      <c r="H44" s="19">
        <v>24</v>
      </c>
      <c r="I44" s="22">
        <v>0.9230769230769231</v>
      </c>
      <c r="J44" s="19">
        <v>24</v>
      </c>
      <c r="K44" s="22">
        <v>0.9230769230769231</v>
      </c>
    </row>
    <row r="45" spans="1:11">
      <c r="A45" s="11" t="str">
        <v>智能驾驶</v>
      </c>
      <c r="B45" s="19">
        <v>12</v>
      </c>
      <c r="C45" s="20">
        <v>7</v>
      </c>
      <c r="D45" s="19">
        <v>7</v>
      </c>
      <c r="E45" s="21">
        <v>5</v>
      </c>
      <c r="F45" s="19">
        <v>4</v>
      </c>
      <c r="G45" s="22">
        <v>0.5714285714285714</v>
      </c>
      <c r="H45" s="19">
        <v>1</v>
      </c>
      <c r="I45" s="22">
        <v>0.14285714285714285</v>
      </c>
      <c r="J45" s="19">
        <v>1</v>
      </c>
      <c r="K45" s="22">
        <v>0.14285714285714285</v>
      </c>
    </row>
    <row r="46" spans="1:11">
      <c r="A46" s="11" t="str">
        <v>多媒体</v>
      </c>
      <c r="B46" s="19">
        <v>81</v>
      </c>
      <c r="C46" s="20">
        <v>80</v>
      </c>
      <c r="D46" s="19">
        <v>80</v>
      </c>
      <c r="E46" s="21">
        <v>79</v>
      </c>
      <c r="F46" s="19">
        <v>78</v>
      </c>
      <c r="G46" s="22">
        <v>0.975</v>
      </c>
      <c r="H46" s="19">
        <v>75</v>
      </c>
      <c r="I46" s="22">
        <v>0.9375</v>
      </c>
      <c r="J46" s="19">
        <v>56</v>
      </c>
      <c r="K46" s="22">
        <v>0.7</v>
      </c>
    </row>
    <row r="47" spans="1:12">
      <c r="A47" s="11" t="str">
        <v>地图导航</v>
      </c>
      <c r="B47" s="19">
        <v>69</v>
      </c>
      <c r="C47" s="20">
        <v>69</v>
      </c>
      <c r="D47" s="19">
        <v>69</v>
      </c>
      <c r="E47" s="21">
        <v>59</v>
      </c>
      <c r="F47" s="19">
        <v>59</v>
      </c>
      <c r="G47" s="22">
        <v>0.855072463768116</v>
      </c>
      <c r="H47" s="19">
        <v>61</v>
      </c>
      <c r="I47" s="22">
        <v>0.8840579710144928</v>
      </c>
      <c r="J47" s="19">
        <v>37</v>
      </c>
      <c r="K47" s="22">
        <v>0.5362318840579711</v>
      </c>
      <c r="L47" s="2" t="str">
        <v>不含AInavi</v>
      </c>
    </row>
    <row r="48" spans="1:11">
      <c r="A48" s="11" t="str">
        <v>手车互联</v>
      </c>
      <c r="B48" s="19">
        <v>8</v>
      </c>
      <c r="C48" s="20">
        <v>8</v>
      </c>
      <c r="D48" s="19">
        <v>8</v>
      </c>
      <c r="E48" s="1">
        <v>0</v>
      </c>
      <c r="F48" s="1">
        <v>0</v>
      </c>
      <c r="G48" s="1">
        <v>0</v>
      </c>
      <c r="H48" s="1">
        <v>0</v>
      </c>
      <c r="I48" s="1">
        <v>0</v>
      </c>
      <c r="J48" s="1">
        <v>0</v>
      </c>
      <c r="K48" s="1">
        <v>0</v>
      </c>
    </row>
    <row r="49" spans="1:11">
      <c r="A49" s="11" t="str">
        <v>通用</v>
      </c>
      <c r="B49" s="19">
        <v>3</v>
      </c>
      <c r="C49" s="20">
        <v>3</v>
      </c>
      <c r="D49" s="19">
        <v>3</v>
      </c>
      <c r="E49" s="21">
        <v>3</v>
      </c>
      <c r="F49" s="19">
        <v>3</v>
      </c>
      <c r="G49" s="22">
        <v>1</v>
      </c>
      <c r="H49" s="19">
        <v>3</v>
      </c>
      <c r="I49" s="22">
        <v>1</v>
      </c>
      <c r="J49" s="19">
        <v>1</v>
      </c>
      <c r="K49" s="22">
        <v>0.3333333333333333</v>
      </c>
    </row>
    <row r="50" spans="2:11">
      <c r="B50" s="19">
        <v>734</v>
      </c>
      <c r="C50" s="20">
        <v>703</v>
      </c>
      <c r="D50" s="19">
        <v>698</v>
      </c>
      <c r="E50" s="21">
        <v>666</v>
      </c>
      <c r="F50" s="19">
        <v>643</v>
      </c>
      <c r="G50" s="22">
        <v>0.914651493598862</v>
      </c>
      <c r="H50" s="19">
        <v>607</v>
      </c>
      <c r="I50" s="22">
        <v>0.8634423897581792</v>
      </c>
      <c r="J50" s="19">
        <v>516</v>
      </c>
      <c r="K50" s="22">
        <v>0.7339971550497866</v>
      </c>
    </row>
    <row r="51" spans="1:12">
      <c r="A51" s="11" t="str">
        <v>端状态信号</v>
      </c>
      <c r="B51" s="19">
        <v>391</v>
      </c>
      <c r="C51" s="20">
        <v>241</v>
      </c>
      <c r="D51" s="19">
        <v>236</v>
      </c>
      <c r="E51" s="21">
        <v>208</v>
      </c>
      <c r="F51" s="19">
        <v>208</v>
      </c>
      <c r="G51" s="22">
        <v>0.8630705394190872</v>
      </c>
      <c r="H51" s="19">
        <v>188</v>
      </c>
      <c r="I51" s="22">
        <v>0.7800829875518672</v>
      </c>
      <c r="J51" s="19">
        <v>153</v>
      </c>
      <c r="K51" s="22">
        <v>0.6348547717842323</v>
      </c>
      <c r="L51" s="2"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53" spans="1:1">
      <c r="A53" s="23">
        <v>46204</v>
      </c>
    </row>
    <row r="54" spans="1:12">
      <c r="A54" s="11" t="str">
        <v>模块\API（04.29变更前）</v>
      </c>
      <c r="B54" s="11" t="str">
        <v>总api数</v>
      </c>
      <c r="C54" s="18" t="str">
        <v>本项目使用api数</v>
      </c>
      <c r="D54" s="11" t="str">
        <v>上汽已提供api数</v>
      </c>
      <c r="E54" s="17" t="str">
        <v>研发确认可用api数</v>
      </c>
      <c r="F54" s="11" t="str">
        <v>研发完成api数</v>
      </c>
      <c r="G54" s="11" t="str">
        <v>研发完成度</v>
      </c>
      <c r="H54" s="11" t="str">
        <v>测试覆盖api数</v>
      </c>
      <c r="I54" s="11" t="str">
        <v>测试执行完成度</v>
      </c>
      <c r="J54" s="11" t="str">
        <v>测试通过case数</v>
      </c>
      <c r="K54" s="11" t="str">
        <v>case通过完成度</v>
      </c>
      <c r="L54" s="2" t="str">
        <v>备注</v>
      </c>
    </row>
    <row r="55" spans="1:11">
      <c r="A55" s="11" t="str">
        <v>车控</v>
      </c>
      <c r="B55" s="19">
        <v>409</v>
      </c>
      <c r="C55" s="20">
        <v>399</v>
      </c>
      <c r="D55" s="19">
        <v>399</v>
      </c>
      <c r="E55" s="21">
        <v>389</v>
      </c>
      <c r="F55" s="19">
        <v>375</v>
      </c>
      <c r="G55" s="22">
        <v>0.9398496240601504</v>
      </c>
      <c r="H55" s="19">
        <v>364</v>
      </c>
      <c r="I55" s="22">
        <v>0.9122807017543859</v>
      </c>
      <c r="J55" s="19">
        <v>329</v>
      </c>
      <c r="K55" s="22">
        <v>0.8245614035087719</v>
      </c>
    </row>
    <row r="56" spans="1:11">
      <c r="A56" s="11" t="str">
        <v>系统设置</v>
      </c>
      <c r="B56" s="19">
        <v>126</v>
      </c>
      <c r="C56" s="20">
        <v>111</v>
      </c>
      <c r="D56" s="19">
        <v>106</v>
      </c>
      <c r="E56" s="21">
        <v>105</v>
      </c>
      <c r="F56" s="19">
        <v>101</v>
      </c>
      <c r="G56" s="22">
        <v>0.9099099099099099</v>
      </c>
      <c r="H56" s="19">
        <v>79</v>
      </c>
      <c r="I56" s="22">
        <v>0.7117117117117117</v>
      </c>
      <c r="J56" s="19">
        <v>68</v>
      </c>
      <c r="K56" s="22">
        <v>0.6126126126126126</v>
      </c>
    </row>
    <row r="57" spans="1:11">
      <c r="A57" s="11" t="str">
        <v>通讯</v>
      </c>
      <c r="B57" s="19">
        <v>26</v>
      </c>
      <c r="C57" s="20">
        <v>26</v>
      </c>
      <c r="D57" s="19">
        <v>24</v>
      </c>
      <c r="E57" s="21">
        <v>24</v>
      </c>
      <c r="F57" s="19">
        <v>23</v>
      </c>
      <c r="G57" s="22">
        <v>0.8846153846153846</v>
      </c>
      <c r="H57" s="19">
        <v>24</v>
      </c>
      <c r="I57" s="22">
        <v>0.9230769230769231</v>
      </c>
      <c r="J57" s="19">
        <v>24</v>
      </c>
      <c r="K57" s="22">
        <v>0.9230769230769231</v>
      </c>
    </row>
    <row r="58" spans="1:11">
      <c r="A58" s="11" t="str">
        <v>智能驾驶</v>
      </c>
      <c r="B58" s="19">
        <v>12</v>
      </c>
      <c r="C58" s="20">
        <v>12</v>
      </c>
      <c r="D58" s="19">
        <v>7</v>
      </c>
      <c r="E58" s="21">
        <v>5</v>
      </c>
      <c r="F58" s="19">
        <v>4</v>
      </c>
      <c r="G58" s="22">
        <v>0.3333333333333333</v>
      </c>
      <c r="H58" s="19">
        <v>1</v>
      </c>
      <c r="I58" s="22">
        <v>0.08333333333333333</v>
      </c>
      <c r="J58" s="19">
        <v>1</v>
      </c>
      <c r="K58" s="22">
        <v>0.08333333333333333</v>
      </c>
    </row>
    <row r="59" spans="1:11">
      <c r="A59" s="11" t="str">
        <v>多媒体</v>
      </c>
      <c r="B59" s="19">
        <v>81</v>
      </c>
      <c r="C59" s="20">
        <v>80</v>
      </c>
      <c r="D59" s="19">
        <v>80</v>
      </c>
      <c r="E59" s="21">
        <v>79</v>
      </c>
      <c r="F59" s="19">
        <v>78</v>
      </c>
      <c r="G59" s="22">
        <v>0.975</v>
      </c>
      <c r="H59" s="19">
        <v>75</v>
      </c>
      <c r="I59" s="22">
        <v>0.9375</v>
      </c>
      <c r="J59" s="19">
        <v>56</v>
      </c>
      <c r="K59" s="22">
        <v>0.7</v>
      </c>
    </row>
    <row r="60" spans="1:12">
      <c r="A60" s="11" t="str">
        <v>地图导航</v>
      </c>
      <c r="B60" s="19">
        <v>69</v>
      </c>
      <c r="C60" s="20">
        <v>69</v>
      </c>
      <c r="D60" s="19">
        <v>69</v>
      </c>
      <c r="E60" s="21">
        <v>59</v>
      </c>
      <c r="F60" s="19">
        <v>59</v>
      </c>
      <c r="G60" s="22">
        <v>0.855072463768116</v>
      </c>
      <c r="H60" s="19">
        <v>61</v>
      </c>
      <c r="I60" s="22">
        <v>0.8840579710144928</v>
      </c>
      <c r="J60" s="19">
        <v>37</v>
      </c>
      <c r="K60" s="22">
        <v>0.5362318840579711</v>
      </c>
      <c r="L60" s="2" t="str">
        <v>不含AInavi</v>
      </c>
    </row>
    <row r="61" spans="1:11">
      <c r="A61" s="11" t="str">
        <v>手车互联</v>
      </c>
      <c r="B61" s="19">
        <v>8</v>
      </c>
      <c r="C61" s="20">
        <v>8</v>
      </c>
      <c r="D61" s="19">
        <v>8</v>
      </c>
      <c r="E61" s="1">
        <v>0</v>
      </c>
      <c r="F61" s="1">
        <v>0</v>
      </c>
      <c r="G61" s="1">
        <v>0</v>
      </c>
      <c r="H61" s="1">
        <v>0</v>
      </c>
      <c r="I61" s="1">
        <v>0</v>
      </c>
      <c r="J61" s="1">
        <v>0</v>
      </c>
      <c r="K61" s="1">
        <v>0</v>
      </c>
    </row>
    <row r="62" spans="1:11">
      <c r="A62" s="11" t="str">
        <v>通用</v>
      </c>
      <c r="B62" s="19">
        <v>3</v>
      </c>
      <c r="C62" s="20">
        <v>3</v>
      </c>
      <c r="D62" s="19">
        <v>3</v>
      </c>
      <c r="E62" s="21">
        <v>3</v>
      </c>
      <c r="F62" s="19">
        <v>3</v>
      </c>
      <c r="G62" s="22">
        <v>1</v>
      </c>
      <c r="H62" s="19">
        <v>3</v>
      </c>
      <c r="I62" s="22">
        <v>1</v>
      </c>
      <c r="J62" s="19">
        <v>1</v>
      </c>
      <c r="K62" s="22">
        <v>0.3333333333333333</v>
      </c>
    </row>
    <row r="63" spans="2:11">
      <c r="B63" s="19">
        <v>734</v>
      </c>
      <c r="C63" s="20">
        <v>708</v>
      </c>
      <c r="D63" s="19">
        <v>696</v>
      </c>
      <c r="E63" s="21">
        <v>664</v>
      </c>
      <c r="F63" s="19">
        <v>643</v>
      </c>
      <c r="G63" s="22">
        <v>0.9081920903954802</v>
      </c>
      <c r="H63" s="19">
        <v>607</v>
      </c>
      <c r="I63" s="22">
        <v>0.8573446327683616</v>
      </c>
      <c r="J63" s="19">
        <v>516</v>
      </c>
      <c r="K63" s="22">
        <v>0.7288135593220338</v>
      </c>
    </row>
    <row r="64" spans="1:12">
      <c r="A64" s="11" t="str">
        <v>端状态信号</v>
      </c>
      <c r="B64" s="19">
        <v>391</v>
      </c>
      <c r="C64" s="20">
        <v>241</v>
      </c>
      <c r="D64" s="19">
        <v>236</v>
      </c>
      <c r="E64" s="21">
        <v>208</v>
      </c>
      <c r="F64" s="19">
        <v>208</v>
      </c>
      <c r="G64" s="22">
        <v>0.8630705394190872</v>
      </c>
      <c r="H64" s="19">
        <v>188</v>
      </c>
      <c r="I64" s="22">
        <v>0.7800829875518672</v>
      </c>
      <c r="J64" s="19">
        <v>153</v>
      </c>
      <c r="K64" s="22">
        <v>0.6348547717842323</v>
      </c>
      <c r="L64" s="2"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66" spans="1:1">
      <c r="A66" s="4">
        <v>629</v>
      </c>
    </row>
    <row r="67" spans="1:12">
      <c r="A67" s="11" t="str">
        <v>模块\API（04.29变更前）</v>
      </c>
      <c r="B67" s="11" t="str">
        <v>总api数</v>
      </c>
      <c r="C67" s="18" t="str">
        <v>本项目使用api数</v>
      </c>
      <c r="D67" s="11" t="str">
        <v>上汽已提供api数</v>
      </c>
      <c r="E67" s="17" t="str">
        <v>研发确认可用api数</v>
      </c>
      <c r="F67" s="11" t="str">
        <v>研发完成api数</v>
      </c>
      <c r="G67" s="11" t="str">
        <v>研发完成度</v>
      </c>
      <c r="H67" s="11" t="str">
        <v>测试覆盖api数</v>
      </c>
      <c r="I67" s="11" t="str">
        <v>测试执行完成度</v>
      </c>
      <c r="J67" s="11" t="str">
        <v>测试通过case数</v>
      </c>
      <c r="K67" s="11" t="str">
        <v>case通过完成度</v>
      </c>
      <c r="L67" s="2" t="str">
        <v>备注</v>
      </c>
    </row>
    <row r="68" spans="1:11">
      <c r="A68" s="11" t="str">
        <v>车控</v>
      </c>
      <c r="B68" s="19">
        <v>409</v>
      </c>
      <c r="C68" s="20">
        <v>399</v>
      </c>
      <c r="D68" s="19">
        <v>399</v>
      </c>
      <c r="E68" s="21">
        <v>389</v>
      </c>
      <c r="F68" s="19">
        <v>375</v>
      </c>
      <c r="G68" s="22">
        <v>0.9398496240601504</v>
      </c>
      <c r="H68" s="19">
        <v>364</v>
      </c>
      <c r="I68" s="22">
        <v>0.9122807017543859</v>
      </c>
      <c r="J68" s="19">
        <v>329</v>
      </c>
      <c r="K68" s="22">
        <v>0.8245614035087719</v>
      </c>
    </row>
    <row r="69" spans="1:11">
      <c r="A69" s="11" t="str">
        <v>系统设置</v>
      </c>
      <c r="B69" s="19">
        <v>126</v>
      </c>
      <c r="C69" s="20">
        <v>111</v>
      </c>
      <c r="D69" s="19">
        <v>106</v>
      </c>
      <c r="E69" s="21">
        <v>105</v>
      </c>
      <c r="F69" s="19">
        <v>101</v>
      </c>
      <c r="G69" s="22">
        <v>0.9099099099099099</v>
      </c>
      <c r="H69" s="19">
        <v>79</v>
      </c>
      <c r="I69" s="22">
        <v>0.7117117117117117</v>
      </c>
      <c r="J69" s="19">
        <v>68</v>
      </c>
      <c r="K69" s="22">
        <v>0.6126126126126126</v>
      </c>
    </row>
    <row r="70" spans="1:11">
      <c r="A70" s="11" t="str">
        <v>通讯</v>
      </c>
      <c r="B70" s="19">
        <v>26</v>
      </c>
      <c r="C70" s="20">
        <v>26</v>
      </c>
      <c r="D70" s="19">
        <v>24</v>
      </c>
      <c r="E70" s="21">
        <v>24</v>
      </c>
      <c r="F70" s="19">
        <v>23</v>
      </c>
      <c r="G70" s="22">
        <v>0.8846153846153846</v>
      </c>
      <c r="H70" s="19">
        <v>24</v>
      </c>
      <c r="I70" s="22">
        <v>0.9230769230769231</v>
      </c>
      <c r="J70" s="19">
        <v>24</v>
      </c>
      <c r="K70" s="22">
        <v>0.9230769230769231</v>
      </c>
    </row>
    <row r="71" spans="1:11">
      <c r="A71" s="11" t="str">
        <v>智能驾驶</v>
      </c>
      <c r="B71" s="19">
        <v>12</v>
      </c>
      <c r="C71" s="20">
        <v>12</v>
      </c>
      <c r="D71" s="19">
        <v>7</v>
      </c>
      <c r="E71" s="21">
        <v>5</v>
      </c>
      <c r="F71" s="19">
        <v>4</v>
      </c>
      <c r="G71" s="22">
        <v>0.3333333333333333</v>
      </c>
      <c r="H71" s="19">
        <v>1</v>
      </c>
      <c r="I71" s="22">
        <v>0.08333333333333333</v>
      </c>
      <c r="J71" s="19">
        <v>1</v>
      </c>
      <c r="K71" s="22">
        <v>0.08333333333333333</v>
      </c>
    </row>
    <row r="72" spans="1:11">
      <c r="A72" s="11" t="str">
        <v>多媒体</v>
      </c>
      <c r="B72" s="19">
        <v>81</v>
      </c>
      <c r="C72" s="20">
        <v>80</v>
      </c>
      <c r="D72" s="19">
        <v>80</v>
      </c>
      <c r="E72" s="21">
        <v>79</v>
      </c>
      <c r="F72" s="19">
        <v>78</v>
      </c>
      <c r="G72" s="22">
        <v>0.975</v>
      </c>
      <c r="H72" s="19">
        <v>75</v>
      </c>
      <c r="I72" s="22">
        <v>0.9375</v>
      </c>
      <c r="J72" s="19">
        <v>56</v>
      </c>
      <c r="K72" s="22">
        <v>0.7</v>
      </c>
    </row>
    <row r="73" spans="1:12">
      <c r="A73" s="11" t="str">
        <v>地图导航</v>
      </c>
      <c r="B73" s="19">
        <v>69</v>
      </c>
      <c r="C73" s="20">
        <v>69</v>
      </c>
      <c r="D73" s="19">
        <v>69</v>
      </c>
      <c r="E73" s="21">
        <v>59</v>
      </c>
      <c r="F73" s="19">
        <v>59</v>
      </c>
      <c r="G73" s="22">
        <v>0.855072463768116</v>
      </c>
      <c r="H73" s="19">
        <v>61</v>
      </c>
      <c r="I73" s="22">
        <v>0.8840579710144928</v>
      </c>
      <c r="J73" s="19">
        <v>37</v>
      </c>
      <c r="K73" s="22">
        <v>0.5362318840579711</v>
      </c>
      <c r="L73" s="2" t="str">
        <v>不含AInavi</v>
      </c>
    </row>
    <row r="74" spans="1:11">
      <c r="A74" s="11" t="str">
        <v>手车互联</v>
      </c>
      <c r="B74" s="19">
        <v>8</v>
      </c>
      <c r="C74" s="20">
        <v>8</v>
      </c>
      <c r="D74" s="19">
        <v>8</v>
      </c>
      <c r="E74" s="1">
        <v>0</v>
      </c>
      <c r="F74" s="1">
        <v>0</v>
      </c>
      <c r="G74" s="1">
        <v>0</v>
      </c>
      <c r="H74" s="1">
        <v>0</v>
      </c>
      <c r="I74" s="1">
        <v>0</v>
      </c>
      <c r="J74" s="1">
        <v>0</v>
      </c>
      <c r="K74" s="1">
        <v>0</v>
      </c>
    </row>
    <row r="75" spans="1:11">
      <c r="A75" s="11" t="str">
        <v>通用</v>
      </c>
      <c r="B75" s="19">
        <v>3</v>
      </c>
      <c r="C75" s="20">
        <v>3</v>
      </c>
      <c r="D75" s="19">
        <v>3</v>
      </c>
      <c r="E75" s="21">
        <v>3</v>
      </c>
      <c r="F75" s="19">
        <v>2</v>
      </c>
      <c r="G75" s="22">
        <v>0.6666666666666666</v>
      </c>
      <c r="H75" s="19">
        <v>3</v>
      </c>
      <c r="I75" s="22">
        <v>1</v>
      </c>
      <c r="J75" s="19">
        <v>1</v>
      </c>
      <c r="K75" s="22">
        <v>0.3333333333333333</v>
      </c>
    </row>
    <row r="76" spans="2:11">
      <c r="B76" s="19">
        <v>734</v>
      </c>
      <c r="C76" s="20">
        <v>708</v>
      </c>
      <c r="D76" s="19">
        <v>696</v>
      </c>
      <c r="E76" s="21">
        <v>664</v>
      </c>
      <c r="F76" s="19">
        <v>642</v>
      </c>
      <c r="G76" s="22">
        <v>0.9067796610169492</v>
      </c>
      <c r="H76" s="19">
        <v>607</v>
      </c>
      <c r="I76" s="22">
        <v>0.8573446327683616</v>
      </c>
      <c r="J76" s="19">
        <v>516</v>
      </c>
      <c r="K76" s="22">
        <v>0.7288135593220338</v>
      </c>
    </row>
    <row r="77" spans="1:12">
      <c r="A77" s="11" t="str">
        <v>端状态信号</v>
      </c>
      <c r="B77" s="19">
        <v>391</v>
      </c>
      <c r="C77" s="20">
        <v>241</v>
      </c>
      <c r="D77" s="19">
        <v>236</v>
      </c>
      <c r="E77" s="21">
        <v>208</v>
      </c>
      <c r="F77" s="19">
        <v>208</v>
      </c>
      <c r="G77" s="22">
        <v>0.8630705394190872</v>
      </c>
      <c r="H77" s="19">
        <v>188</v>
      </c>
      <c r="I77" s="22">
        <v>0.7800829875518672</v>
      </c>
      <c r="J77" s="19">
        <v>153</v>
      </c>
      <c r="K77" s="22">
        <v>0.6348547717842323</v>
      </c>
      <c r="L77" s="2"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79" spans="1:1">
      <c r="A79" s="4">
        <v>625</v>
      </c>
    </row>
    <row r="80" spans="1:12">
      <c r="A80" s="11" t="str">
        <v>模块\API（04.29变更前）</v>
      </c>
      <c r="B80" s="11" t="str">
        <v>总api数</v>
      </c>
      <c r="C80" s="18" t="str">
        <v>本项目使用api数</v>
      </c>
      <c r="D80" s="11" t="str">
        <v>上汽已提供api数</v>
      </c>
      <c r="E80" s="17" t="str">
        <v>研发确认可用api数</v>
      </c>
      <c r="F80" s="11" t="str">
        <v>研发完成api数</v>
      </c>
      <c r="G80" s="11" t="str">
        <v>研发完成度</v>
      </c>
      <c r="H80" s="11" t="str">
        <v>测试覆盖api数</v>
      </c>
      <c r="I80" s="11" t="str">
        <v>测试执行完成度</v>
      </c>
      <c r="J80" s="11" t="str">
        <v>测试通过case数</v>
      </c>
      <c r="K80" s="11" t="str">
        <v>case通过完成度</v>
      </c>
      <c r="L80" s="2" t="str">
        <v>备注</v>
      </c>
    </row>
    <row r="81" spans="1:11">
      <c r="A81" s="11" t="str">
        <v>车控</v>
      </c>
      <c r="B81" s="19">
        <v>409</v>
      </c>
      <c r="C81" s="20">
        <v>399</v>
      </c>
      <c r="D81" s="19">
        <v>399</v>
      </c>
      <c r="E81" s="21">
        <v>389</v>
      </c>
      <c r="F81" s="19">
        <v>381</v>
      </c>
      <c r="G81" s="22">
        <v>0.9548872180451128</v>
      </c>
      <c r="H81" s="19">
        <v>357</v>
      </c>
      <c r="I81" s="22">
        <v>0.8947368421052632</v>
      </c>
      <c r="J81" s="19">
        <v>285</v>
      </c>
      <c r="K81" s="22">
        <v>0.7142857142857143</v>
      </c>
    </row>
    <row r="82" spans="1:11">
      <c r="A82" s="11" t="str">
        <v>系统设置</v>
      </c>
      <c r="B82" s="19">
        <v>126</v>
      </c>
      <c r="C82" s="20">
        <v>111</v>
      </c>
      <c r="D82" s="19">
        <v>106</v>
      </c>
      <c r="E82" s="21">
        <v>105</v>
      </c>
      <c r="F82" s="19">
        <v>101</v>
      </c>
      <c r="G82" s="22">
        <v>0.9099099099099099</v>
      </c>
      <c r="H82" s="19">
        <v>79</v>
      </c>
      <c r="I82" s="22">
        <v>0.7117117117117117</v>
      </c>
      <c r="J82" s="19">
        <v>68</v>
      </c>
      <c r="K82" s="22">
        <v>0.6126126126126126</v>
      </c>
    </row>
    <row r="83" spans="1:11">
      <c r="A83" s="11" t="str">
        <v>通讯</v>
      </c>
      <c r="B83" s="19">
        <v>26</v>
      </c>
      <c r="C83" s="20">
        <v>26</v>
      </c>
      <c r="D83" s="19">
        <v>24</v>
      </c>
      <c r="E83" s="21">
        <v>24</v>
      </c>
      <c r="F83" s="19">
        <v>23</v>
      </c>
      <c r="G83" s="22">
        <v>0.8846153846153846</v>
      </c>
      <c r="H83" s="19">
        <v>23</v>
      </c>
      <c r="I83" s="22">
        <v>0.8846153846153846</v>
      </c>
      <c r="J83" s="19">
        <v>21</v>
      </c>
      <c r="K83" s="22">
        <v>0.8076923076923077</v>
      </c>
    </row>
    <row r="84" spans="1:11">
      <c r="A84" s="11" t="str">
        <v>智能驾驶</v>
      </c>
      <c r="B84" s="19">
        <v>12</v>
      </c>
      <c r="C84" s="20">
        <v>12</v>
      </c>
      <c r="D84" s="19">
        <v>7</v>
      </c>
      <c r="E84" s="21">
        <v>5</v>
      </c>
      <c r="F84" s="19">
        <v>4</v>
      </c>
      <c r="G84" s="22">
        <v>0.3333333333333333</v>
      </c>
      <c r="H84" s="19">
        <v>1</v>
      </c>
      <c r="I84" s="22">
        <v>0.08333333333333333</v>
      </c>
      <c r="J84" s="19">
        <v>1</v>
      </c>
      <c r="K84" s="22">
        <v>0.08333333333333333</v>
      </c>
    </row>
    <row r="85" spans="1:11">
      <c r="A85" s="11" t="str">
        <v>多媒体</v>
      </c>
      <c r="B85" s="19">
        <v>81</v>
      </c>
      <c r="C85" s="20">
        <v>80</v>
      </c>
      <c r="D85" s="19">
        <v>80</v>
      </c>
      <c r="E85" s="21">
        <v>79</v>
      </c>
      <c r="F85" s="19">
        <v>78</v>
      </c>
      <c r="G85" s="22">
        <v>0.975</v>
      </c>
      <c r="H85" s="19">
        <v>75</v>
      </c>
      <c r="I85" s="22">
        <v>0.9375</v>
      </c>
      <c r="J85" s="19">
        <v>56</v>
      </c>
      <c r="K85" s="22">
        <v>0.7</v>
      </c>
    </row>
    <row r="86" spans="1:12">
      <c r="A86" s="11" t="str">
        <v>地图导航</v>
      </c>
      <c r="B86" s="19">
        <v>69</v>
      </c>
      <c r="C86" s="20">
        <v>69</v>
      </c>
      <c r="D86" s="19">
        <v>69</v>
      </c>
      <c r="E86" s="21">
        <v>59</v>
      </c>
      <c r="F86" s="19">
        <v>59</v>
      </c>
      <c r="G86" s="22">
        <v>0.855072463768116</v>
      </c>
      <c r="H86" s="19">
        <v>57</v>
      </c>
      <c r="I86" s="22">
        <v>0.8260869565217391</v>
      </c>
      <c r="J86" s="19">
        <v>37</v>
      </c>
      <c r="K86" s="22">
        <v>0.5362318840579711</v>
      </c>
      <c r="L86" s="2" t="str">
        <v>不含AInavi</v>
      </c>
    </row>
    <row r="87" spans="1:11">
      <c r="A87" s="11" t="str">
        <v>手车互联</v>
      </c>
      <c r="B87" s="19">
        <v>8</v>
      </c>
      <c r="C87" s="20">
        <v>8</v>
      </c>
      <c r="D87" s="19">
        <v>8</v>
      </c>
      <c r="E87" s="1">
        <v>0</v>
      </c>
      <c r="F87" s="1">
        <v>0</v>
      </c>
      <c r="G87" s="1">
        <v>0</v>
      </c>
      <c r="H87" s="1">
        <v>0</v>
      </c>
      <c r="I87" s="1">
        <v>0</v>
      </c>
      <c r="J87" s="1">
        <v>0</v>
      </c>
      <c r="K87" s="1">
        <v>0</v>
      </c>
    </row>
    <row r="88" spans="1:11">
      <c r="A88" s="11" t="str">
        <v>通用</v>
      </c>
      <c r="B88" s="19">
        <v>3</v>
      </c>
      <c r="C88" s="20">
        <v>3</v>
      </c>
      <c r="D88" s="19">
        <v>3</v>
      </c>
      <c r="E88" s="21">
        <v>3</v>
      </c>
      <c r="F88" s="19">
        <v>2</v>
      </c>
      <c r="G88" s="22">
        <v>0.6666666666666666</v>
      </c>
      <c r="H88" s="19">
        <v>2</v>
      </c>
      <c r="I88" s="22">
        <v>0.6666666666666666</v>
      </c>
      <c r="J88" s="1">
        <v>0</v>
      </c>
      <c r="K88" s="1">
        <v>0</v>
      </c>
    </row>
    <row r="89" spans="2:11">
      <c r="B89" s="19">
        <v>734</v>
      </c>
      <c r="C89" s="20">
        <v>708</v>
      </c>
      <c r="D89" s="19">
        <v>696</v>
      </c>
      <c r="E89" s="21">
        <v>664</v>
      </c>
      <c r="F89" s="19">
        <v>648</v>
      </c>
      <c r="G89" s="22">
        <v>0.9152542372881356</v>
      </c>
      <c r="H89" s="19">
        <v>594</v>
      </c>
      <c r="I89" s="22">
        <v>0.8389830508474576</v>
      </c>
      <c r="J89" s="19">
        <v>468</v>
      </c>
      <c r="K89" s="22">
        <v>0.6610169491525424</v>
      </c>
    </row>
    <row r="90" spans="1:12">
      <c r="A90" s="11" t="str">
        <v>端状态信号</v>
      </c>
      <c r="B90" s="19">
        <v>391</v>
      </c>
      <c r="C90" s="20">
        <v>241</v>
      </c>
      <c r="D90" s="19">
        <v>236</v>
      </c>
      <c r="E90" s="21">
        <v>208</v>
      </c>
      <c r="F90" s="19">
        <v>208</v>
      </c>
      <c r="G90" s="22">
        <v>0.8630705394190872</v>
      </c>
      <c r="H90" s="19">
        <v>188</v>
      </c>
      <c r="I90" s="22">
        <v>0.7800829875518672</v>
      </c>
      <c r="J90" s="19">
        <v>153</v>
      </c>
      <c r="K90" s="22">
        <v>0.6348547717842323</v>
      </c>
      <c r="L90" s="2"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92" spans="1:1">
      <c r="A92" s="2" t="str">
        <v>·0624</v>
      </c>
    </row>
    <row r="93" spans="1:12">
      <c r="A93" s="11" t="str">
        <v>模块\API（04.29变更前）</v>
      </c>
      <c r="B93" s="11" t="str">
        <v>总api数</v>
      </c>
      <c r="C93" s="18" t="str">
        <v>本项目使用api数</v>
      </c>
      <c r="D93" s="11" t="str">
        <v>上汽已提供api数</v>
      </c>
      <c r="E93" s="17" t="str">
        <v>研发确认可用api数</v>
      </c>
      <c r="F93" s="11" t="str">
        <v>研发完成api数</v>
      </c>
      <c r="G93" s="11" t="str">
        <v>研发完成度</v>
      </c>
      <c r="H93" s="11" t="str">
        <v>测试覆盖api数</v>
      </c>
      <c r="I93" s="11" t="str">
        <v>测试执行完成度</v>
      </c>
      <c r="J93" s="11" t="str">
        <v>测试通过case数</v>
      </c>
      <c r="K93" s="11" t="str">
        <v>case通过完成度</v>
      </c>
      <c r="L93" s="2" t="str">
        <v>备注</v>
      </c>
    </row>
    <row r="94" spans="1:11">
      <c r="A94" s="11" t="str">
        <v>车控</v>
      </c>
      <c r="B94" s="19">
        <v>409</v>
      </c>
      <c r="C94" s="20">
        <v>402</v>
      </c>
      <c r="D94" s="19">
        <v>402</v>
      </c>
      <c r="E94" s="21">
        <v>389</v>
      </c>
      <c r="F94" s="19">
        <v>381</v>
      </c>
      <c r="G94" s="22">
        <v>0.9477611940298507</v>
      </c>
      <c r="H94" s="19">
        <v>357</v>
      </c>
      <c r="I94" s="22">
        <v>0.8880597014925373</v>
      </c>
      <c r="J94" s="19">
        <v>285</v>
      </c>
      <c r="K94" s="22">
        <v>0.7089552238805971</v>
      </c>
    </row>
    <row r="95" spans="1:11">
      <c r="A95" s="11" t="str">
        <v>系统设置</v>
      </c>
      <c r="B95" s="19">
        <v>126</v>
      </c>
      <c r="C95" s="20">
        <v>111</v>
      </c>
      <c r="D95" s="19">
        <v>106</v>
      </c>
      <c r="E95" s="21">
        <v>86</v>
      </c>
      <c r="F95" s="19">
        <v>82</v>
      </c>
      <c r="G95" s="22">
        <v>0.7387387387387387</v>
      </c>
      <c r="H95" s="19">
        <v>79</v>
      </c>
      <c r="I95" s="22">
        <v>0.7117117117117117</v>
      </c>
      <c r="J95" s="19">
        <v>68</v>
      </c>
      <c r="K95" s="22">
        <v>0.6126126126126126</v>
      </c>
    </row>
    <row r="96" spans="1:11">
      <c r="A96" s="11" t="str">
        <v>通讯</v>
      </c>
      <c r="B96" s="19">
        <v>26</v>
      </c>
      <c r="C96" s="20">
        <v>26</v>
      </c>
      <c r="D96" s="19">
        <v>24</v>
      </c>
      <c r="E96" s="21">
        <v>24</v>
      </c>
      <c r="F96" s="19">
        <v>23</v>
      </c>
      <c r="G96" s="22">
        <v>0.8846153846153846</v>
      </c>
      <c r="H96" s="19">
        <v>23</v>
      </c>
      <c r="I96" s="22">
        <v>0.8846153846153846</v>
      </c>
      <c r="J96" s="19">
        <v>21</v>
      </c>
      <c r="K96" s="22">
        <v>0.8076923076923077</v>
      </c>
    </row>
    <row r="97" spans="1:11">
      <c r="A97" s="11" t="str">
        <v>智能驾驶</v>
      </c>
      <c r="B97" s="19">
        <v>12</v>
      </c>
      <c r="C97" s="20">
        <v>12</v>
      </c>
      <c r="D97" s="19">
        <v>7</v>
      </c>
      <c r="E97" s="21">
        <v>5</v>
      </c>
      <c r="F97" s="19">
        <v>4</v>
      </c>
      <c r="G97" s="22">
        <v>0.3333333333333333</v>
      </c>
      <c r="H97" s="19">
        <v>1</v>
      </c>
      <c r="I97" s="22">
        <v>0.08333333333333333</v>
      </c>
      <c r="J97" s="19">
        <v>1</v>
      </c>
      <c r="K97" s="22">
        <v>0.08333333333333333</v>
      </c>
    </row>
    <row r="98" spans="1:11">
      <c r="A98" s="11" t="str">
        <v>多媒体</v>
      </c>
      <c r="B98" s="19">
        <v>81</v>
      </c>
      <c r="C98" s="20">
        <v>80</v>
      </c>
      <c r="D98" s="19">
        <v>80</v>
      </c>
      <c r="E98" s="21">
        <v>79</v>
      </c>
      <c r="F98" s="19">
        <v>78</v>
      </c>
      <c r="G98" s="22">
        <v>0.975</v>
      </c>
      <c r="H98" s="19">
        <v>75</v>
      </c>
      <c r="I98" s="22">
        <v>0.9375</v>
      </c>
      <c r="J98" s="19">
        <v>56</v>
      </c>
      <c r="K98" s="22">
        <v>0.7</v>
      </c>
    </row>
    <row r="99" spans="1:12">
      <c r="A99" s="11" t="str">
        <v>地图导航</v>
      </c>
      <c r="B99" s="19">
        <v>69</v>
      </c>
      <c r="C99" s="20">
        <v>69</v>
      </c>
      <c r="D99" s="19">
        <v>69</v>
      </c>
      <c r="E99" s="21">
        <v>59</v>
      </c>
      <c r="F99" s="19">
        <v>59</v>
      </c>
      <c r="G99" s="22">
        <v>0.855072463768116</v>
      </c>
      <c r="H99" s="19">
        <v>57</v>
      </c>
      <c r="I99" s="22">
        <v>0.8260869565217391</v>
      </c>
      <c r="J99" s="19">
        <v>37</v>
      </c>
      <c r="K99" s="22">
        <v>0.5362318840579711</v>
      </c>
      <c r="L99" s="2" t="str">
        <v>不含AInavi</v>
      </c>
    </row>
    <row r="100" spans="1:11">
      <c r="A100" s="11" t="str">
        <v>手车互联</v>
      </c>
      <c r="B100" s="19">
        <v>8</v>
      </c>
      <c r="C100" s="20">
        <v>8</v>
      </c>
      <c r="D100" s="19">
        <v>8</v>
      </c>
      <c r="E100" s="1">
        <v>0</v>
      </c>
      <c r="F100" s="1">
        <v>0</v>
      </c>
      <c r="G100" s="1">
        <v>0</v>
      </c>
      <c r="H100" s="1">
        <v>0</v>
      </c>
      <c r="I100" s="1">
        <v>0</v>
      </c>
      <c r="J100" s="1">
        <v>0</v>
      </c>
      <c r="K100" s="1">
        <v>0</v>
      </c>
    </row>
    <row r="101" spans="1:11">
      <c r="A101" s="11" t="str">
        <v>通用</v>
      </c>
      <c r="B101" s="19">
        <v>3</v>
      </c>
      <c r="C101" s="20">
        <v>3</v>
      </c>
      <c r="D101" s="19">
        <v>3</v>
      </c>
      <c r="E101" s="21">
        <v>3</v>
      </c>
      <c r="F101" s="19">
        <v>2</v>
      </c>
      <c r="G101" s="22">
        <v>0.6666666666666666</v>
      </c>
      <c r="H101" s="19">
        <v>2</v>
      </c>
      <c r="I101" s="22">
        <v>0.6666666666666666</v>
      </c>
      <c r="J101" s="1">
        <v>0</v>
      </c>
      <c r="K101" s="1">
        <v>0</v>
      </c>
    </row>
    <row r="102" spans="2:11">
      <c r="B102" s="19">
        <v>734</v>
      </c>
      <c r="C102" s="20">
        <v>711</v>
      </c>
      <c r="D102" s="19">
        <v>699</v>
      </c>
      <c r="E102" s="21">
        <v>645</v>
      </c>
      <c r="F102" s="19">
        <v>629</v>
      </c>
      <c r="G102" s="22">
        <v>0.8846694796061885</v>
      </c>
      <c r="H102" s="19">
        <v>594</v>
      </c>
      <c r="I102" s="22">
        <v>0.8354430379746836</v>
      </c>
      <c r="J102" s="19">
        <v>468</v>
      </c>
      <c r="K102" s="22">
        <v>0.6582278481012658</v>
      </c>
    </row>
    <row r="103" spans="1:12">
      <c r="A103" s="11" t="str">
        <v>端状态信号</v>
      </c>
      <c r="B103" s="19">
        <v>391</v>
      </c>
      <c r="C103" s="20">
        <v>241</v>
      </c>
      <c r="D103" s="19">
        <v>236</v>
      </c>
      <c r="E103" s="21">
        <v>208</v>
      </c>
      <c r="F103" s="19">
        <v>208</v>
      </c>
      <c r="G103" s="22">
        <v>0.8630705394190872</v>
      </c>
      <c r="H103" s="19">
        <v>188</v>
      </c>
      <c r="I103" s="22">
        <v>0.7800829875518672</v>
      </c>
      <c r="J103" s="19">
        <v>153</v>
      </c>
      <c r="K103" s="22">
        <v>0.6348547717842323</v>
      </c>
      <c r="L103" s="2"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105" spans="1:27">
      <c r="A105" s="2" t="str">
        <v>·0623</v>
      </c>
      <c r="Y105" s="11" t="str">
        <v>车控</v>
      </c>
      <c r="Z105" s="24" t="str">
        <v>后排吸顶屏</v>
      </c>
      <c r="AA105" s="11" t="str">
        <v>刘敬思</v>
      </c>
    </row>
    <row r="106" spans="1:27">
      <c r="A106" s="11" t="str">
        <v>模块\API（04.29变更前）</v>
      </c>
      <c r="B106" s="11" t="str">
        <v>总api数</v>
      </c>
      <c r="C106" s="18" t="str">
        <v>本项目使用api数</v>
      </c>
      <c r="D106" s="11" t="str">
        <v>上汽已提供api数</v>
      </c>
      <c r="E106" s="17" t="str">
        <v>研发确认可用api数</v>
      </c>
      <c r="F106" s="11" t="str">
        <v>研发完成api数</v>
      </c>
      <c r="G106" s="11" t="str">
        <v>研发完成度</v>
      </c>
      <c r="H106" s="11" t="str">
        <v>测试覆盖api数</v>
      </c>
      <c r="I106" s="11" t="str">
        <v>测试执行完成度</v>
      </c>
      <c r="J106" s="11" t="str">
        <v>测试通过case数</v>
      </c>
      <c r="K106" s="11" t="str">
        <v>case通过完成度</v>
      </c>
      <c r="L106" s="2" t="str">
        <v>备注</v>
      </c>
      <c r="Y106" s="11" t="str">
        <v>车控</v>
      </c>
      <c r="Z106" s="15" t="str">
        <v>驾驶模式</v>
      </c>
      <c r="AA106" s="11" t="str">
        <v>刘敬思</v>
      </c>
    </row>
    <row r="107" spans="1:27">
      <c r="A107" s="11" t="str">
        <v>车控</v>
      </c>
      <c r="B107" s="19">
        <v>409</v>
      </c>
      <c r="C107" s="20">
        <v>402</v>
      </c>
      <c r="D107" s="19">
        <v>402</v>
      </c>
      <c r="E107" s="21">
        <v>388</v>
      </c>
      <c r="F107" s="19">
        <v>381</v>
      </c>
      <c r="G107" s="22">
        <v>0.9477611940298507</v>
      </c>
      <c r="H107" s="19">
        <v>357</v>
      </c>
      <c r="I107" s="22">
        <v>0.8880597014925373</v>
      </c>
      <c r="J107" s="19">
        <v>285</v>
      </c>
      <c r="K107" s="22">
        <v>0.7089552238805971</v>
      </c>
      <c r="Y107" s="11" t="str">
        <v>车控</v>
      </c>
      <c r="Z107" s="11" t="str">
        <v>驾驶设置</v>
      </c>
      <c r="AA107" s="11" t="str">
        <v>尹泽陆</v>
      </c>
    </row>
    <row r="108" spans="1:27">
      <c r="A108" s="11" t="str">
        <v>系统设置</v>
      </c>
      <c r="B108" s="19">
        <v>126</v>
      </c>
      <c r="C108" s="20">
        <v>111</v>
      </c>
      <c r="D108" s="19">
        <v>106</v>
      </c>
      <c r="E108" s="21">
        <v>86</v>
      </c>
      <c r="F108" s="19">
        <v>82</v>
      </c>
      <c r="G108" s="22">
        <v>0.7387387387387387</v>
      </c>
      <c r="H108" s="19">
        <v>79</v>
      </c>
      <c r="I108" s="22">
        <v>0.7117117117117117</v>
      </c>
      <c r="J108" s="19">
        <v>68</v>
      </c>
      <c r="K108" s="22">
        <v>0.6126126126126126</v>
      </c>
      <c r="Y108" s="11" t="str">
        <v>车控</v>
      </c>
      <c r="Z108" s="14" t="str">
        <v>摄像头相关</v>
      </c>
      <c r="AA108" s="11" t="str">
        <v>杨忠谕</v>
      </c>
    </row>
    <row r="109" spans="1:27">
      <c r="A109" s="11" t="str">
        <v>通讯</v>
      </c>
      <c r="B109" s="19">
        <v>26</v>
      </c>
      <c r="C109" s="20">
        <v>26</v>
      </c>
      <c r="D109" s="19">
        <v>24</v>
      </c>
      <c r="E109" s="21">
        <v>24</v>
      </c>
      <c r="F109" s="19">
        <v>23</v>
      </c>
      <c r="G109" s="22">
        <v>0.8846153846153846</v>
      </c>
      <c r="H109" s="19">
        <v>23</v>
      </c>
      <c r="I109" s="22">
        <v>0.8846153846153846</v>
      </c>
      <c r="J109" s="19">
        <v>21</v>
      </c>
      <c r="K109" s="22">
        <v>0.8076923076923077</v>
      </c>
      <c r="Y109" s="11" t="str">
        <v>车控</v>
      </c>
      <c r="Z109" s="14" t="str">
        <v>维保</v>
      </c>
      <c r="AA109" s="11" t="str">
        <v>杨忠谕</v>
      </c>
    </row>
    <row r="110" spans="1:27">
      <c r="A110" s="11" t="str">
        <v>智能驾驶</v>
      </c>
      <c r="B110" s="19">
        <v>12</v>
      </c>
      <c r="C110" s="20">
        <v>12</v>
      </c>
      <c r="D110" s="19">
        <v>7</v>
      </c>
      <c r="E110" s="21">
        <v>5</v>
      </c>
      <c r="F110" s="19">
        <v>4</v>
      </c>
      <c r="G110" s="22">
        <v>0.3333333333333333</v>
      </c>
      <c r="H110" s="19">
        <v>1</v>
      </c>
      <c r="I110" s="22">
        <v>0.08333333333333333</v>
      </c>
      <c r="J110" s="19">
        <v>1</v>
      </c>
      <c r="K110" s="22">
        <v>0.08333333333333333</v>
      </c>
      <c r="Y110" s="11" t="str">
        <v>车控</v>
      </c>
      <c r="Z110" s="11" t="str">
        <v>制动</v>
      </c>
      <c r="AA110" s="11" t="str">
        <v>刘敬思</v>
      </c>
    </row>
    <row r="111" spans="1:27">
      <c r="A111" s="11" t="str">
        <v>多媒体</v>
      </c>
      <c r="B111" s="19">
        <v>81</v>
      </c>
      <c r="C111" s="20">
        <v>80</v>
      </c>
      <c r="D111" s="19">
        <v>80</v>
      </c>
      <c r="E111" s="21">
        <v>79</v>
      </c>
      <c r="F111" s="19">
        <v>78</v>
      </c>
      <c r="G111" s="22">
        <v>0.975</v>
      </c>
      <c r="H111" s="19">
        <v>75</v>
      </c>
      <c r="I111" s="22">
        <v>0.9375</v>
      </c>
      <c r="J111" s="19">
        <v>56</v>
      </c>
      <c r="K111" s="22">
        <v>0.7</v>
      </c>
      <c r="Y111" s="11" t="str">
        <v>车控</v>
      </c>
      <c r="Z111" s="14" t="str">
        <v>仪表及其他</v>
      </c>
      <c r="AA111" s="11" t="str">
        <v>刘敬思</v>
      </c>
    </row>
    <row r="112" spans="1:27">
      <c r="A112" s="11" t="str">
        <v>地图导航</v>
      </c>
      <c r="B112" s="19">
        <v>69</v>
      </c>
      <c r="C112" s="20">
        <v>69</v>
      </c>
      <c r="D112" s="19">
        <v>69</v>
      </c>
      <c r="E112" s="21">
        <v>59</v>
      </c>
      <c r="F112" s="19">
        <v>59</v>
      </c>
      <c r="G112" s="22">
        <v>0.855072463768116</v>
      </c>
      <c r="H112" s="19">
        <v>57</v>
      </c>
      <c r="I112" s="22">
        <v>0.8260869565217391</v>
      </c>
      <c r="J112" s="19">
        <v>37</v>
      </c>
      <c r="K112" s="22">
        <v>0.5362318840579711</v>
      </c>
      <c r="L112" s="2" t="str">
        <v>不含AInavi</v>
      </c>
      <c r="Y112" s="11" t="str">
        <v>车控</v>
      </c>
      <c r="Z112" s="14" t="str">
        <v>内灯</v>
      </c>
      <c r="AA112" s="11" t="str">
        <v>陈果果</v>
      </c>
    </row>
    <row r="113" spans="1:27">
      <c r="A113" s="11" t="str">
        <v>手车互联</v>
      </c>
      <c r="B113" s="19">
        <v>8</v>
      </c>
      <c r="C113" s="20">
        <v>8</v>
      </c>
      <c r="D113" s="19">
        <v>8</v>
      </c>
      <c r="E113" s="1">
        <v>0</v>
      </c>
      <c r="F113" s="1">
        <v>0</v>
      </c>
      <c r="G113" s="1">
        <v>0</v>
      </c>
      <c r="H113" s="1">
        <v>0</v>
      </c>
      <c r="I113" s="1">
        <v>0</v>
      </c>
      <c r="J113" s="1">
        <v>0</v>
      </c>
      <c r="K113" s="1">
        <v>0</v>
      </c>
      <c r="Y113" s="11" t="str">
        <v>车控</v>
      </c>
      <c r="Z113" s="14" t="str">
        <v>外灯</v>
      </c>
      <c r="AA113" s="11" t="str">
        <v>陈果果</v>
      </c>
    </row>
    <row r="114" spans="1:27">
      <c r="A114" s="11" t="str">
        <v>通用</v>
      </c>
      <c r="B114" s="19">
        <v>3</v>
      </c>
      <c r="C114" s="20">
        <v>3</v>
      </c>
      <c r="D114" s="19">
        <v>3</v>
      </c>
      <c r="E114" s="21">
        <v>3</v>
      </c>
      <c r="F114" s="19">
        <v>2</v>
      </c>
      <c r="G114" s="22">
        <v>0.6666666666666666</v>
      </c>
      <c r="H114" s="19">
        <v>2</v>
      </c>
      <c r="I114" s="22">
        <v>0.6666666666666666</v>
      </c>
      <c r="J114" s="1">
        <v>0</v>
      </c>
      <c r="K114" s="1">
        <v>0</v>
      </c>
      <c r="Y114" s="11" t="str">
        <v>车控</v>
      </c>
      <c r="Z114" s="11" t="str">
        <v>智能场景</v>
      </c>
      <c r="AA114" s="11" t="str">
        <v>杨忠谕</v>
      </c>
    </row>
    <row r="115" spans="2:27">
      <c r="B115" s="19">
        <v>734</v>
      </c>
      <c r="C115" s="20">
        <v>711</v>
      </c>
      <c r="D115" s="19">
        <v>699</v>
      </c>
      <c r="E115" s="21">
        <v>644</v>
      </c>
      <c r="F115" s="19">
        <v>629</v>
      </c>
      <c r="G115" s="22">
        <v>0.8846694796061885</v>
      </c>
      <c r="H115" s="19">
        <v>594</v>
      </c>
      <c r="I115" s="22">
        <v>0.8354430379746836</v>
      </c>
      <c r="J115" s="19">
        <v>468</v>
      </c>
      <c r="K115" s="22">
        <v>0.6582278481012658</v>
      </c>
      <c r="Y115" s="11" t="str">
        <v>车控</v>
      </c>
      <c r="Z115" s="11" t="str">
        <v>个人中心</v>
      </c>
      <c r="AA115" s="11" t="str">
        <v>杨忠谕</v>
      </c>
    </row>
    <row r="116" spans="1:27">
      <c r="A116" s="11" t="str">
        <v>端状态信号</v>
      </c>
      <c r="B116" s="19">
        <v>391</v>
      </c>
      <c r="C116" s="20">
        <v>241</v>
      </c>
      <c r="D116" s="19">
        <v>236</v>
      </c>
      <c r="E116" s="21">
        <v>208</v>
      </c>
      <c r="F116" s="19">
        <v>208</v>
      </c>
      <c r="G116" s="22">
        <v>0.8630705394190872</v>
      </c>
      <c r="H116" s="19">
        <v>188</v>
      </c>
      <c r="I116" s="22">
        <v>0.7800829875518672</v>
      </c>
      <c r="J116" s="19">
        <v>153</v>
      </c>
      <c r="K116" s="22">
        <v>0.6348547717842323</v>
      </c>
      <c r="L116" s="2"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c r="Y116" s="11" t="str">
        <v>车控</v>
      </c>
      <c r="Z116" s="11" t="str">
        <v>智能能量池</v>
      </c>
      <c r="AA116" s="11" t="str">
        <v>刘敬思</v>
      </c>
    </row>
    <row r="117" spans="25:27">
      <c r="Y117" s="11" t="str">
        <v>系统设置</v>
      </c>
      <c r="Z117" s="14" t="str">
        <v>声音</v>
      </c>
      <c r="AA117" s="11" t="str">
        <v>尹泽陆</v>
      </c>
    </row>
    <row r="118" spans="25:27">
      <c r="Y118" s="11" t="str">
        <v>系统设置</v>
      </c>
      <c r="Z118" s="11" t="str">
        <v>系统设置开关</v>
      </c>
      <c r="AA118" s="11" t="str">
        <v>刘敬思</v>
      </c>
    </row>
    <row r="119" spans="1:27">
      <c r="A119" s="2" t="str">
        <v>`0622</v>
      </c>
      <c r="Y119" s="11" t="str">
        <v>系统设置</v>
      </c>
      <c r="Z119" s="13" t="str">
        <v>屏幕亮度</v>
      </c>
      <c r="AA119" s="11" t="str">
        <v>谢一鸣</v>
      </c>
    </row>
    <row r="120" spans="1:27">
      <c r="A120" s="11" t="str">
        <v>模块\API（04.29变更前）</v>
      </c>
      <c r="B120" s="11" t="str">
        <v>总api数</v>
      </c>
      <c r="C120" s="18" t="str">
        <v>本项目使用api数</v>
      </c>
      <c r="D120" s="11" t="str">
        <v>上汽已提供api数</v>
      </c>
      <c r="E120" s="17" t="str">
        <v>研发确认可用api数</v>
      </c>
      <c r="F120" s="11" t="str">
        <v>研发完成api数</v>
      </c>
      <c r="G120" s="11" t="str">
        <v>研发完成度</v>
      </c>
      <c r="H120" s="11" t="str">
        <v>测试覆盖api数</v>
      </c>
      <c r="I120" s="11" t="str">
        <v>测试执行完成度</v>
      </c>
      <c r="J120" s="11" t="str">
        <v>测试通过case数</v>
      </c>
      <c r="K120" s="11" t="str">
        <v>case通过完成度</v>
      </c>
      <c r="L120" s="2" t="str">
        <v>备注</v>
      </c>
      <c r="Y120" s="11" t="str">
        <v>系统设置</v>
      </c>
      <c r="Z120" s="11" t="str">
        <v>屏保</v>
      </c>
      <c r="AA120" s="11" t="str">
        <v>刘敬思</v>
      </c>
    </row>
    <row r="121" spans="1:27">
      <c r="A121" s="11" t="str">
        <v>车控</v>
      </c>
      <c r="B121" s="19">
        <v>409</v>
      </c>
      <c r="C121" s="20">
        <v>402</v>
      </c>
      <c r="D121" s="19">
        <v>402</v>
      </c>
      <c r="E121" s="21">
        <v>388</v>
      </c>
      <c r="F121" s="19">
        <v>381</v>
      </c>
      <c r="G121" s="25">
        <v>0.9477611940298507</v>
      </c>
      <c r="H121" s="19">
        <v>357</v>
      </c>
      <c r="I121" s="25">
        <v>0.8880597014925373</v>
      </c>
      <c r="J121" s="19">
        <v>285</v>
      </c>
      <c r="K121" s="25">
        <v>0.7089552238805971</v>
      </c>
      <c r="Y121" s="11" t="str">
        <v>系统设置</v>
      </c>
      <c r="Z121" s="11" t="str">
        <v>主题切换</v>
      </c>
      <c r="AA121" s="11" t="str">
        <v>刘敬思</v>
      </c>
    </row>
    <row r="122" spans="1:27">
      <c r="A122" s="11" t="str">
        <v>系统设置</v>
      </c>
      <c r="B122" s="19">
        <v>126</v>
      </c>
      <c r="C122" s="20">
        <v>111</v>
      </c>
      <c r="D122" s="19">
        <v>106</v>
      </c>
      <c r="E122" s="21">
        <v>86</v>
      </c>
      <c r="F122" s="19">
        <v>82</v>
      </c>
      <c r="G122" s="25">
        <v>0.7387387387387387</v>
      </c>
      <c r="H122" s="19">
        <v>79</v>
      </c>
      <c r="I122" s="25">
        <v>0.7027027027027027</v>
      </c>
      <c r="J122" s="19">
        <v>68</v>
      </c>
      <c r="K122" s="25">
        <v>0.6126126126126126</v>
      </c>
      <c r="Y122" s="11" t="str">
        <v>系统设置</v>
      </c>
      <c r="Z122" s="15" t="str">
        <v>壁纸切换</v>
      </c>
      <c r="AA122" s="11" t="str">
        <v>尹泽陆</v>
      </c>
    </row>
    <row r="123" spans="1:27">
      <c r="A123" s="11" t="str">
        <v>通讯</v>
      </c>
      <c r="B123" s="19">
        <v>26</v>
      </c>
      <c r="C123" s="20">
        <v>26</v>
      </c>
      <c r="D123" s="19">
        <v>24</v>
      </c>
      <c r="E123" s="21">
        <v>24</v>
      </c>
      <c r="F123" s="19">
        <v>23</v>
      </c>
      <c r="G123" s="25">
        <v>0.8846153846153846</v>
      </c>
      <c r="H123" s="19">
        <v>23</v>
      </c>
      <c r="I123" s="25">
        <v>0.8846153846153846</v>
      </c>
      <c r="J123" s="19">
        <v>21</v>
      </c>
      <c r="K123" s="25">
        <v>0.8076923076923077</v>
      </c>
      <c r="Y123" s="11" t="str">
        <v>系统设置</v>
      </c>
      <c r="Z123" s="26" t="str">
        <v>分屏</v>
      </c>
      <c r="AA123" s="11" t="str">
        <v>杨忠谕</v>
      </c>
    </row>
    <row r="124" spans="1:27">
      <c r="A124" s="11" t="str">
        <v>智能驾驶</v>
      </c>
      <c r="B124" s="19">
        <v>12</v>
      </c>
      <c r="C124" s="20">
        <v>12</v>
      </c>
      <c r="D124" s="19">
        <v>7</v>
      </c>
      <c r="E124" s="21">
        <v>5</v>
      </c>
      <c r="F124" s="19">
        <v>4</v>
      </c>
      <c r="G124" s="25">
        <v>0.3333333333333333</v>
      </c>
      <c r="H124" s="19">
        <v>1</v>
      </c>
      <c r="I124" s="25">
        <v>0.08333333333333333</v>
      </c>
      <c r="J124" s="19">
        <v>1</v>
      </c>
      <c r="K124" s="25">
        <v>0.08333333333333333</v>
      </c>
      <c r="Y124" s="11" t="str">
        <v>系统设置</v>
      </c>
      <c r="Z124" s="13" t="str">
        <v>热点</v>
      </c>
      <c r="AA124" s="11" t="str">
        <v>刘敬思</v>
      </c>
    </row>
    <row r="125" spans="1:27">
      <c r="A125" s="11" t="str">
        <v>多媒体</v>
      </c>
      <c r="B125" s="19">
        <v>81</v>
      </c>
      <c r="C125" s="20">
        <v>80</v>
      </c>
      <c r="D125" s="19">
        <v>80</v>
      </c>
      <c r="E125" s="21">
        <v>79</v>
      </c>
      <c r="F125" s="19">
        <v>78</v>
      </c>
      <c r="G125" s="25">
        <v>0.975</v>
      </c>
      <c r="H125" s="19">
        <v>75</v>
      </c>
      <c r="I125" s="25">
        <v>0.9375</v>
      </c>
      <c r="J125" s="19">
        <v>56</v>
      </c>
      <c r="K125" s="25">
        <v>0.7</v>
      </c>
      <c r="Y125" s="11" t="str">
        <v>系统设置</v>
      </c>
      <c r="Z125" s="13" t="str">
        <v>蓝牙</v>
      </c>
      <c r="AA125" s="11" t="str">
        <v>刘敬思</v>
      </c>
    </row>
    <row r="126" spans="1:27">
      <c r="A126" s="11" t="str">
        <v>地图导航</v>
      </c>
      <c r="B126" s="19">
        <v>69</v>
      </c>
      <c r="C126" s="20">
        <v>69</v>
      </c>
      <c r="D126" s="19">
        <v>69</v>
      </c>
      <c r="E126" s="21">
        <v>59</v>
      </c>
      <c r="F126" s="19">
        <v>59</v>
      </c>
      <c r="G126" s="25">
        <v>0.855072463768116</v>
      </c>
      <c r="H126" s="19">
        <v>57</v>
      </c>
      <c r="I126" s="25">
        <v>0.8260869565217391</v>
      </c>
      <c r="J126" s="19">
        <v>37</v>
      </c>
      <c r="K126" s="25">
        <v>0.5362318840579711</v>
      </c>
      <c r="L126" s="2" t="str">
        <v>不含AInavi</v>
      </c>
      <c r="Y126" s="11" t="str">
        <v>系统设置</v>
      </c>
      <c r="Z126" s="13" t="str">
        <v>时间格式</v>
      </c>
      <c r="AA126" s="11" t="str">
        <v>杨忠谕</v>
      </c>
    </row>
    <row r="127" spans="1:27">
      <c r="A127" s="11" t="str">
        <v>手车互联</v>
      </c>
      <c r="B127" s="19">
        <v>8</v>
      </c>
      <c r="C127" s="20">
        <v>8</v>
      </c>
      <c r="D127" s="19">
        <v>8</v>
      </c>
      <c r="E127" s="1">
        <v>0</v>
      </c>
      <c r="F127" s="1">
        <v>0</v>
      </c>
      <c r="G127" s="1">
        <v>0</v>
      </c>
      <c r="H127" s="1">
        <v>0</v>
      </c>
      <c r="I127" s="1">
        <v>0</v>
      </c>
      <c r="J127" s="1">
        <v>0</v>
      </c>
      <c r="K127" s="1">
        <v>0</v>
      </c>
      <c r="Y127" s="11" t="str">
        <v>系统设置</v>
      </c>
      <c r="Z127" s="11" t="str">
        <v>无线网络</v>
      </c>
      <c r="AA127" s="11" t="str">
        <v>尹泽陆</v>
      </c>
    </row>
    <row r="128" spans="1:27">
      <c r="A128" s="11" t="str">
        <v>通用</v>
      </c>
      <c r="B128" s="19">
        <v>3</v>
      </c>
      <c r="C128" s="20">
        <v>3</v>
      </c>
      <c r="D128" s="19">
        <v>3</v>
      </c>
      <c r="E128" s="21">
        <v>3</v>
      </c>
      <c r="F128" s="19">
        <v>2</v>
      </c>
      <c r="G128" s="25">
        <v>0.6666666666666666</v>
      </c>
      <c r="H128" s="19">
        <v>2</v>
      </c>
      <c r="I128" s="25">
        <v>0.6666666666666666</v>
      </c>
      <c r="J128" s="1">
        <v>0</v>
      </c>
      <c r="K128" s="1">
        <v>0</v>
      </c>
      <c r="Y128" s="11" t="str">
        <v>系统设置</v>
      </c>
      <c r="Z128" s="11" t="str">
        <v>软件升级</v>
      </c>
      <c r="AA128" s="11" t="str">
        <v>杨忠谕</v>
      </c>
    </row>
    <row r="129" spans="2:27">
      <c r="B129" s="19">
        <v>734</v>
      </c>
      <c r="C129" s="20">
        <v>711</v>
      </c>
      <c r="D129" s="19">
        <v>699</v>
      </c>
      <c r="E129" s="21">
        <v>644</v>
      </c>
      <c r="F129" s="19">
        <v>629</v>
      </c>
      <c r="G129" s="25">
        <v>0.8846694796061885</v>
      </c>
      <c r="H129" s="19">
        <v>593</v>
      </c>
      <c r="I129" s="25">
        <v>0.8340365682137834</v>
      </c>
      <c r="J129" s="19">
        <v>468</v>
      </c>
      <c r="K129" s="25">
        <v>0.6582278481012658</v>
      </c>
      <c r="Y129" s="11" t="str">
        <v>系统设置</v>
      </c>
      <c r="Z129" s="13" t="str">
        <v>车机快速启动</v>
      </c>
      <c r="AA129" s="11" t="str">
        <v>杨忠谕</v>
      </c>
    </row>
    <row r="130" spans="1:27">
      <c r="A130" s="11" t="str">
        <v>端状态信号</v>
      </c>
      <c r="B130" s="19">
        <v>391</v>
      </c>
      <c r="C130" s="20">
        <v>241</v>
      </c>
      <c r="D130" s="19">
        <v>236</v>
      </c>
      <c r="E130" s="21">
        <v>208</v>
      </c>
      <c r="F130" s="19">
        <v>208</v>
      </c>
      <c r="G130" s="25">
        <v>0.8630705394190872</v>
      </c>
      <c r="H130" s="19">
        <v>188</v>
      </c>
      <c r="I130" s="25">
        <v>0.7800829875518672</v>
      </c>
      <c r="J130" s="19">
        <v>153</v>
      </c>
      <c r="K130" s="25">
        <v>0.6348547717842323</v>
      </c>
      <c r="L130" s="2"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c r="Y130" s="11" t="str">
        <v>系统设置</v>
      </c>
      <c r="Z130" s="15" t="str">
        <v>权限管理</v>
      </c>
      <c r="AA130" s="11" t="str">
        <v>刘敬思</v>
      </c>
    </row>
    <row r="131" spans="25:27">
      <c r="Y131" s="11" t="str">
        <v>系统设置</v>
      </c>
      <c r="Z131" s="11" t="str">
        <v>系统重置</v>
      </c>
      <c r="AA131" s="11" t="str">
        <v>尹泽陆</v>
      </c>
    </row>
    <row r="132" spans="1:27">
      <c r="A132" s="2" t="str">
        <v>`0618</v>
      </c>
      <c r="Y132" s="11" t="str">
        <v>系统设置</v>
      </c>
      <c r="Z132" s="27" t="str">
        <v>安全控制</v>
      </c>
      <c r="AA132" s="11" t="str">
        <v>余明明</v>
      </c>
    </row>
    <row r="133" spans="1:27">
      <c r="A133" s="11" t="str">
        <v>模块\API（04.29变更前）</v>
      </c>
      <c r="B133" s="11" t="str">
        <v>总api数</v>
      </c>
      <c r="C133" s="18" t="str">
        <v>本项目使用api数</v>
      </c>
      <c r="D133" s="11" t="str">
        <v>上汽已提供api数</v>
      </c>
      <c r="E133" s="17" t="str">
        <v>研发确认可用api数</v>
      </c>
      <c r="F133" s="11" t="str">
        <v>开发完成api数</v>
      </c>
      <c r="G133" s="11" t="str">
        <v>测试覆盖api数</v>
      </c>
      <c r="H133" s="11" t="str">
        <v>测试通过case数</v>
      </c>
      <c r="I133" s="11" t="str">
        <v>case完成度</v>
      </c>
      <c r="J133" s="11" t="str">
        <v>备注</v>
      </c>
      <c r="Y133" s="11" t="str">
        <v>通讯</v>
      </c>
      <c r="Z133" s="14" t="str">
        <v>蓝牙电话</v>
      </c>
      <c r="AA133" s="11" t="str">
        <v>杨忠谕</v>
      </c>
    </row>
    <row r="134" spans="1:27">
      <c r="A134" s="11" t="str">
        <v>车控</v>
      </c>
      <c r="B134" s="19">
        <v>409</v>
      </c>
      <c r="C134" s="20">
        <v>402</v>
      </c>
      <c r="D134" s="28">
        <v>402</v>
      </c>
      <c r="E134" s="21">
        <v>388</v>
      </c>
      <c r="F134" s="19">
        <v>381</v>
      </c>
      <c r="G134" s="19">
        <v>357</v>
      </c>
      <c r="H134" s="19">
        <v>285</v>
      </c>
      <c r="I134" s="25">
        <v>0.7089552238805971</v>
      </c>
      <c r="Y134" s="11" t="str">
        <v>通讯</v>
      </c>
      <c r="Z134" s="14" t="str">
        <v>车主直呼（视频通话）</v>
      </c>
      <c r="AA134" s="11" t="str">
        <v>杨忠谕</v>
      </c>
    </row>
    <row r="135" spans="1:27">
      <c r="A135" s="11" t="str">
        <v>系统设置</v>
      </c>
      <c r="B135" s="19">
        <v>126</v>
      </c>
      <c r="C135" s="20">
        <v>111</v>
      </c>
      <c r="D135" s="28">
        <v>106</v>
      </c>
      <c r="E135" s="21">
        <v>86</v>
      </c>
      <c r="F135" s="19">
        <v>82</v>
      </c>
      <c r="G135" s="19">
        <v>79</v>
      </c>
      <c r="H135" s="19">
        <v>68</v>
      </c>
      <c r="I135" s="25">
        <v>0.6126126126126126</v>
      </c>
      <c r="Y135" s="11" t="str">
        <v>智能驾驶</v>
      </c>
      <c r="Z135" s="14" t="str">
        <v>自动泊车</v>
      </c>
      <c r="AA135" s="11" t="str">
        <v>谢一鸣</v>
      </c>
    </row>
    <row r="136" spans="1:27">
      <c r="A136" s="11" t="str">
        <v>通讯</v>
      </c>
      <c r="B136" s="19">
        <v>26</v>
      </c>
      <c r="C136" s="20">
        <v>26</v>
      </c>
      <c r="D136" s="28">
        <v>24</v>
      </c>
      <c r="E136" s="21">
        <v>24</v>
      </c>
      <c r="F136" s="19">
        <v>23</v>
      </c>
      <c r="G136" s="19">
        <v>23</v>
      </c>
      <c r="H136" s="19">
        <v>21</v>
      </c>
      <c r="I136" s="25">
        <v>0.8076923076923077</v>
      </c>
      <c r="Y136" s="11" t="str">
        <v>智能驾驶</v>
      </c>
      <c r="Z136" s="14" t="str">
        <v>智驾行车</v>
      </c>
      <c r="AA136" s="11" t="str">
        <v>张王成</v>
      </c>
    </row>
    <row r="137" spans="1:27">
      <c r="A137" s="11" t="str">
        <v>智能驾驶</v>
      </c>
      <c r="B137" s="19">
        <v>12</v>
      </c>
      <c r="C137" s="20">
        <v>12</v>
      </c>
      <c r="D137" s="28">
        <v>7</v>
      </c>
      <c r="E137" s="21">
        <v>5</v>
      </c>
      <c r="F137" s="19">
        <v>4</v>
      </c>
      <c r="G137" s="19">
        <v>1</v>
      </c>
      <c r="H137" s="19">
        <v>1</v>
      </c>
      <c r="I137" s="25">
        <v>0.08333333333333333</v>
      </c>
      <c r="Y137" s="14" t="str">
        <v>多媒体</v>
      </c>
      <c r="Z137" s="14" t="str">
        <v>通用控制</v>
      </c>
      <c r="AA137" s="11" t="str">
        <v>田高琳</v>
      </c>
    </row>
    <row r="138" spans="1:27">
      <c r="A138" s="11" t="str">
        <v>多媒体</v>
      </c>
      <c r="B138" s="19">
        <v>81</v>
      </c>
      <c r="C138" s="20">
        <v>80</v>
      </c>
      <c r="D138" s="28">
        <v>80</v>
      </c>
      <c r="E138" s="21">
        <v>79</v>
      </c>
      <c r="F138" s="19">
        <v>78</v>
      </c>
      <c r="G138" s="19">
        <v>75</v>
      </c>
      <c r="H138" s="19">
        <v>56</v>
      </c>
      <c r="I138" s="25">
        <v>0.7</v>
      </c>
      <c r="Y138" s="14" t="str">
        <v>多媒体</v>
      </c>
      <c r="Z138" s="11" t="str">
        <v>语音控制音乐</v>
      </c>
      <c r="AA138" s="11" t="str">
        <v>田高琳</v>
      </c>
    </row>
    <row r="139" spans="1:27">
      <c r="A139" s="11" t="str">
        <v>地图导航</v>
      </c>
      <c r="B139" s="19">
        <v>69</v>
      </c>
      <c r="C139" s="20">
        <v>69</v>
      </c>
      <c r="D139" s="28">
        <v>69</v>
      </c>
      <c r="E139" s="21">
        <v>59</v>
      </c>
      <c r="F139" s="19">
        <v>59</v>
      </c>
      <c r="G139" s="19">
        <v>57</v>
      </c>
      <c r="H139" s="19">
        <v>37</v>
      </c>
      <c r="I139" s="25">
        <v>0.5362318840579711</v>
      </c>
      <c r="J139" s="11" t="str">
        <v>不含AInavi</v>
      </c>
      <c r="Y139" s="14" t="str">
        <v>多媒体</v>
      </c>
      <c r="Z139" s="11" t="str">
        <v>语音控制本地电台</v>
      </c>
      <c r="AA139" s="11" t="str">
        <v>田高琳</v>
      </c>
    </row>
    <row r="140" spans="1:27">
      <c r="A140" s="11" t="str">
        <v>手车互联</v>
      </c>
      <c r="B140" s="19">
        <v>8</v>
      </c>
      <c r="C140" s="20">
        <v>8</v>
      </c>
      <c r="D140" s="28">
        <v>8</v>
      </c>
      <c r="E140" s="1">
        <v>0</v>
      </c>
      <c r="F140" s="1">
        <v>0</v>
      </c>
      <c r="G140" s="1">
        <v>0</v>
      </c>
      <c r="H140" s="1">
        <v>0</v>
      </c>
      <c r="I140" s="1">
        <v>0</v>
      </c>
      <c r="Y140" s="14" t="str">
        <v>多媒体</v>
      </c>
      <c r="Z140" s="11" t="str">
        <v>语音控制在线广播</v>
      </c>
      <c r="AA140" s="11" t="str">
        <v>田高琳</v>
      </c>
    </row>
    <row r="141" spans="1:27">
      <c r="A141" s="11" t="str">
        <v>通用</v>
      </c>
      <c r="B141" s="19">
        <v>3</v>
      </c>
      <c r="C141" s="20">
        <v>3</v>
      </c>
      <c r="D141" s="28">
        <v>3</v>
      </c>
      <c r="E141" s="21">
        <v>3</v>
      </c>
      <c r="F141" s="19">
        <v>2</v>
      </c>
      <c r="G141" s="19">
        <v>2</v>
      </c>
      <c r="H141" s="1">
        <v>0</v>
      </c>
      <c r="I141" s="1">
        <v>0</v>
      </c>
      <c r="Y141" s="14" t="str">
        <v>多媒体</v>
      </c>
      <c r="Z141" s="11" t="str">
        <v>语音控制网络节目</v>
      </c>
      <c r="AA141" s="11" t="str">
        <v>田高琳</v>
      </c>
    </row>
    <row r="142" spans="2:27">
      <c r="B142" s="19">
        <v>734</v>
      </c>
      <c r="C142" s="19">
        <v>711</v>
      </c>
      <c r="D142" s="19">
        <v>699</v>
      </c>
      <c r="E142" s="19">
        <v>644</v>
      </c>
      <c r="F142" s="19">
        <v>629</v>
      </c>
      <c r="G142" s="19">
        <v>593</v>
      </c>
      <c r="H142" s="19">
        <v>468</v>
      </c>
      <c r="I142" s="29">
        <v>0.6582278481012658</v>
      </c>
      <c r="Y142" s="14" t="str">
        <v>多媒体</v>
      </c>
      <c r="Z142" s="11" t="str">
        <v>多媒体应用开关</v>
      </c>
      <c r="AA142" s="11" t="str">
        <v>田高琳</v>
      </c>
    </row>
    <row r="143" spans="1:27">
      <c r="A143" s="11" t="str">
        <v>端状态信号</v>
      </c>
      <c r="B143" s="20">
        <v>391</v>
      </c>
      <c r="C143" s="28">
        <v>241</v>
      </c>
      <c r="D143" s="28">
        <v>236</v>
      </c>
      <c r="E143" s="28">
        <v>208</v>
      </c>
      <c r="F143" s="28">
        <v>208</v>
      </c>
      <c r="G143" s="28">
        <v>188</v>
      </c>
      <c r="H143" s="28">
        <v>153</v>
      </c>
      <c r="I143" s="29">
        <v>0.6348547717842323</v>
      </c>
      <c r="J143" s="30"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c r="Y143" s="14" t="str">
        <v>多媒体</v>
      </c>
      <c r="Z143" s="11" t="str">
        <v>语音控制视频</v>
      </c>
      <c r="AA143" s="11" t="str">
        <v>田高琳</v>
      </c>
    </row>
    <row r="144" spans="25:27">
      <c r="Y144" s="14" t="str">
        <v>多媒体</v>
      </c>
      <c r="Z144" s="11" t="str">
        <v>语音控制K歌</v>
      </c>
      <c r="AA144" s="11" t="str">
        <v>田高琳</v>
      </c>
    </row>
    <row r="145" spans="25:27">
      <c r="Y145" s="14" t="str">
        <v>多媒体</v>
      </c>
      <c r="Z145" s="11" t="str">
        <v>语音控制镜像</v>
      </c>
      <c r="AA145" s="11" t="str">
        <v>田高琳</v>
      </c>
    </row>
    <row r="146" spans="1:27">
      <c r="A146" s="2" t="str">
        <v>·0617</v>
      </c>
      <c r="Y146" s="14" t="str">
        <v>地图导航</v>
      </c>
      <c r="Z146" s="31" t="str">
        <v>打开地图应用</v>
      </c>
      <c r="AA146" s="11" t="str">
        <v>余明明</v>
      </c>
    </row>
    <row r="147" spans="1:27">
      <c r="A147" s="11" t="str">
        <v>模块\API（04.29变更前）</v>
      </c>
      <c r="B147" s="11" t="str">
        <v>总api数</v>
      </c>
      <c r="C147" s="18" t="str">
        <v>本项目使用api数</v>
      </c>
      <c r="D147" s="11" t="str">
        <v>上汽已提供api数</v>
      </c>
      <c r="E147" s="17" t="str">
        <v>研发确认可用api数</v>
      </c>
      <c r="F147" s="11" t="str">
        <v>开发完成api数</v>
      </c>
      <c r="G147" s="11" t="str">
        <v>测试覆盖api数</v>
      </c>
      <c r="H147" s="11" t="str">
        <v>测试通过case数</v>
      </c>
      <c r="I147" s="11" t="str">
        <v>case完成度</v>
      </c>
      <c r="J147" s="11" t="str">
        <v>备注</v>
      </c>
      <c r="Y147" s="14" t="str">
        <v>地图导航</v>
      </c>
      <c r="Z147" s="14" t="str">
        <v>收藏地点</v>
      </c>
      <c r="AA147" s="11" t="str">
        <v>余明明</v>
      </c>
    </row>
    <row r="148" spans="1:27">
      <c r="A148" s="11" t="str">
        <v>车控</v>
      </c>
      <c r="B148" s="19">
        <v>409</v>
      </c>
      <c r="C148" s="20">
        <v>402</v>
      </c>
      <c r="D148" s="28">
        <v>402</v>
      </c>
      <c r="E148" s="21">
        <v>388</v>
      </c>
      <c r="F148" s="19">
        <v>381</v>
      </c>
      <c r="G148" s="19">
        <v>357</v>
      </c>
      <c r="H148" s="19">
        <v>285</v>
      </c>
      <c r="I148" s="25">
        <v>0.7089552238805971</v>
      </c>
      <c r="Y148" s="14" t="str">
        <v>地图导航</v>
      </c>
      <c r="Z148" s="2" t="str">
        <v>地址收藏</v>
      </c>
      <c r="AA148" s="11" t="str">
        <v>余明明</v>
      </c>
    </row>
    <row r="149" spans="1:27">
      <c r="A149" s="11" t="str">
        <v>系统设置</v>
      </c>
      <c r="B149" s="19">
        <v>126</v>
      </c>
      <c r="C149" s="20">
        <v>111</v>
      </c>
      <c r="D149" s="28">
        <v>106</v>
      </c>
      <c r="E149" s="21">
        <v>86</v>
      </c>
      <c r="F149" s="19">
        <v>82</v>
      </c>
      <c r="G149" s="19">
        <v>78</v>
      </c>
      <c r="H149" s="19">
        <v>64</v>
      </c>
      <c r="I149" s="25">
        <v>0.5765765765765766</v>
      </c>
      <c r="Y149" s="14" t="str">
        <v>地图导航</v>
      </c>
      <c r="Z149" s="14" t="str">
        <v>收藏地址查看</v>
      </c>
      <c r="AA149" s="11" t="str">
        <v>余明明</v>
      </c>
    </row>
    <row r="150" spans="1:27">
      <c r="A150" s="11" t="str">
        <v>通讯</v>
      </c>
      <c r="B150" s="19">
        <v>26</v>
      </c>
      <c r="C150" s="20">
        <v>26</v>
      </c>
      <c r="D150" s="28">
        <v>24</v>
      </c>
      <c r="E150" s="21">
        <v>24</v>
      </c>
      <c r="F150" s="19">
        <v>23</v>
      </c>
      <c r="G150" s="19">
        <v>23</v>
      </c>
      <c r="H150" s="19">
        <v>21</v>
      </c>
      <c r="I150" s="25">
        <v>0.8076923076923077</v>
      </c>
      <c r="Y150" s="14" t="str">
        <v>地图导航</v>
      </c>
      <c r="Z150" s="24" t="str">
        <v>获取当前位置</v>
      </c>
      <c r="AA150" s="11" t="str">
        <v>余明明</v>
      </c>
    </row>
    <row r="151" spans="1:27">
      <c r="A151" s="11" t="str">
        <v>智能驾驶</v>
      </c>
      <c r="B151" s="19">
        <v>12</v>
      </c>
      <c r="C151" s="20">
        <v>12</v>
      </c>
      <c r="D151" s="28">
        <v>7</v>
      </c>
      <c r="E151" s="21">
        <v>5</v>
      </c>
      <c r="F151" s="19">
        <v>4</v>
      </c>
      <c r="G151" s="19">
        <v>1</v>
      </c>
      <c r="H151" s="19">
        <v>1</v>
      </c>
      <c r="I151" s="25">
        <v>0.08333333333333333</v>
      </c>
      <c r="Y151" s="14" t="str">
        <v>地图导航</v>
      </c>
      <c r="Z151" s="14" t="str">
        <v>地图控制</v>
      </c>
      <c r="AA151" s="11" t="str">
        <v>余明明</v>
      </c>
    </row>
    <row r="152" spans="1:27">
      <c r="A152" s="11" t="str">
        <v>多媒体</v>
      </c>
      <c r="B152" s="19">
        <v>81</v>
      </c>
      <c r="C152" s="20">
        <v>80</v>
      </c>
      <c r="D152" s="28">
        <v>80</v>
      </c>
      <c r="E152" s="21">
        <v>79</v>
      </c>
      <c r="F152" s="19">
        <v>78</v>
      </c>
      <c r="G152" s="19">
        <v>75</v>
      </c>
      <c r="H152" s="19">
        <v>50</v>
      </c>
      <c r="I152" s="25">
        <v>0.625</v>
      </c>
      <c r="Y152" s="14" t="str">
        <v>地图导航</v>
      </c>
      <c r="Z152" s="14" t="str">
        <v>导航控制</v>
      </c>
      <c r="AA152" s="11" t="str">
        <v>余明明</v>
      </c>
    </row>
    <row r="153" spans="1:27">
      <c r="A153" s="11" t="str">
        <v>地图导航</v>
      </c>
      <c r="B153" s="19">
        <v>69</v>
      </c>
      <c r="C153" s="20">
        <v>69</v>
      </c>
      <c r="D153" s="28">
        <v>69</v>
      </c>
      <c r="E153" s="21">
        <v>59</v>
      </c>
      <c r="F153" s="19">
        <v>59</v>
      </c>
      <c r="G153" s="19">
        <v>57</v>
      </c>
      <c r="H153" s="19">
        <v>37</v>
      </c>
      <c r="I153" s="25">
        <v>0.5362318840579711</v>
      </c>
      <c r="J153" s="11" t="str">
        <v>不含AInavi</v>
      </c>
      <c r="Y153" s="14" t="str">
        <v>地图导航</v>
      </c>
      <c r="Z153" s="14" t="str">
        <v>设置导航播报</v>
      </c>
      <c r="AA153" s="11" t="str">
        <v>余明明</v>
      </c>
    </row>
    <row r="154" spans="1:27">
      <c r="A154" s="11" t="str">
        <v>手车互联</v>
      </c>
      <c r="B154" s="19">
        <v>8</v>
      </c>
      <c r="C154" s="20">
        <v>8</v>
      </c>
      <c r="D154" s="28">
        <v>8</v>
      </c>
      <c r="E154" s="1">
        <v>0</v>
      </c>
      <c r="F154" s="1">
        <v>0</v>
      </c>
      <c r="G154" s="1">
        <v>0</v>
      </c>
      <c r="H154" s="1">
        <v>0</v>
      </c>
      <c r="I154" s="1">
        <v>0</v>
      </c>
      <c r="Y154" s="14" t="str">
        <v>地图导航</v>
      </c>
      <c r="Z154" s="14" t="str">
        <v>查询行程信息</v>
      </c>
      <c r="AA154" s="11" t="str">
        <v>余明明</v>
      </c>
    </row>
    <row r="155" spans="1:27">
      <c r="A155" s="11" t="str">
        <v>通用</v>
      </c>
      <c r="B155" s="19">
        <v>3</v>
      </c>
      <c r="C155" s="20">
        <v>3</v>
      </c>
      <c r="D155" s="28">
        <v>3</v>
      </c>
      <c r="E155" s="21">
        <v>3</v>
      </c>
      <c r="F155" s="19">
        <v>2</v>
      </c>
      <c r="G155" s="19">
        <v>2</v>
      </c>
      <c r="H155" s="1">
        <v>0</v>
      </c>
      <c r="I155" s="1">
        <v>0</v>
      </c>
      <c r="Y155" s="14" t="str">
        <v>地图导航</v>
      </c>
      <c r="Z155" s="14" t="str">
        <v>查询路况</v>
      </c>
      <c r="AA155" s="11" t="str">
        <v>余明明</v>
      </c>
    </row>
    <row r="156" spans="2:27">
      <c r="B156" s="19">
        <v>734</v>
      </c>
      <c r="C156" s="19">
        <v>711</v>
      </c>
      <c r="D156" s="19">
        <v>699</v>
      </c>
      <c r="E156" s="19">
        <v>644</v>
      </c>
      <c r="F156" s="19">
        <v>629</v>
      </c>
      <c r="G156" s="19">
        <v>593</v>
      </c>
      <c r="H156" s="19">
        <v>458</v>
      </c>
      <c r="I156" s="29">
        <v>0.6441631504922645</v>
      </c>
      <c r="Y156" s="14" t="str">
        <v>地图导航</v>
      </c>
      <c r="Z156" s="31" t="str">
        <v>设置路线偏好</v>
      </c>
      <c r="AA156" s="11" t="str">
        <v>余明明</v>
      </c>
    </row>
    <row r="157" spans="1:27">
      <c r="A157" s="11" t="str">
        <v>端状态信号</v>
      </c>
      <c r="B157" s="20">
        <v>391</v>
      </c>
      <c r="C157" s="28">
        <v>241</v>
      </c>
      <c r="D157" s="28">
        <v>232</v>
      </c>
      <c r="E157" s="28">
        <v>208</v>
      </c>
      <c r="F157" s="28">
        <v>208</v>
      </c>
      <c r="G157" s="28">
        <v>188</v>
      </c>
      <c r="H157" s="28">
        <v>153</v>
      </c>
      <c r="I157" s="28">
        <v>0.6348547717842323</v>
      </c>
      <c r="J157" s="30"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c r="Y157" s="11" t="str">
        <v>手车互联</v>
      </c>
      <c r="Z157" s="15" t="str">
        <v>支付</v>
      </c>
      <c r="AA157" s="11" t="str">
        <v>余明明</v>
      </c>
    </row>
    <row r="158" spans="25:27">
      <c r="Y158" s="11" t="str">
        <v>手车互联</v>
      </c>
      <c r="Z158" s="15" t="str">
        <v>小红书</v>
      </c>
      <c r="AA158" s="11" t="str">
        <v>余明明</v>
      </c>
    </row>
    <row r="159" spans="1:27">
      <c r="A159" s="2" t="str">
        <v>·0616</v>
      </c>
      <c r="Y159" s="11" t="str">
        <v>手车互联</v>
      </c>
      <c r="Z159" s="32" t="str">
        <v>点外卖</v>
      </c>
      <c r="AA159" s="11" t="str">
        <v>余明明</v>
      </c>
    </row>
    <row r="160" spans="1:27">
      <c r="A160" s="11" t="str">
        <v>模块\API（04.29变更前）</v>
      </c>
      <c r="B160" s="11" t="str">
        <v>总api数</v>
      </c>
      <c r="C160" s="18" t="str">
        <v>本项目使用api数</v>
      </c>
      <c r="D160" s="11" t="str">
        <v>上汽已提供api数</v>
      </c>
      <c r="E160" s="17" t="str">
        <v>研发确认可用api数</v>
      </c>
      <c r="F160" s="11" t="str">
        <v>开发完成api数</v>
      </c>
      <c r="G160" s="11" t="str">
        <v>测试覆盖api数</v>
      </c>
      <c r="H160" s="11" t="str">
        <v>测试通过case数</v>
      </c>
      <c r="I160" s="11" t="str">
        <v>case完成度</v>
      </c>
      <c r="J160" s="11" t="str">
        <v>备注</v>
      </c>
      <c r="Y160" s="11" t="str">
        <v>通用</v>
      </c>
      <c r="Z160" s="14" t="str">
        <v>应用控制</v>
      </c>
      <c r="AA160" s="11" t="str">
        <v>刘敬思</v>
      </c>
    </row>
    <row r="161" spans="1:27">
      <c r="A161" s="11" t="str">
        <v>车控</v>
      </c>
      <c r="B161" s="19">
        <v>410</v>
      </c>
      <c r="C161" s="20">
        <v>403</v>
      </c>
      <c r="D161" s="28">
        <v>403</v>
      </c>
      <c r="E161" s="21">
        <v>388</v>
      </c>
      <c r="F161" s="19">
        <v>375</v>
      </c>
      <c r="G161" s="19">
        <v>357</v>
      </c>
      <c r="H161" s="19">
        <v>282</v>
      </c>
      <c r="I161" s="25">
        <v>0.6997518610421837</v>
      </c>
      <c r="Y161" s="11" t="str">
        <v>通用</v>
      </c>
      <c r="Z161" s="14" t="str">
        <v>页面控制</v>
      </c>
      <c r="AA161" s="11" t="str">
        <v>刘敬思</v>
      </c>
    </row>
    <row r="162" spans="1:9">
      <c r="A162" s="11" t="str">
        <v>系统设置</v>
      </c>
      <c r="B162" s="19">
        <v>126</v>
      </c>
      <c r="C162" s="20">
        <v>111</v>
      </c>
      <c r="D162" s="28">
        <v>106</v>
      </c>
      <c r="E162" s="21">
        <v>86</v>
      </c>
      <c r="F162" s="19">
        <v>82</v>
      </c>
      <c r="G162" s="19">
        <v>79</v>
      </c>
      <c r="H162" s="19">
        <v>64</v>
      </c>
      <c r="I162" s="25">
        <v>0.5765765765765766</v>
      </c>
    </row>
    <row r="163" spans="1:9">
      <c r="A163" s="11" t="str">
        <v>通讯</v>
      </c>
      <c r="B163" s="19">
        <v>26</v>
      </c>
      <c r="C163" s="20">
        <v>26</v>
      </c>
      <c r="D163" s="28">
        <v>24</v>
      </c>
      <c r="E163" s="21">
        <v>23</v>
      </c>
      <c r="F163" s="19">
        <v>23</v>
      </c>
      <c r="G163" s="19">
        <v>23</v>
      </c>
      <c r="H163" s="19">
        <v>21</v>
      </c>
      <c r="I163" s="25">
        <v>0.8076923076923077</v>
      </c>
    </row>
    <row r="164" spans="1:9">
      <c r="A164" s="11" t="str">
        <v>智能驾驶</v>
      </c>
      <c r="B164" s="19">
        <v>12</v>
      </c>
      <c r="C164" s="20">
        <v>12</v>
      </c>
      <c r="D164" s="28">
        <v>7</v>
      </c>
      <c r="E164" s="21">
        <v>5</v>
      </c>
      <c r="F164" s="19">
        <v>4</v>
      </c>
      <c r="G164" s="19">
        <v>1</v>
      </c>
      <c r="H164" s="19">
        <v>1</v>
      </c>
      <c r="I164" s="25">
        <v>0.08333333333333333</v>
      </c>
    </row>
    <row r="165" spans="1:9">
      <c r="A165" s="11" t="str">
        <v>多媒体</v>
      </c>
      <c r="B165" s="19">
        <v>81</v>
      </c>
      <c r="C165" s="20">
        <v>80</v>
      </c>
      <c r="D165" s="28">
        <v>80</v>
      </c>
      <c r="E165" s="21">
        <v>79</v>
      </c>
      <c r="F165" s="19">
        <v>78</v>
      </c>
      <c r="G165" s="19">
        <v>75</v>
      </c>
      <c r="H165" s="19">
        <v>50</v>
      </c>
      <c r="I165" s="25">
        <v>0.625</v>
      </c>
    </row>
    <row r="166" spans="1:10">
      <c r="A166" s="11" t="str">
        <v>地图导航</v>
      </c>
      <c r="B166" s="19">
        <v>69</v>
      </c>
      <c r="C166" s="20">
        <v>69</v>
      </c>
      <c r="D166" s="28">
        <v>69</v>
      </c>
      <c r="E166" s="21">
        <v>59</v>
      </c>
      <c r="F166" s="19">
        <v>59</v>
      </c>
      <c r="G166" s="19">
        <v>57</v>
      </c>
      <c r="H166" s="19">
        <v>37</v>
      </c>
      <c r="I166" s="25">
        <v>0.5362318840579711</v>
      </c>
      <c r="J166" s="11" t="str">
        <v>不含AInavi</v>
      </c>
    </row>
    <row r="167" spans="1:9">
      <c r="A167" s="11" t="str">
        <v>手车互联</v>
      </c>
      <c r="B167" s="19">
        <v>8</v>
      </c>
      <c r="C167" s="20">
        <v>8</v>
      </c>
      <c r="D167" s="28">
        <v>8</v>
      </c>
      <c r="E167" s="1">
        <v>0</v>
      </c>
      <c r="F167" s="1">
        <v>0</v>
      </c>
      <c r="G167" s="1">
        <v>0</v>
      </c>
      <c r="H167" s="1">
        <v>0</v>
      </c>
      <c r="I167" s="1">
        <v>0</v>
      </c>
    </row>
    <row r="168" spans="1:9">
      <c r="A168" s="11" t="str">
        <v>通用</v>
      </c>
      <c r="B168" s="19">
        <v>3</v>
      </c>
      <c r="C168" s="20">
        <v>3</v>
      </c>
      <c r="D168" s="28">
        <v>3</v>
      </c>
      <c r="E168" s="21">
        <v>3</v>
      </c>
      <c r="F168" s="19">
        <v>2</v>
      </c>
      <c r="G168" s="19">
        <v>2</v>
      </c>
      <c r="H168" s="1">
        <v>0</v>
      </c>
      <c r="I168" s="1">
        <v>0</v>
      </c>
    </row>
    <row r="169" spans="2:9">
      <c r="B169" s="19">
        <v>735</v>
      </c>
      <c r="C169" s="19">
        <v>712</v>
      </c>
      <c r="D169" s="19">
        <v>700</v>
      </c>
      <c r="E169" s="19">
        <v>643</v>
      </c>
      <c r="F169" s="19">
        <v>623</v>
      </c>
      <c r="G169" s="19">
        <v>594</v>
      </c>
      <c r="H169" s="19">
        <v>455</v>
      </c>
      <c r="I169" s="29">
        <v>0.6390449438202247</v>
      </c>
    </row>
    <row r="170" spans="1:10">
      <c r="A170" s="11" t="str">
        <v>端状态信号</v>
      </c>
      <c r="B170" s="20">
        <v>391</v>
      </c>
      <c r="C170" s="28">
        <v>241</v>
      </c>
      <c r="D170" s="28">
        <v>232</v>
      </c>
      <c r="E170" s="28">
        <v>206</v>
      </c>
      <c r="F170" s="28">
        <v>206</v>
      </c>
      <c r="G170" s="28">
        <v>188</v>
      </c>
      <c r="H170" s="28">
        <v>153</v>
      </c>
      <c r="I170" s="28">
        <v>0.6348547717842323</v>
      </c>
      <c r="J170" s="30"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172" spans="1:1">
      <c r="A172" s="2" t="str">
        <v>·0615</v>
      </c>
    </row>
    <row r="173" spans="1:10">
      <c r="A173" s="11" t="str">
        <v>模块\API（04.29变更前）</v>
      </c>
      <c r="B173" s="11" t="str">
        <v>总api数</v>
      </c>
      <c r="C173" s="18" t="str">
        <v>本项目使用api数</v>
      </c>
      <c r="D173" s="11" t="str">
        <v>上汽已提供api数</v>
      </c>
      <c r="E173" s="17" t="str">
        <v>研发确认可用api数</v>
      </c>
      <c r="F173" s="11" t="str">
        <v>开发完成api数</v>
      </c>
      <c r="G173" s="11" t="str">
        <v>测试覆盖api数</v>
      </c>
      <c r="H173" s="11" t="str">
        <v>测试通过case数</v>
      </c>
      <c r="I173" s="11" t="str">
        <v>case完成度</v>
      </c>
      <c r="J173" s="11" t="str">
        <v>备注</v>
      </c>
    </row>
    <row r="174" spans="1:9">
      <c r="A174" s="11" t="str">
        <v>车控</v>
      </c>
      <c r="B174" s="19">
        <v>410</v>
      </c>
      <c r="C174" s="20">
        <v>403</v>
      </c>
      <c r="D174" s="28">
        <v>403</v>
      </c>
      <c r="E174" s="21">
        <v>388</v>
      </c>
      <c r="F174" s="19">
        <v>375</v>
      </c>
      <c r="G174" s="19">
        <v>357</v>
      </c>
      <c r="H174" s="19">
        <v>282</v>
      </c>
      <c r="I174" s="25">
        <v>0.6997518610421837</v>
      </c>
    </row>
    <row r="175" spans="1:9">
      <c r="A175" s="11" t="str">
        <v>系统设置</v>
      </c>
      <c r="B175" s="19">
        <v>126</v>
      </c>
      <c r="C175" s="20">
        <v>111</v>
      </c>
      <c r="D175" s="28">
        <v>106</v>
      </c>
      <c r="E175" s="21">
        <v>86</v>
      </c>
      <c r="F175" s="19">
        <v>82</v>
      </c>
      <c r="G175" s="19">
        <v>79</v>
      </c>
      <c r="H175" s="19">
        <v>64</v>
      </c>
      <c r="I175" s="25">
        <v>0.5765765765765766</v>
      </c>
    </row>
    <row r="176" spans="1:9">
      <c r="A176" s="11" t="str">
        <v>通讯</v>
      </c>
      <c r="B176" s="19">
        <v>26</v>
      </c>
      <c r="C176" s="20">
        <v>26</v>
      </c>
      <c r="D176" s="28">
        <v>24</v>
      </c>
      <c r="E176" s="21">
        <v>23</v>
      </c>
      <c r="F176" s="19">
        <v>23</v>
      </c>
      <c r="G176" s="19">
        <v>23</v>
      </c>
      <c r="H176" s="19">
        <v>21</v>
      </c>
      <c r="I176" s="25">
        <v>0.8076923076923077</v>
      </c>
    </row>
    <row r="177" spans="1:9">
      <c r="A177" s="11" t="str">
        <v>智能驾驶</v>
      </c>
      <c r="B177" s="19">
        <v>12</v>
      </c>
      <c r="C177" s="20">
        <v>12</v>
      </c>
      <c r="D177" s="28">
        <v>7</v>
      </c>
      <c r="E177" s="21">
        <v>5</v>
      </c>
      <c r="F177" s="19">
        <v>4</v>
      </c>
      <c r="G177" s="19">
        <v>1</v>
      </c>
      <c r="H177" s="19">
        <v>1</v>
      </c>
      <c r="I177" s="25">
        <v>0.08333333333333333</v>
      </c>
    </row>
    <row r="178" spans="1:9">
      <c r="A178" s="11" t="str">
        <v>多媒体</v>
      </c>
      <c r="B178" s="19">
        <v>81</v>
      </c>
      <c r="C178" s="20">
        <v>80</v>
      </c>
      <c r="D178" s="28">
        <v>80</v>
      </c>
      <c r="E178" s="21">
        <v>79</v>
      </c>
      <c r="F178" s="19">
        <v>78</v>
      </c>
      <c r="G178" s="19">
        <v>74</v>
      </c>
      <c r="H178" s="19">
        <v>50</v>
      </c>
      <c r="I178" s="25">
        <v>0.625</v>
      </c>
    </row>
    <row r="179" spans="1:10">
      <c r="A179" s="11" t="str">
        <v>地图导航</v>
      </c>
      <c r="B179" s="19">
        <v>69</v>
      </c>
      <c r="C179" s="20">
        <v>69</v>
      </c>
      <c r="D179" s="28">
        <v>69</v>
      </c>
      <c r="E179" s="21">
        <v>59</v>
      </c>
      <c r="F179" s="19">
        <v>59</v>
      </c>
      <c r="G179" s="19">
        <v>57</v>
      </c>
      <c r="H179" s="19">
        <v>37</v>
      </c>
      <c r="I179" s="25">
        <v>0.5362318840579711</v>
      </c>
      <c r="J179" s="11" t="str">
        <v>不含AInavi</v>
      </c>
    </row>
    <row r="180" spans="1:9">
      <c r="A180" s="11" t="str">
        <v>手车互联</v>
      </c>
      <c r="B180" s="19">
        <v>8</v>
      </c>
      <c r="C180" s="20">
        <v>8</v>
      </c>
      <c r="D180" s="28">
        <v>8</v>
      </c>
      <c r="E180" s="1">
        <v>0</v>
      </c>
      <c r="F180" s="1">
        <v>0</v>
      </c>
      <c r="G180" s="1">
        <v>0</v>
      </c>
      <c r="H180" s="1">
        <v>0</v>
      </c>
      <c r="I180" s="1">
        <v>0</v>
      </c>
    </row>
    <row r="181" spans="1:9">
      <c r="A181" s="11" t="str">
        <v>通用</v>
      </c>
      <c r="B181" s="19">
        <v>3</v>
      </c>
      <c r="C181" s="20">
        <v>3</v>
      </c>
      <c r="D181" s="28">
        <v>3</v>
      </c>
      <c r="E181" s="21">
        <v>3</v>
      </c>
      <c r="F181" s="19">
        <v>2</v>
      </c>
      <c r="G181" s="19">
        <v>2</v>
      </c>
      <c r="H181" s="1">
        <v>0</v>
      </c>
      <c r="I181" s="1">
        <v>0</v>
      </c>
    </row>
    <row r="182" spans="2:9">
      <c r="B182" s="19">
        <v>735</v>
      </c>
      <c r="C182" s="19">
        <v>712</v>
      </c>
      <c r="D182" s="19">
        <v>700</v>
      </c>
      <c r="E182" s="19">
        <v>643</v>
      </c>
      <c r="F182" s="19">
        <v>623</v>
      </c>
      <c r="G182" s="19">
        <v>593</v>
      </c>
      <c r="H182" s="19">
        <v>455</v>
      </c>
      <c r="I182" s="29">
        <v>0.6390449438202247</v>
      </c>
    </row>
    <row r="183" spans="1:10">
      <c r="A183" s="11" t="str">
        <v>端状态信号</v>
      </c>
      <c r="B183" s="20">
        <v>391</v>
      </c>
      <c r="C183" s="28">
        <v>241</v>
      </c>
      <c r="D183" s="28">
        <v>232</v>
      </c>
      <c r="E183" s="28">
        <v>206</v>
      </c>
      <c r="F183" s="28">
        <v>206</v>
      </c>
      <c r="G183" s="28">
        <v>188</v>
      </c>
      <c r="H183" s="28">
        <v>153</v>
      </c>
      <c r="I183" s="28">
        <v>0.6348547717842323</v>
      </c>
      <c r="J183" s="30"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185" spans="1:1">
      <c r="A185" s="2" t="str">
        <v>·0612</v>
      </c>
    </row>
    <row r="186" spans="1:10">
      <c r="A186" s="11" t="str">
        <v>模块\API（04.29变更前）</v>
      </c>
      <c r="B186" s="11" t="str">
        <v>总api数</v>
      </c>
      <c r="C186" s="18" t="str">
        <v>本项目使用api数</v>
      </c>
      <c r="D186" s="11" t="str">
        <v>上汽已提供api数</v>
      </c>
      <c r="E186" s="17" t="str">
        <v>研发确认可用api数</v>
      </c>
      <c r="F186" s="11" t="str">
        <v>开发完成api数</v>
      </c>
      <c r="G186" s="11" t="str">
        <v>测试覆盖api数</v>
      </c>
      <c r="H186" s="11" t="str">
        <v>测试通过case数</v>
      </c>
      <c r="I186" s="11" t="str">
        <v>case完成度</v>
      </c>
      <c r="J186" s="11" t="str">
        <v>备注</v>
      </c>
    </row>
    <row r="187" spans="1:9">
      <c r="A187" s="11" t="str">
        <v>车控</v>
      </c>
      <c r="B187" s="19">
        <v>410</v>
      </c>
      <c r="C187" s="20">
        <v>403</v>
      </c>
      <c r="D187" s="28">
        <v>403</v>
      </c>
      <c r="E187" s="21">
        <v>388</v>
      </c>
      <c r="F187" s="19">
        <v>375</v>
      </c>
      <c r="G187" s="19">
        <v>357</v>
      </c>
      <c r="H187" s="19">
        <v>277</v>
      </c>
      <c r="I187" s="25">
        <v>0.6873449131513648</v>
      </c>
    </row>
    <row r="188" spans="1:9">
      <c r="A188" s="11" t="str">
        <v>系统设置</v>
      </c>
      <c r="B188" s="19">
        <v>126</v>
      </c>
      <c r="C188" s="20">
        <v>111</v>
      </c>
      <c r="D188" s="28">
        <v>106</v>
      </c>
      <c r="E188" s="21">
        <v>86</v>
      </c>
      <c r="F188" s="19">
        <v>82</v>
      </c>
      <c r="G188" s="19">
        <v>79</v>
      </c>
      <c r="H188" s="19">
        <v>64</v>
      </c>
      <c r="I188" s="25">
        <v>0.5765765765765766</v>
      </c>
    </row>
    <row r="189" spans="1:9">
      <c r="A189" s="11" t="str">
        <v>通讯</v>
      </c>
      <c r="B189" s="19">
        <v>26</v>
      </c>
      <c r="C189" s="20">
        <v>26</v>
      </c>
      <c r="D189" s="28">
        <v>24</v>
      </c>
      <c r="E189" s="21">
        <v>23</v>
      </c>
      <c r="F189" s="19">
        <v>23</v>
      </c>
      <c r="G189" s="19">
        <v>23</v>
      </c>
      <c r="H189" s="19">
        <v>22</v>
      </c>
      <c r="I189" s="25">
        <v>0.8461538461538461</v>
      </c>
    </row>
    <row r="190" spans="1:9">
      <c r="A190" s="11" t="str">
        <v>智能驾驶</v>
      </c>
      <c r="B190" s="19">
        <v>12</v>
      </c>
      <c r="C190" s="20">
        <v>12</v>
      </c>
      <c r="D190" s="28">
        <v>7</v>
      </c>
      <c r="E190" s="21">
        <v>5</v>
      </c>
      <c r="F190" s="19">
        <v>4</v>
      </c>
      <c r="G190" s="19">
        <v>1</v>
      </c>
      <c r="H190" s="19">
        <v>1</v>
      </c>
      <c r="I190" s="25">
        <v>0.08333333333333333</v>
      </c>
    </row>
    <row r="191" spans="1:9">
      <c r="A191" s="11" t="str">
        <v>多媒体</v>
      </c>
      <c r="B191" s="19">
        <v>81</v>
      </c>
      <c r="C191" s="20">
        <v>80</v>
      </c>
      <c r="D191" s="28">
        <v>80</v>
      </c>
      <c r="E191" s="21">
        <v>79</v>
      </c>
      <c r="F191" s="19">
        <v>78</v>
      </c>
      <c r="G191" s="19">
        <v>74</v>
      </c>
      <c r="H191" s="19">
        <v>59</v>
      </c>
      <c r="I191" s="25">
        <v>0.7375</v>
      </c>
    </row>
    <row r="192" spans="1:10">
      <c r="A192" s="11" t="str">
        <v>地图导航</v>
      </c>
      <c r="B192" s="19">
        <v>69</v>
      </c>
      <c r="C192" s="20">
        <v>69</v>
      </c>
      <c r="D192" s="28">
        <v>69</v>
      </c>
      <c r="E192" s="21">
        <v>59</v>
      </c>
      <c r="F192" s="19">
        <v>59</v>
      </c>
      <c r="G192" s="19">
        <v>57</v>
      </c>
      <c r="H192" s="19">
        <v>37</v>
      </c>
      <c r="I192" s="25">
        <v>0.5362318840579711</v>
      </c>
      <c r="J192" s="11" t="str">
        <v>不含AInavi</v>
      </c>
    </row>
    <row r="193" spans="1:9">
      <c r="A193" s="11" t="str">
        <v>手车互联</v>
      </c>
      <c r="B193" s="19">
        <v>8</v>
      </c>
      <c r="C193" s="20">
        <v>8</v>
      </c>
      <c r="D193" s="28">
        <v>8</v>
      </c>
      <c r="E193" s="1">
        <v>0</v>
      </c>
      <c r="F193" s="1">
        <v>0</v>
      </c>
      <c r="G193" s="1">
        <v>0</v>
      </c>
      <c r="H193" s="1">
        <v>0</v>
      </c>
      <c r="I193" s="1">
        <v>0</v>
      </c>
    </row>
    <row r="194" spans="1:9">
      <c r="A194" s="11" t="str">
        <v>通用</v>
      </c>
      <c r="B194" s="19">
        <v>3</v>
      </c>
      <c r="C194" s="20">
        <v>3</v>
      </c>
      <c r="D194" s="28">
        <v>3</v>
      </c>
      <c r="E194" s="21">
        <v>3</v>
      </c>
      <c r="F194" s="19">
        <v>2</v>
      </c>
      <c r="G194" s="19">
        <v>2</v>
      </c>
      <c r="H194" s="1">
        <v>0</v>
      </c>
      <c r="I194" s="1">
        <v>0</v>
      </c>
    </row>
    <row r="195" spans="2:10">
      <c r="B195" s="19">
        <v>735</v>
      </c>
      <c r="C195" s="19">
        <v>712</v>
      </c>
      <c r="D195" s="19">
        <v>700</v>
      </c>
      <c r="E195" s="19">
        <v>643</v>
      </c>
      <c r="F195" s="19">
        <v>623</v>
      </c>
      <c r="G195" s="19">
        <v>593</v>
      </c>
      <c r="H195" s="19">
        <v>460</v>
      </c>
      <c r="I195" s="29">
        <v>0.6460674157303371</v>
      </c>
      <c r="J195" s="33">
        <f>H195/C195</f>
      </c>
    </row>
    <row r="196" spans="1:10">
      <c r="A196" s="11" t="str">
        <v>端状态信号</v>
      </c>
      <c r="B196" s="20">
        <v>391</v>
      </c>
      <c r="C196" s="28">
        <v>241</v>
      </c>
      <c r="D196" s="28">
        <v>232</v>
      </c>
      <c r="E196" s="28">
        <v>204</v>
      </c>
      <c r="F196" s="28">
        <v>188</v>
      </c>
      <c r="G196" s="28">
        <v>188</v>
      </c>
      <c r="H196" s="28">
        <v>153</v>
      </c>
      <c r="I196" s="28">
        <v>0.6348547717842323</v>
      </c>
      <c r="J196" s="30"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198" spans="1:1">
      <c r="A198" s="2" t="str">
        <v>·0611</v>
      </c>
    </row>
    <row r="199" spans="1:10">
      <c r="A199" s="11" t="str">
        <v>模块\API（04.29变更前）</v>
      </c>
      <c r="B199" s="11" t="str">
        <v>总api数</v>
      </c>
      <c r="C199" s="18" t="str">
        <v>本项目使用api数</v>
      </c>
      <c r="D199" s="11" t="str">
        <v>上汽已提供api数</v>
      </c>
      <c r="E199" s="17" t="str">
        <v>研发确认可用api数</v>
      </c>
      <c r="F199" s="11" t="str">
        <v>开发完成api数</v>
      </c>
      <c r="G199" s="11" t="str">
        <v>测试覆盖api数</v>
      </c>
      <c r="H199" s="11" t="str">
        <v>测试通过case数</v>
      </c>
      <c r="I199" s="11" t="str">
        <v>case完成度</v>
      </c>
      <c r="J199" s="11" t="str">
        <v>备注</v>
      </c>
    </row>
    <row r="200" spans="1:9">
      <c r="A200" s="11" t="str">
        <v>车控</v>
      </c>
      <c r="B200" s="19">
        <v>410</v>
      </c>
      <c r="C200" s="20">
        <v>403</v>
      </c>
      <c r="D200" s="28">
        <v>403</v>
      </c>
      <c r="E200" s="21">
        <v>388</v>
      </c>
      <c r="F200" s="19">
        <v>375</v>
      </c>
      <c r="G200" s="19">
        <v>357</v>
      </c>
      <c r="H200" s="19">
        <v>277</v>
      </c>
      <c r="I200" s="25">
        <v>0.6873449131513648</v>
      </c>
    </row>
    <row r="201" spans="1:9">
      <c r="A201" s="11" t="str">
        <v>系统设置</v>
      </c>
      <c r="B201" s="19">
        <v>126</v>
      </c>
      <c r="C201" s="20">
        <v>111</v>
      </c>
      <c r="D201" s="28">
        <v>106</v>
      </c>
      <c r="E201" s="21">
        <v>86</v>
      </c>
      <c r="F201" s="19">
        <v>82</v>
      </c>
      <c r="G201" s="19">
        <v>79</v>
      </c>
      <c r="H201" s="19">
        <v>64</v>
      </c>
      <c r="I201" s="25">
        <v>0.5765765765765766</v>
      </c>
    </row>
    <row r="202" spans="1:9">
      <c r="A202" s="11" t="str">
        <v>通讯</v>
      </c>
      <c r="B202" s="19">
        <v>26</v>
      </c>
      <c r="C202" s="20">
        <v>26</v>
      </c>
      <c r="D202" s="28">
        <v>24</v>
      </c>
      <c r="E202" s="21">
        <v>23</v>
      </c>
      <c r="F202" s="19">
        <v>23</v>
      </c>
      <c r="G202" s="19">
        <v>23</v>
      </c>
      <c r="H202" s="19">
        <v>22</v>
      </c>
      <c r="I202" s="25">
        <v>0.8461538461538461</v>
      </c>
    </row>
    <row r="203" spans="1:9">
      <c r="A203" s="11" t="str">
        <v>智能驾驶</v>
      </c>
      <c r="B203" s="19">
        <v>12</v>
      </c>
      <c r="C203" s="20">
        <v>12</v>
      </c>
      <c r="D203" s="28">
        <v>7</v>
      </c>
      <c r="E203" s="21">
        <v>5</v>
      </c>
      <c r="F203" s="19">
        <v>4</v>
      </c>
      <c r="G203" s="19">
        <v>1</v>
      </c>
      <c r="H203" s="19">
        <v>1</v>
      </c>
      <c r="I203" s="25">
        <v>0.08333333333333333</v>
      </c>
    </row>
    <row r="204" spans="1:9">
      <c r="A204" s="11" t="str">
        <v>多媒体</v>
      </c>
      <c r="B204" s="19">
        <v>81</v>
      </c>
      <c r="C204" s="20">
        <v>80</v>
      </c>
      <c r="D204" s="28">
        <v>80</v>
      </c>
      <c r="E204" s="21">
        <v>79</v>
      </c>
      <c r="F204" s="19">
        <v>78</v>
      </c>
      <c r="G204" s="19">
        <v>74</v>
      </c>
      <c r="H204" s="19">
        <v>59</v>
      </c>
      <c r="I204" s="25">
        <v>0.7375</v>
      </c>
    </row>
    <row r="205" spans="1:10">
      <c r="A205" s="11" t="str">
        <v>地图导航</v>
      </c>
      <c r="B205" s="19">
        <v>69</v>
      </c>
      <c r="C205" s="20">
        <v>69</v>
      </c>
      <c r="D205" s="28">
        <v>69</v>
      </c>
      <c r="E205" s="21">
        <v>59</v>
      </c>
      <c r="F205" s="19">
        <v>59</v>
      </c>
      <c r="G205" s="19">
        <v>57</v>
      </c>
      <c r="H205" s="19">
        <v>37</v>
      </c>
      <c r="I205" s="25">
        <v>0.5362318840579711</v>
      </c>
      <c r="J205" s="11" t="str">
        <v>不含AInavi</v>
      </c>
    </row>
    <row r="206" spans="1:9">
      <c r="A206" s="11" t="str">
        <v>手车互联</v>
      </c>
      <c r="B206" s="19">
        <v>8</v>
      </c>
      <c r="C206" s="20">
        <v>8</v>
      </c>
      <c r="D206" s="28">
        <v>8</v>
      </c>
      <c r="E206" s="1">
        <v>0</v>
      </c>
      <c r="F206" s="1">
        <v>0</v>
      </c>
      <c r="G206" s="1">
        <v>0</v>
      </c>
      <c r="H206" s="1">
        <v>0</v>
      </c>
      <c r="I206" s="1">
        <v>0</v>
      </c>
    </row>
    <row r="207" spans="1:9">
      <c r="A207" s="11" t="str">
        <v>通用</v>
      </c>
      <c r="B207" s="19">
        <v>3</v>
      </c>
      <c r="C207" s="20">
        <v>3</v>
      </c>
      <c r="D207" s="28">
        <v>3</v>
      </c>
      <c r="E207" s="21">
        <v>3</v>
      </c>
      <c r="F207" s="19">
        <v>2</v>
      </c>
      <c r="G207" s="19">
        <v>2</v>
      </c>
      <c r="H207" s="1">
        <v>0</v>
      </c>
      <c r="I207" s="1">
        <v>0</v>
      </c>
    </row>
    <row r="208" spans="2:10">
      <c r="B208" s="19">
        <v>735</v>
      </c>
      <c r="C208" s="19">
        <v>712</v>
      </c>
      <c r="D208" s="19">
        <v>700</v>
      </c>
      <c r="E208" s="19">
        <v>643</v>
      </c>
      <c r="F208" s="19">
        <v>623</v>
      </c>
      <c r="G208" s="19">
        <v>593</v>
      </c>
      <c r="H208" s="19">
        <v>460</v>
      </c>
      <c r="I208" s="29">
        <v>0.6460674157303371</v>
      </c>
      <c r="J208" s="33">
        <f>H208/C208</f>
      </c>
    </row>
    <row r="209" spans="1:10">
      <c r="A209" s="11" t="str">
        <v>端状态信号</v>
      </c>
      <c r="B209" s="20">
        <v>391</v>
      </c>
      <c r="C209" s="28">
        <v>241</v>
      </c>
      <c r="D209" s="28">
        <v>232</v>
      </c>
      <c r="E209" s="28">
        <v>203</v>
      </c>
      <c r="F209" s="28">
        <v>187</v>
      </c>
      <c r="G209" s="28">
        <v>187</v>
      </c>
      <c r="H209" s="28">
        <v>150</v>
      </c>
      <c r="I209" s="28">
        <v>0.6224066390041494</v>
      </c>
      <c r="J209" s="30" t="str">
        <v>字节侧依赖：
1、阅读灯+系统和设置相关的信号共9个，依赖P基线的实车。
2、道路导航相关的，拥堵、沿途服务区，相关的API待上汽提供
3、媒体播放2个，演员+导演名字，验证不通过；
4、智驾相关的，当前不具备验证条件；
无依赖进展：
1、道路导航相关的正在开发；
2、较多的异常信号，实车没有对应的信号block测试（47）；除去block通过率在：73%左右。</v>
      </c>
    </row>
    <row r="210" spans="1:1">
      <c r="A210" s="2" t="str">
        <v>·0610</v>
      </c>
    </row>
    <row r="211" spans="1:10">
      <c r="A211" s="11" t="str">
        <v>模块\API（04.29变更前）</v>
      </c>
      <c r="B211" s="11" t="str">
        <v>总api数</v>
      </c>
      <c r="C211" s="18" t="str">
        <v>本项目使用api数</v>
      </c>
      <c r="D211" s="11" t="str">
        <v>上汽已提供api数</v>
      </c>
      <c r="E211" s="17" t="str">
        <v>研发确认可用api数</v>
      </c>
      <c r="F211" s="11" t="str">
        <v>开发完成api数</v>
      </c>
      <c r="G211" s="11" t="str">
        <v>测试覆盖api数</v>
      </c>
      <c r="H211" s="11" t="str">
        <v>测试通过case数</v>
      </c>
      <c r="I211" s="11" t="str">
        <v>case完成度</v>
      </c>
      <c r="J211" s="2" t="str">
        <v>备注</v>
      </c>
    </row>
    <row r="212" spans="1:9">
      <c r="A212" s="11" t="str">
        <v>车控</v>
      </c>
      <c r="B212" s="19">
        <v>409</v>
      </c>
      <c r="C212" s="20">
        <v>402</v>
      </c>
      <c r="D212" s="28">
        <v>402</v>
      </c>
      <c r="E212" s="21">
        <v>387</v>
      </c>
      <c r="F212" s="19">
        <v>379</v>
      </c>
      <c r="G212" s="19">
        <v>354</v>
      </c>
      <c r="H212" s="19">
        <v>280</v>
      </c>
      <c r="I212" s="25">
        <v>0.6965174129353234</v>
      </c>
    </row>
    <row r="213" spans="1:9">
      <c r="A213" s="11" t="str">
        <v>系统设置</v>
      </c>
      <c r="B213" s="19">
        <v>126</v>
      </c>
      <c r="C213" s="20">
        <v>111</v>
      </c>
      <c r="D213" s="28">
        <v>106</v>
      </c>
      <c r="E213" s="21">
        <v>87</v>
      </c>
      <c r="F213" s="19">
        <v>82</v>
      </c>
      <c r="G213" s="19">
        <v>79</v>
      </c>
      <c r="H213" s="19">
        <v>64</v>
      </c>
      <c r="I213" s="25">
        <v>0.5765765765765766</v>
      </c>
    </row>
    <row r="214" spans="1:9">
      <c r="A214" s="11" t="str">
        <v>通讯</v>
      </c>
      <c r="B214" s="19">
        <v>26</v>
      </c>
      <c r="C214" s="20">
        <v>26</v>
      </c>
      <c r="D214" s="28">
        <v>24</v>
      </c>
      <c r="E214" s="21">
        <v>23</v>
      </c>
      <c r="F214" s="19">
        <v>23</v>
      </c>
      <c r="G214" s="19">
        <v>23</v>
      </c>
      <c r="H214" s="19">
        <v>22</v>
      </c>
      <c r="I214" s="25">
        <v>0.8461538461538461</v>
      </c>
    </row>
    <row r="215" spans="1:9">
      <c r="A215" s="11" t="str">
        <v>智能驾驶</v>
      </c>
      <c r="B215" s="19">
        <v>12</v>
      </c>
      <c r="C215" s="20">
        <v>12</v>
      </c>
      <c r="D215" s="28">
        <v>7</v>
      </c>
      <c r="E215" s="21">
        <v>5</v>
      </c>
      <c r="F215" s="19">
        <v>4</v>
      </c>
      <c r="G215" s="19">
        <v>1</v>
      </c>
      <c r="H215" s="19">
        <v>1</v>
      </c>
      <c r="I215" s="25">
        <v>0.08333333333333333</v>
      </c>
    </row>
    <row r="216" spans="1:9">
      <c r="A216" s="11" t="str">
        <v>多媒体</v>
      </c>
      <c r="B216" s="19">
        <v>81</v>
      </c>
      <c r="C216" s="20">
        <v>80</v>
      </c>
      <c r="D216" s="28">
        <v>80</v>
      </c>
      <c r="E216" s="21">
        <v>79</v>
      </c>
      <c r="F216" s="19">
        <v>78</v>
      </c>
      <c r="G216" s="19">
        <v>77</v>
      </c>
      <c r="H216" s="19">
        <v>59</v>
      </c>
      <c r="I216" s="25">
        <v>0.7375</v>
      </c>
    </row>
    <row r="217" spans="1:10">
      <c r="A217" s="11" t="str">
        <v>地图导航</v>
      </c>
      <c r="B217" s="19">
        <v>69</v>
      </c>
      <c r="C217" s="20">
        <v>69</v>
      </c>
      <c r="D217" s="28">
        <v>69</v>
      </c>
      <c r="E217" s="21">
        <v>59</v>
      </c>
      <c r="F217" s="19">
        <v>59</v>
      </c>
      <c r="G217" s="19">
        <v>57</v>
      </c>
      <c r="H217" s="19">
        <v>37</v>
      </c>
      <c r="I217" s="25">
        <v>0.5362318840579711</v>
      </c>
      <c r="J217" s="2" t="str">
        <v>不含AInavi</v>
      </c>
    </row>
    <row r="218" spans="1:9">
      <c r="A218" s="11" t="str">
        <v>手车互联</v>
      </c>
      <c r="B218" s="19">
        <v>8</v>
      </c>
      <c r="C218" s="20">
        <v>8</v>
      </c>
      <c r="D218" s="28">
        <v>8</v>
      </c>
      <c r="E218" s="1">
        <v>0</v>
      </c>
      <c r="F218" s="1">
        <v>0</v>
      </c>
      <c r="G218" s="1">
        <v>0</v>
      </c>
      <c r="H218" s="1">
        <v>0</v>
      </c>
      <c r="I218" s="1">
        <v>0</v>
      </c>
    </row>
    <row r="219" spans="1:9">
      <c r="A219" s="11" t="str">
        <v>通用</v>
      </c>
      <c r="B219" s="19">
        <v>3</v>
      </c>
      <c r="C219" s="20">
        <v>3</v>
      </c>
      <c r="D219" s="28">
        <v>3</v>
      </c>
      <c r="E219" s="21">
        <v>3</v>
      </c>
      <c r="F219" s="19">
        <v>2</v>
      </c>
      <c r="G219" s="19">
        <v>2</v>
      </c>
      <c r="H219" s="1">
        <v>0</v>
      </c>
      <c r="I219" s="1">
        <v>0</v>
      </c>
    </row>
    <row r="220" spans="2:10">
      <c r="B220" s="19">
        <v>734</v>
      </c>
      <c r="C220" s="19">
        <v>711</v>
      </c>
      <c r="D220" s="19">
        <v>699</v>
      </c>
      <c r="E220" s="19">
        <v>643</v>
      </c>
      <c r="F220" s="19">
        <v>627</v>
      </c>
      <c r="G220" s="19">
        <v>593</v>
      </c>
      <c r="H220" s="19">
        <v>463</v>
      </c>
      <c r="I220" s="25">
        <v>0.6511954992967651</v>
      </c>
      <c r="J220" s="33">
        <f>H220/C220</f>
      </c>
    </row>
    <row r="221" spans="1:9">
      <c r="A221" s="11" t="str">
        <v>端状态信号</v>
      </c>
      <c r="B221" s="19">
        <v>389</v>
      </c>
      <c r="C221" s="20">
        <v>238</v>
      </c>
      <c r="D221" s="28">
        <v>232</v>
      </c>
      <c r="E221" s="21">
        <v>203</v>
      </c>
      <c r="F221" s="19">
        <v>187</v>
      </c>
      <c r="G221" s="19">
        <v>187</v>
      </c>
      <c r="H221" s="19">
        <v>142</v>
      </c>
      <c r="I221" s="25">
        <v>0.5966386554621849</v>
      </c>
    </row>
    <row r="222" spans="1:1">
      <c r="A222" s="2" t="str">
        <v>·0609</v>
      </c>
    </row>
    <row r="223" spans="1:9">
      <c r="A223" s="11" t="str">
        <v>模块\API（04.29变更前）</v>
      </c>
      <c r="B223" s="11" t="str">
        <v>总api数</v>
      </c>
      <c r="C223" s="18" t="str">
        <v>本项目使用api数</v>
      </c>
      <c r="D223" s="11" t="str">
        <v>上汽已提供api数</v>
      </c>
      <c r="E223" s="17" t="str">
        <v>研发确认可用api数</v>
      </c>
      <c r="F223" s="11" t="str">
        <v>开发完成api数</v>
      </c>
      <c r="G223" s="11" t="str">
        <v>测试覆盖api数</v>
      </c>
      <c r="H223" s="11" t="str">
        <v>测试通过case数</v>
      </c>
      <c r="I223" s="11" t="str">
        <v>case完成度</v>
      </c>
    </row>
    <row r="224" spans="1:9">
      <c r="A224" s="11" t="str">
        <v>车控</v>
      </c>
      <c r="B224" s="19">
        <v>409</v>
      </c>
      <c r="C224" s="20">
        <v>402</v>
      </c>
      <c r="D224" s="28">
        <v>402</v>
      </c>
      <c r="E224" s="21">
        <v>387</v>
      </c>
      <c r="F224" s="19">
        <v>379</v>
      </c>
      <c r="G224" s="19">
        <v>354</v>
      </c>
      <c r="H224" s="19">
        <v>277</v>
      </c>
      <c r="I224" s="25">
        <v>0.6890547263681592</v>
      </c>
    </row>
    <row r="225" spans="1:9">
      <c r="A225" s="11" t="str">
        <v>系统设置</v>
      </c>
      <c r="B225" s="19">
        <v>126</v>
      </c>
      <c r="C225" s="20">
        <v>111</v>
      </c>
      <c r="D225" s="28">
        <v>106</v>
      </c>
      <c r="E225" s="21">
        <v>87</v>
      </c>
      <c r="F225" s="19">
        <v>82</v>
      </c>
      <c r="G225" s="19">
        <v>79</v>
      </c>
      <c r="H225" s="19">
        <v>63</v>
      </c>
      <c r="I225" s="25">
        <v>0.5675675675675675</v>
      </c>
    </row>
    <row r="226" spans="1:9">
      <c r="A226" s="11" t="str">
        <v>通讯</v>
      </c>
      <c r="B226" s="19">
        <v>26</v>
      </c>
      <c r="C226" s="20">
        <v>26</v>
      </c>
      <c r="D226" s="28">
        <v>24</v>
      </c>
      <c r="E226" s="21">
        <v>23</v>
      </c>
      <c r="F226" s="19">
        <v>23</v>
      </c>
      <c r="G226" s="19">
        <v>23</v>
      </c>
      <c r="H226" s="19">
        <v>21</v>
      </c>
      <c r="I226" s="25">
        <v>0.8076923076923077</v>
      </c>
    </row>
    <row r="227" spans="1:9">
      <c r="A227" s="11" t="str">
        <v>智能驾驶</v>
      </c>
      <c r="B227" s="19">
        <v>12</v>
      </c>
      <c r="C227" s="20">
        <v>12</v>
      </c>
      <c r="D227" s="28">
        <v>7</v>
      </c>
      <c r="E227" s="21">
        <v>5</v>
      </c>
      <c r="F227" s="19">
        <v>4</v>
      </c>
      <c r="G227" s="19">
        <v>1</v>
      </c>
      <c r="H227" s="19">
        <v>1</v>
      </c>
      <c r="I227" s="25">
        <v>0.08333333333333333</v>
      </c>
    </row>
    <row r="228" spans="1:9">
      <c r="A228" s="11" t="str">
        <v>多媒体</v>
      </c>
      <c r="B228" s="19">
        <v>81</v>
      </c>
      <c r="C228" s="20">
        <v>80</v>
      </c>
      <c r="D228" s="28">
        <v>80</v>
      </c>
      <c r="E228" s="21">
        <v>79</v>
      </c>
      <c r="F228" s="19">
        <v>77</v>
      </c>
      <c r="G228" s="19">
        <v>77</v>
      </c>
      <c r="H228" s="19">
        <v>59</v>
      </c>
      <c r="I228" s="25">
        <v>0.7375</v>
      </c>
    </row>
    <row r="229" spans="1:9">
      <c r="A229" s="11" t="str">
        <v>地图导航</v>
      </c>
      <c r="B229" s="19">
        <v>69</v>
      </c>
      <c r="C229" s="20">
        <v>69</v>
      </c>
      <c r="D229" s="28">
        <v>69</v>
      </c>
      <c r="E229" s="21">
        <v>59</v>
      </c>
      <c r="F229" s="19">
        <v>59</v>
      </c>
      <c r="G229" s="19">
        <v>57</v>
      </c>
      <c r="H229" s="19">
        <v>37</v>
      </c>
      <c r="I229" s="25">
        <v>0.5362318840579711</v>
      </c>
    </row>
    <row r="230" spans="1:9">
      <c r="A230" s="11" t="str">
        <v>手车互联</v>
      </c>
      <c r="B230" s="19">
        <v>8</v>
      </c>
      <c r="C230" s="20">
        <v>8</v>
      </c>
      <c r="D230" s="28">
        <v>8</v>
      </c>
      <c r="E230" s="1">
        <v>0</v>
      </c>
      <c r="F230" s="1">
        <v>0</v>
      </c>
      <c r="G230" s="1">
        <v>0</v>
      </c>
      <c r="H230" s="1">
        <v>0</v>
      </c>
      <c r="I230" s="1">
        <v>0</v>
      </c>
    </row>
    <row r="231" spans="1:9">
      <c r="A231" s="11" t="str">
        <v>通用</v>
      </c>
      <c r="B231" s="19">
        <v>3</v>
      </c>
      <c r="C231" s="20">
        <v>3</v>
      </c>
      <c r="D231" s="28">
        <v>3</v>
      </c>
      <c r="E231" s="21">
        <v>3</v>
      </c>
      <c r="F231" s="19">
        <v>2</v>
      </c>
      <c r="G231" s="19">
        <v>2</v>
      </c>
      <c r="H231" s="1">
        <v>0</v>
      </c>
      <c r="I231" s="1">
        <v>0</v>
      </c>
    </row>
    <row r="232" spans="2:10">
      <c r="B232" s="19">
        <v>734</v>
      </c>
      <c r="C232" s="19">
        <v>711</v>
      </c>
      <c r="D232" s="19">
        <v>699</v>
      </c>
      <c r="E232" s="19">
        <v>643</v>
      </c>
      <c r="F232" s="19">
        <v>626</v>
      </c>
      <c r="G232" s="19">
        <v>627</v>
      </c>
      <c r="H232" s="19">
        <v>458</v>
      </c>
      <c r="I232" s="25">
        <v>0.6441631504922645</v>
      </c>
      <c r="J232" s="33">
        <f>H232/C232</f>
      </c>
    </row>
    <row r="233" spans="1:9">
      <c r="A233" s="11" t="str">
        <v>端状态信号</v>
      </c>
      <c r="B233" s="19">
        <v>389</v>
      </c>
      <c r="C233" s="20">
        <v>240</v>
      </c>
      <c r="D233" s="28">
        <v>234</v>
      </c>
      <c r="E233" s="21">
        <v>205</v>
      </c>
      <c r="F233" s="19">
        <v>189</v>
      </c>
      <c r="G233" s="19">
        <v>189</v>
      </c>
      <c r="H233" s="19">
        <v>141</v>
      </c>
      <c r="I233" s="25">
        <v>3.5921540269366354</v>
      </c>
    </row>
    <row r="234" spans="1:1">
      <c r="A234" s="2" t="str">
        <v>·0603</v>
      </c>
    </row>
    <row r="235" spans="1:9">
      <c r="A235" s="11" t="str">
        <v>模块\API（04.29变更前）</v>
      </c>
      <c r="B235" s="11" t="str">
        <v>总api数</v>
      </c>
      <c r="C235" s="18" t="str">
        <v>本项目使用api数</v>
      </c>
      <c r="D235" s="11" t="str">
        <v>上汽已提供api数</v>
      </c>
      <c r="E235" s="17" t="str">
        <v>研发确认可用api数</v>
      </c>
      <c r="F235" s="11" t="str">
        <v>开发完成api数</v>
      </c>
      <c r="G235" s="11" t="str">
        <v>测试覆盖api数</v>
      </c>
      <c r="H235" s="11" t="str">
        <v>测试通过case数</v>
      </c>
      <c r="I235" s="11" t="str">
        <v>case完成度</v>
      </c>
    </row>
    <row r="236" spans="1:9">
      <c r="A236" s="11" t="str">
        <v>车控</v>
      </c>
      <c r="B236" s="19">
        <v>409</v>
      </c>
      <c r="C236" s="20">
        <v>401</v>
      </c>
      <c r="D236" s="28">
        <v>401</v>
      </c>
      <c r="E236" s="21">
        <v>387</v>
      </c>
      <c r="F236" s="19">
        <v>378</v>
      </c>
      <c r="G236" s="19">
        <v>354</v>
      </c>
      <c r="H236" s="19">
        <v>280</v>
      </c>
      <c r="I236" s="25">
        <v>0.6982543640897756</v>
      </c>
    </row>
    <row r="237" spans="1:9">
      <c r="A237" s="11" t="str">
        <v>系统设置</v>
      </c>
      <c r="B237" s="19">
        <v>126</v>
      </c>
      <c r="C237" s="20">
        <v>111</v>
      </c>
      <c r="D237" s="28">
        <v>106</v>
      </c>
      <c r="E237" s="21">
        <v>87</v>
      </c>
      <c r="F237" s="19">
        <v>82</v>
      </c>
      <c r="G237" s="19">
        <v>79</v>
      </c>
      <c r="H237" s="19">
        <v>64</v>
      </c>
      <c r="I237" s="25">
        <v>0.5765765765765766</v>
      </c>
    </row>
    <row r="238" spans="1:9">
      <c r="A238" s="11" t="str">
        <v>通讯</v>
      </c>
      <c r="B238" s="19">
        <v>26</v>
      </c>
      <c r="C238" s="20">
        <v>26</v>
      </c>
      <c r="D238" s="28">
        <v>24</v>
      </c>
      <c r="E238" s="21">
        <v>23</v>
      </c>
      <c r="F238" s="19">
        <v>23</v>
      </c>
      <c r="G238" s="19">
        <v>23</v>
      </c>
      <c r="H238" s="19">
        <v>21</v>
      </c>
      <c r="I238" s="25">
        <v>0.8076923076923077</v>
      </c>
    </row>
    <row r="239" spans="1:9">
      <c r="A239" s="11" t="str">
        <v>智能驾驶</v>
      </c>
      <c r="B239" s="19">
        <v>12</v>
      </c>
      <c r="C239" s="20">
        <v>12</v>
      </c>
      <c r="D239" s="28">
        <v>7</v>
      </c>
      <c r="E239" s="21">
        <v>5</v>
      </c>
      <c r="F239" s="19">
        <v>4</v>
      </c>
      <c r="G239" s="19">
        <v>1</v>
      </c>
      <c r="H239" s="19">
        <v>1</v>
      </c>
      <c r="I239" s="25">
        <v>0.08333333333333333</v>
      </c>
    </row>
    <row r="240" spans="1:9">
      <c r="A240" s="11" t="str">
        <v>多媒体</v>
      </c>
      <c r="B240" s="19">
        <v>81</v>
      </c>
      <c r="C240" s="20">
        <v>80</v>
      </c>
      <c r="D240" s="28">
        <v>80</v>
      </c>
      <c r="E240" s="21">
        <v>79</v>
      </c>
      <c r="F240" s="19">
        <v>77</v>
      </c>
      <c r="G240" s="19">
        <v>77</v>
      </c>
      <c r="H240" s="19">
        <v>54</v>
      </c>
      <c r="I240" s="25">
        <v>0.675</v>
      </c>
    </row>
    <row r="241" spans="1:9">
      <c r="A241" s="11" t="str">
        <v>地图导航</v>
      </c>
      <c r="B241" s="19">
        <v>69</v>
      </c>
      <c r="C241" s="20">
        <v>69</v>
      </c>
      <c r="D241" s="28">
        <v>69</v>
      </c>
      <c r="E241" s="21">
        <v>59</v>
      </c>
      <c r="F241" s="19">
        <v>59</v>
      </c>
      <c r="G241" s="19">
        <v>57</v>
      </c>
      <c r="H241" s="19">
        <v>37</v>
      </c>
      <c r="I241" s="25">
        <v>0.5362318840579711</v>
      </c>
    </row>
    <row r="242" spans="1:9">
      <c r="A242" s="11" t="str">
        <v>手车互联</v>
      </c>
      <c r="B242" s="19">
        <v>8</v>
      </c>
      <c r="C242" s="20">
        <v>8</v>
      </c>
      <c r="D242" s="28">
        <v>8</v>
      </c>
      <c r="E242" s="1">
        <v>0</v>
      </c>
      <c r="F242" s="1">
        <v>0</v>
      </c>
      <c r="G242" s="1">
        <v>0</v>
      </c>
      <c r="H242" s="1">
        <v>0</v>
      </c>
      <c r="I242" s="1">
        <v>0</v>
      </c>
    </row>
    <row r="243" spans="1:9">
      <c r="A243" s="11" t="str">
        <v>通用</v>
      </c>
      <c r="B243" s="19">
        <v>3</v>
      </c>
      <c r="C243" s="20">
        <v>3</v>
      </c>
      <c r="D243" s="28">
        <v>3</v>
      </c>
      <c r="E243" s="21">
        <v>3</v>
      </c>
      <c r="F243" s="19">
        <v>2</v>
      </c>
      <c r="G243" s="19">
        <v>2</v>
      </c>
      <c r="H243" s="1">
        <v>0</v>
      </c>
      <c r="I243" s="1">
        <v>0</v>
      </c>
    </row>
    <row r="244" spans="2:10">
      <c r="B244" s="19">
        <v>734</v>
      </c>
      <c r="C244" s="19">
        <v>710</v>
      </c>
      <c r="D244" s="19">
        <v>698</v>
      </c>
      <c r="E244" s="19">
        <v>643</v>
      </c>
      <c r="F244" s="19">
        <v>625</v>
      </c>
      <c r="G244" s="19">
        <v>627</v>
      </c>
      <c r="H244" s="19">
        <v>457</v>
      </c>
      <c r="I244" s="25">
        <v>0.643661971830986</v>
      </c>
      <c r="J244" s="33">
        <f>H244/C244</f>
      </c>
    </row>
    <row r="245" spans="1:9">
      <c r="A245" s="11" t="str">
        <v>端状态信号</v>
      </c>
      <c r="B245" s="19">
        <v>388</v>
      </c>
      <c r="C245" s="20">
        <v>244</v>
      </c>
      <c r="D245" s="28">
        <v>235</v>
      </c>
      <c r="E245" s="21">
        <v>208</v>
      </c>
      <c r="F245" s="19">
        <v>192</v>
      </c>
      <c r="G245" s="19">
        <v>183</v>
      </c>
      <c r="H245" s="19">
        <v>110</v>
      </c>
      <c r="I245" s="25">
        <v>0.45081967213114754</v>
      </c>
    </row>
    <row r="246" spans="1:1">
      <c r="A246" s="2" t="str">
        <v>·0602</v>
      </c>
    </row>
    <row r="247" spans="1:9">
      <c r="A247" s="11" t="str">
        <v>模块\API（04.29变更前）</v>
      </c>
      <c r="B247" s="11" t="str">
        <v>总数</v>
      </c>
      <c r="C247" s="18" t="str">
        <v>本项目使用数</v>
      </c>
      <c r="D247" s="11" t="str">
        <v>上汽已提供</v>
      </c>
      <c r="E247" s="17" t="str">
        <v>研发确认可用数</v>
      </c>
      <c r="F247" s="11" t="str">
        <v>开发完成数</v>
      </c>
      <c r="G247" s="11" t="str">
        <v>测试覆盖数</v>
      </c>
      <c r="H247" s="11" t="str">
        <v>测试通过数</v>
      </c>
      <c r="I247" s="11" t="str">
        <v>完成度</v>
      </c>
    </row>
    <row r="248" spans="1:9">
      <c r="A248" s="11" t="str">
        <v>车控</v>
      </c>
      <c r="B248" s="19">
        <v>409</v>
      </c>
      <c r="C248" s="20">
        <v>401</v>
      </c>
      <c r="D248" s="28">
        <v>401</v>
      </c>
      <c r="E248" s="21">
        <v>387</v>
      </c>
      <c r="F248" s="19">
        <v>378</v>
      </c>
      <c r="G248" s="19">
        <v>354</v>
      </c>
      <c r="H248" s="19">
        <v>235</v>
      </c>
      <c r="I248" s="25">
        <v>0.5860349127182045</v>
      </c>
    </row>
    <row r="249" spans="1:9">
      <c r="A249" s="11" t="str">
        <v>系统设置</v>
      </c>
      <c r="B249" s="19">
        <v>126</v>
      </c>
      <c r="C249" s="20">
        <v>111</v>
      </c>
      <c r="D249" s="28">
        <v>106</v>
      </c>
      <c r="E249" s="21">
        <v>87</v>
      </c>
      <c r="F249" s="19">
        <v>82</v>
      </c>
      <c r="G249" s="19">
        <v>79</v>
      </c>
      <c r="H249" s="19">
        <v>59</v>
      </c>
      <c r="I249" s="25">
        <v>0.5315315315315315</v>
      </c>
    </row>
    <row r="250" spans="1:9">
      <c r="A250" s="11" t="str">
        <v>通讯</v>
      </c>
      <c r="B250" s="19">
        <v>26</v>
      </c>
      <c r="C250" s="20">
        <v>26</v>
      </c>
      <c r="D250" s="28">
        <v>24</v>
      </c>
      <c r="E250" s="21">
        <v>23</v>
      </c>
      <c r="F250" s="19">
        <v>23</v>
      </c>
      <c r="G250" s="19">
        <v>23</v>
      </c>
      <c r="H250" s="19">
        <v>14</v>
      </c>
      <c r="I250" s="25">
        <v>0.5384615384615384</v>
      </c>
    </row>
    <row r="251" spans="1:9">
      <c r="A251" s="11" t="str">
        <v>智能驾驶</v>
      </c>
      <c r="B251" s="19">
        <v>12</v>
      </c>
      <c r="C251" s="20">
        <v>12</v>
      </c>
      <c r="D251" s="28">
        <v>7</v>
      </c>
      <c r="E251" s="21">
        <v>5</v>
      </c>
      <c r="F251" s="19">
        <v>4</v>
      </c>
      <c r="G251" s="19">
        <v>1</v>
      </c>
      <c r="H251" s="19">
        <v>1</v>
      </c>
      <c r="I251" s="25">
        <v>0.08333333333333333</v>
      </c>
    </row>
    <row r="252" spans="1:9">
      <c r="A252" s="11" t="str">
        <v>多媒体</v>
      </c>
      <c r="B252" s="19">
        <v>81</v>
      </c>
      <c r="C252" s="20">
        <v>80</v>
      </c>
      <c r="D252" s="28">
        <v>80</v>
      </c>
      <c r="E252" s="21">
        <v>79</v>
      </c>
      <c r="F252" s="19">
        <v>77</v>
      </c>
      <c r="G252" s="19">
        <v>77</v>
      </c>
      <c r="H252" s="19">
        <v>26</v>
      </c>
      <c r="I252" s="25">
        <v>0.325</v>
      </c>
    </row>
    <row r="253" spans="1:9">
      <c r="A253" s="11" t="str">
        <v>地图导航</v>
      </c>
      <c r="B253" s="19">
        <v>69</v>
      </c>
      <c r="C253" s="20">
        <v>69</v>
      </c>
      <c r="D253" s="28">
        <v>69</v>
      </c>
      <c r="E253" s="21">
        <v>59</v>
      </c>
      <c r="F253" s="19">
        <v>59</v>
      </c>
      <c r="G253" s="19">
        <v>57</v>
      </c>
      <c r="H253" s="19">
        <v>37</v>
      </c>
      <c r="I253" s="25">
        <v>0.5362318840579711</v>
      </c>
    </row>
    <row r="254" spans="1:9">
      <c r="A254" s="11" t="str">
        <v>手车互联</v>
      </c>
      <c r="B254" s="19">
        <v>8</v>
      </c>
      <c r="C254" s="20">
        <v>8</v>
      </c>
      <c r="D254" s="28">
        <v>8</v>
      </c>
      <c r="E254" s="1">
        <v>0</v>
      </c>
      <c r="F254" s="1">
        <v>0</v>
      </c>
      <c r="G254" s="1">
        <v>0</v>
      </c>
      <c r="H254" s="1">
        <v>0</v>
      </c>
      <c r="I254" s="1">
        <v>0</v>
      </c>
    </row>
    <row r="255" spans="1:9">
      <c r="A255" s="11" t="str">
        <v>通用</v>
      </c>
      <c r="B255" s="19">
        <v>3</v>
      </c>
      <c r="C255" s="20">
        <v>3</v>
      </c>
      <c r="D255" s="28">
        <v>3</v>
      </c>
      <c r="E255" s="21">
        <v>3</v>
      </c>
      <c r="F255" s="19">
        <v>2</v>
      </c>
      <c r="G255" s="19">
        <v>2</v>
      </c>
      <c r="H255" s="1">
        <v>0</v>
      </c>
      <c r="I255" s="1">
        <v>0</v>
      </c>
    </row>
    <row r="256" spans="1:10">
      <c r="A256" s="11" t="str">
        <v>小计</v>
      </c>
      <c r="B256" s="11">
        <f>SUM(B248:B255)</f>
      </c>
      <c r="C256" s="11">
        <f>SUM(C248:C255)</f>
      </c>
      <c r="D256" s="11">
        <f>SUM(D248:D255)</f>
      </c>
      <c r="E256" s="11">
        <f>SUM(E248:E255)</f>
      </c>
      <c r="F256" s="11">
        <f>SUM(F248:F255)</f>
      </c>
      <c r="G256" s="11">
        <f>SUM(G248:G255)</f>
      </c>
      <c r="H256" s="11">
        <f>SUM(H248:H255)</f>
      </c>
      <c r="I256" s="11">
        <f>SUM(I248:I255)</f>
      </c>
      <c r="J256" s="33">
        <f>H256/C256</f>
      </c>
    </row>
    <row r="257" spans="1:9">
      <c r="A257" s="11" t="str">
        <v>端状态信号</v>
      </c>
      <c r="B257" s="19">
        <v>388</v>
      </c>
      <c r="C257" s="20">
        <v>244</v>
      </c>
      <c r="D257" s="28">
        <v>235</v>
      </c>
      <c r="E257" s="21">
        <v>208</v>
      </c>
      <c r="F257" s="19">
        <v>192</v>
      </c>
      <c r="G257" s="19">
        <v>183</v>
      </c>
      <c r="H257" s="19">
        <v>110</v>
      </c>
      <c r="I257" s="25">
        <v>0.45081967213114754</v>
      </c>
    </row>
    <row r="259" spans="1:1">
      <c r="A259" s="2" t="str">
        <v>·0601</v>
      </c>
    </row>
    <row r="260" spans="1:9">
      <c r="A260" s="11" t="str">
        <v>模块\API（04.29变更前）</v>
      </c>
      <c r="B260" s="11" t="str">
        <v>总数</v>
      </c>
      <c r="C260" s="18" t="str">
        <v>本项目使用数</v>
      </c>
      <c r="D260" s="11" t="str">
        <v>上汽已提供</v>
      </c>
      <c r="E260" s="17" t="str">
        <v>研发确认可用数</v>
      </c>
      <c r="F260" s="11" t="str">
        <v>开发完成数</v>
      </c>
      <c r="G260" s="11" t="str">
        <v>测试覆盖数</v>
      </c>
      <c r="H260" s="11" t="str">
        <v>测试通过数</v>
      </c>
      <c r="I260" s="11" t="str">
        <v>完成度</v>
      </c>
    </row>
    <row r="261" spans="1:9">
      <c r="A261" s="11" t="str">
        <v>车控</v>
      </c>
      <c r="B261" s="19">
        <v>409</v>
      </c>
      <c r="C261" s="20">
        <v>401</v>
      </c>
      <c r="D261" s="28">
        <v>401</v>
      </c>
      <c r="E261" s="21">
        <v>387</v>
      </c>
      <c r="F261" s="19">
        <v>377</v>
      </c>
      <c r="G261" s="19">
        <v>357</v>
      </c>
      <c r="H261" s="19">
        <v>235</v>
      </c>
      <c r="I261" s="25">
        <v>0.5860349127182045</v>
      </c>
    </row>
    <row r="262" spans="1:9">
      <c r="A262" s="11" t="str">
        <v>系统设置</v>
      </c>
      <c r="B262" s="19">
        <v>126</v>
      </c>
      <c r="C262" s="20">
        <v>111</v>
      </c>
      <c r="D262" s="28">
        <v>106</v>
      </c>
      <c r="E262" s="21">
        <v>87</v>
      </c>
      <c r="F262" s="19">
        <v>82</v>
      </c>
      <c r="G262" s="19">
        <v>79</v>
      </c>
      <c r="H262" s="19">
        <v>59</v>
      </c>
      <c r="I262" s="25">
        <v>0.5315315315315315</v>
      </c>
    </row>
    <row r="263" spans="1:9">
      <c r="A263" s="11" t="str">
        <v>通讯</v>
      </c>
      <c r="B263" s="19">
        <v>26</v>
      </c>
      <c r="C263" s="20">
        <v>26</v>
      </c>
      <c r="D263" s="28">
        <v>24</v>
      </c>
      <c r="E263" s="21">
        <v>23</v>
      </c>
      <c r="F263" s="19">
        <v>23</v>
      </c>
      <c r="G263" s="19">
        <v>23</v>
      </c>
      <c r="H263" s="19">
        <v>14</v>
      </c>
      <c r="I263" s="25">
        <v>0.5384615384615384</v>
      </c>
    </row>
    <row r="264" spans="1:9">
      <c r="A264" s="11" t="str">
        <v>智能驾驶</v>
      </c>
      <c r="B264" s="19">
        <v>12</v>
      </c>
      <c r="C264" s="20">
        <v>12</v>
      </c>
      <c r="D264" s="28">
        <v>7</v>
      </c>
      <c r="E264" s="21">
        <v>5</v>
      </c>
      <c r="F264" s="19">
        <v>4</v>
      </c>
      <c r="G264" s="19">
        <v>1</v>
      </c>
      <c r="H264" s="19">
        <v>1</v>
      </c>
      <c r="I264" s="25">
        <v>0.08333333333333333</v>
      </c>
    </row>
    <row r="265" spans="1:9">
      <c r="A265" s="11" t="str">
        <v>多媒体</v>
      </c>
      <c r="B265" s="19">
        <v>81</v>
      </c>
      <c r="C265" s="20">
        <v>80</v>
      </c>
      <c r="D265" s="28">
        <v>80</v>
      </c>
      <c r="E265" s="21">
        <v>79</v>
      </c>
      <c r="F265" s="19">
        <v>77</v>
      </c>
      <c r="G265" s="19">
        <v>74</v>
      </c>
      <c r="H265" s="19">
        <v>26</v>
      </c>
      <c r="I265" s="25">
        <v>0.325</v>
      </c>
    </row>
    <row r="266" spans="1:9">
      <c r="A266" s="11" t="str">
        <v>地图导航</v>
      </c>
      <c r="B266" s="19">
        <v>69</v>
      </c>
      <c r="C266" s="20">
        <v>69</v>
      </c>
      <c r="D266" s="28">
        <v>69</v>
      </c>
      <c r="E266" s="21">
        <v>59</v>
      </c>
      <c r="F266" s="19">
        <v>59</v>
      </c>
      <c r="G266" s="19">
        <v>51</v>
      </c>
      <c r="H266" s="19">
        <v>37</v>
      </c>
      <c r="I266" s="25">
        <v>0.5362318840579711</v>
      </c>
    </row>
    <row r="267" spans="1:9">
      <c r="A267" s="11" t="str">
        <v>手车互联</v>
      </c>
      <c r="B267" s="19">
        <v>8</v>
      </c>
      <c r="C267" s="20">
        <v>8</v>
      </c>
      <c r="D267" s="28">
        <v>8</v>
      </c>
      <c r="E267" s="1">
        <v>0</v>
      </c>
      <c r="F267" s="1">
        <v>0</v>
      </c>
      <c r="G267" s="1">
        <v>0</v>
      </c>
      <c r="H267" s="1">
        <v>0</v>
      </c>
      <c r="I267" s="1">
        <v>0</v>
      </c>
    </row>
    <row r="268" spans="1:9">
      <c r="A268" s="11" t="str">
        <v>通用</v>
      </c>
      <c r="B268" s="19">
        <v>3</v>
      </c>
      <c r="C268" s="20">
        <v>3</v>
      </c>
      <c r="D268" s="28">
        <v>3</v>
      </c>
      <c r="E268" s="21">
        <v>3</v>
      </c>
      <c r="F268" s="19">
        <v>2</v>
      </c>
      <c r="G268" s="1">
        <v>0</v>
      </c>
      <c r="H268" s="1">
        <v>0</v>
      </c>
      <c r="I268" s="1">
        <v>0</v>
      </c>
    </row>
    <row r="269" spans="1:10">
      <c r="A269" s="11" t="str">
        <v>小计</v>
      </c>
      <c r="B269" s="11">
        <f>SUM(B261:B268)</f>
      </c>
      <c r="C269" s="11">
        <f>SUM(C261:C268)</f>
      </c>
      <c r="D269" s="11">
        <f>SUM(D261:D268)</f>
      </c>
      <c r="E269" s="11">
        <f>SUM(E261:E268)</f>
      </c>
      <c r="F269" s="11">
        <f>SUM(F261:F268)</f>
      </c>
      <c r="G269" s="11">
        <f>SUM(G261:G268)</f>
      </c>
      <c r="H269" s="11">
        <f>SUM(H261:H268)</f>
      </c>
      <c r="I269" s="11">
        <f>SUM(I261:I268)</f>
      </c>
      <c r="J269" s="33">
        <f>H269/C269</f>
      </c>
    </row>
    <row r="270" spans="1:9">
      <c r="A270" s="11" t="str">
        <v>端状态信号</v>
      </c>
      <c r="B270" s="19">
        <v>388</v>
      </c>
      <c r="C270" s="20">
        <v>245</v>
      </c>
      <c r="D270" s="28">
        <v>235</v>
      </c>
      <c r="E270" s="21">
        <v>208</v>
      </c>
      <c r="F270" s="19">
        <v>192</v>
      </c>
      <c r="G270" s="19">
        <v>183</v>
      </c>
      <c r="H270" s="19">
        <v>110</v>
      </c>
      <c r="I270" s="25">
        <v>0.4489795918367347</v>
      </c>
    </row>
    <row r="271" spans="1:1">
      <c r="A271" s="2" t="str">
        <v>·0528</v>
      </c>
    </row>
    <row r="272" spans="1:9">
      <c r="A272" s="11" t="str">
        <v>模块\API（04.29变更前）</v>
      </c>
      <c r="B272" s="11" t="str">
        <v>总数</v>
      </c>
      <c r="C272" s="18" t="str">
        <v>本项目使用数</v>
      </c>
      <c r="D272" s="11" t="str">
        <v>上汽已提供</v>
      </c>
      <c r="E272" s="17" t="str">
        <v>研发确认可用数</v>
      </c>
      <c r="F272" s="11" t="str">
        <v>开发完成数</v>
      </c>
      <c r="G272" s="11" t="str">
        <v>测试覆盖数</v>
      </c>
      <c r="H272" s="11" t="str">
        <v>测试通过数</v>
      </c>
      <c r="I272" s="11" t="str">
        <v>完成度</v>
      </c>
    </row>
    <row r="273" spans="1:9">
      <c r="A273" s="11" t="str">
        <v>车控</v>
      </c>
      <c r="B273" s="19">
        <v>409</v>
      </c>
      <c r="C273" s="20">
        <v>401</v>
      </c>
      <c r="D273" s="28">
        <v>401</v>
      </c>
      <c r="E273" s="21">
        <v>387</v>
      </c>
      <c r="F273" s="19">
        <v>377</v>
      </c>
      <c r="G273" s="19">
        <v>357</v>
      </c>
      <c r="H273" s="19">
        <v>235</v>
      </c>
      <c r="I273" s="25">
        <v>0.5860349127182045</v>
      </c>
    </row>
    <row r="274" spans="1:9">
      <c r="A274" s="11" t="str">
        <v>系统设置</v>
      </c>
      <c r="B274" s="19">
        <v>126</v>
      </c>
      <c r="C274" s="20">
        <v>111</v>
      </c>
      <c r="D274" s="28">
        <v>106</v>
      </c>
      <c r="E274" s="21">
        <v>87</v>
      </c>
      <c r="F274" s="19">
        <v>82</v>
      </c>
      <c r="G274" s="19">
        <v>74</v>
      </c>
      <c r="H274" s="19">
        <v>59</v>
      </c>
      <c r="I274" s="25">
        <v>0.5315315315315315</v>
      </c>
    </row>
    <row r="275" spans="1:9">
      <c r="A275" s="11" t="str">
        <v>通讯</v>
      </c>
      <c r="B275" s="19">
        <v>26</v>
      </c>
      <c r="C275" s="20">
        <v>26</v>
      </c>
      <c r="D275" s="28">
        <v>24</v>
      </c>
      <c r="E275" s="21">
        <v>23</v>
      </c>
      <c r="F275" s="19">
        <v>23</v>
      </c>
      <c r="G275" s="19">
        <v>23</v>
      </c>
      <c r="H275" s="19">
        <v>14</v>
      </c>
      <c r="I275" s="25">
        <v>0.5384615384615384</v>
      </c>
    </row>
    <row r="276" spans="1:9">
      <c r="A276" s="11" t="str">
        <v>智能驾驶</v>
      </c>
      <c r="B276" s="19">
        <v>12</v>
      </c>
      <c r="C276" s="20">
        <v>12</v>
      </c>
      <c r="D276" s="28">
        <v>7</v>
      </c>
      <c r="E276" s="21">
        <v>5</v>
      </c>
      <c r="F276" s="19">
        <v>4</v>
      </c>
      <c r="G276" s="19">
        <v>1</v>
      </c>
      <c r="H276" s="19">
        <v>1</v>
      </c>
      <c r="I276" s="25">
        <v>0.08333333333333333</v>
      </c>
    </row>
    <row r="277" spans="1:9">
      <c r="A277" s="11" t="str">
        <v>多媒体</v>
      </c>
      <c r="B277" s="19">
        <v>81</v>
      </c>
      <c r="C277" s="20">
        <v>80</v>
      </c>
      <c r="D277" s="28">
        <v>80</v>
      </c>
      <c r="E277" s="21">
        <v>79</v>
      </c>
      <c r="F277" s="19">
        <v>77</v>
      </c>
      <c r="G277" s="19">
        <v>44</v>
      </c>
      <c r="H277" s="19">
        <v>26</v>
      </c>
      <c r="I277" s="25">
        <v>0.325</v>
      </c>
    </row>
    <row r="278" spans="1:9">
      <c r="A278" s="11" t="str">
        <v>地图导航</v>
      </c>
      <c r="B278" s="19">
        <v>69</v>
      </c>
      <c r="C278" s="20">
        <v>69</v>
      </c>
      <c r="D278" s="28">
        <v>69</v>
      </c>
      <c r="E278" s="21">
        <v>59</v>
      </c>
      <c r="F278" s="19">
        <v>59</v>
      </c>
      <c r="G278" s="19">
        <v>51</v>
      </c>
      <c r="H278" s="19">
        <v>37</v>
      </c>
      <c r="I278" s="25">
        <v>0.5362318840579711</v>
      </c>
    </row>
    <row r="279" spans="1:9">
      <c r="A279" s="11" t="str">
        <v>手车互联</v>
      </c>
      <c r="B279" s="19">
        <v>8</v>
      </c>
      <c r="C279" s="20">
        <v>8</v>
      </c>
      <c r="D279" s="28">
        <v>8</v>
      </c>
      <c r="E279" s="1">
        <v>0</v>
      </c>
      <c r="F279" s="1">
        <v>0</v>
      </c>
      <c r="G279" s="1">
        <v>0</v>
      </c>
      <c r="H279" s="1">
        <v>0</v>
      </c>
      <c r="I279" s="1">
        <v>0</v>
      </c>
    </row>
    <row r="280" spans="1:9">
      <c r="A280" s="11" t="str">
        <v>通用</v>
      </c>
      <c r="B280" s="19">
        <v>3</v>
      </c>
      <c r="C280" s="20">
        <v>3</v>
      </c>
      <c r="D280" s="28">
        <v>3</v>
      </c>
      <c r="E280" s="21">
        <v>3</v>
      </c>
      <c r="F280" s="19">
        <v>2</v>
      </c>
      <c r="G280" s="19">
        <v>2</v>
      </c>
      <c r="H280" s="1">
        <v>0</v>
      </c>
      <c r="I280" s="1">
        <v>0</v>
      </c>
    </row>
    <row r="281" spans="1:10">
      <c r="A281" s="11" t="str">
        <v>小计</v>
      </c>
      <c r="B281" s="11">
        <f>SUM(B273:B280)</f>
      </c>
      <c r="C281" s="11">
        <f>SUM(C273:C280)</f>
      </c>
      <c r="D281" s="11">
        <f>SUM(D273:D280)</f>
      </c>
      <c r="E281" s="11">
        <f>SUM(E273:E280)</f>
      </c>
      <c r="F281" s="11">
        <f>SUM(F273:F280)</f>
      </c>
      <c r="G281" s="11">
        <f>SUM(G273:G280)</f>
      </c>
      <c r="H281" s="11">
        <f>SUM(H273:H280)</f>
      </c>
      <c r="I281" s="11">
        <f>SUM(I273:I280)</f>
      </c>
      <c r="J281" s="33">
        <f>H281/C281</f>
      </c>
    </row>
    <row r="282" spans="1:9">
      <c r="A282" s="11" t="str">
        <v>端状态信号</v>
      </c>
      <c r="B282" s="19">
        <v>388</v>
      </c>
      <c r="C282" s="20">
        <v>245</v>
      </c>
      <c r="D282" s="28">
        <v>235</v>
      </c>
      <c r="E282" s="21">
        <v>208</v>
      </c>
      <c r="F282" s="19">
        <v>192</v>
      </c>
      <c r="G282" s="19">
        <v>183</v>
      </c>
      <c r="H282" s="19">
        <v>110</v>
      </c>
      <c r="I282" s="25">
        <v>0.4489795918367347</v>
      </c>
    </row>
    <row r="283" spans="26:26">
      <c r="Z283" s="2" t="str">
        <v>火山</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24.040816215314948" style="1" customWidth="1"/>
    <col min="2" max="6" width="16.243385776173632" style="1" customWidth="1"/>
    <col min="7" max="7" width="16.142857142857142" style="1" customWidth="1"/>
    <col min="8" max="8" width="16.243385776173632" style="1" customWidth="1"/>
    <col min="9" max="9" width="16.142857142857142" style="1" customWidth="1"/>
    <col min="10" max="11" width="16.243385776173632" style="1" customWidth="1"/>
    <col min="12" max="12" width="61" style="1" customWidth="1"/>
    <col min="13" max="13" width="12.469387643886389" style="1" customWidth="1"/>
    <col min="14" max="14" width="11.897959072457818" style="1" customWidth="1"/>
    <col min="15" max="15" width="12.326530501029245" style="1" customWidth="1"/>
    <col min="16" max="16" width="11.469387643886389" style="1" customWidth="1"/>
    <col min="17" max="17" width="12.04081621531496" style="1" customWidth="1"/>
    <col min="18" max="23" width="15" style="1" customWidth="1"/>
  </cols>
  <sheetData>
    <row r="1" spans="1:17">
      <c r="A1" s="11" t="str">
        <v>模块\API（04.29变更前）</v>
      </c>
      <c r="B1" s="11" t="str">
        <v>总api数</v>
      </c>
      <c r="C1" s="18" t="str">
        <v>本项目使用api数</v>
      </c>
      <c r="D1" s="11" t="str">
        <v>上汽已提供api数</v>
      </c>
      <c r="E1" s="17" t="str">
        <v>研发确认可用api数</v>
      </c>
      <c r="F1" s="11" t="str">
        <v>研发完成api数</v>
      </c>
      <c r="G1" s="11" t="str">
        <v>研发完成度</v>
      </c>
      <c r="H1" s="11" t="str">
        <v>测试覆盖api数</v>
      </c>
      <c r="I1" s="11" t="str">
        <v>测试执行完成度</v>
      </c>
      <c r="J1" s="11" t="str">
        <v>测试通过case数</v>
      </c>
      <c r="K1" s="11" t="str">
        <v>case通过完成度</v>
      </c>
      <c r="L1" s="11" t="str">
        <v>备注</v>
      </c>
      <c r="M1" s="2" t="str">
        <v>上汽未提供</v>
      </c>
      <c r="N1" s="2" t="str">
        <v>研发确认中</v>
      </c>
      <c r="O1" s="2" t="str">
        <v>研发执行中</v>
      </c>
      <c r="P1" s="2" t="str">
        <v>测试执行中</v>
      </c>
      <c r="Q1" s="2" t="str">
        <v>bug修复中</v>
      </c>
    </row>
    <row r="2" spans="1:17">
      <c r="A2" s="11" t="str">
        <v>车控</v>
      </c>
      <c r="B2" s="11">
        <f>SUMIF('【对接进度说明】'!APNaN:APNaN,A2,'【对接进度说明】'!DNaN:DNaN)</f>
      </c>
      <c r="C2" s="18">
        <f>SUMIF('【对接进度说明】'!APNaN:APNaN,A2,'【对接进度说明】'!ENaN:ENaN)</f>
      </c>
      <c r="D2" s="16">
        <f>SUMIF('【对接进度说明】'!APNaN:APNaN,A2,'【对接进度说明】'!GNaN:GNaN)</f>
      </c>
      <c r="E2" s="17">
        <f>SUMIF('【对接进度说明】'!APNaN:APNaN,A2,'【对接进度说明】'!INaN:INaN)</f>
      </c>
      <c r="F2" s="11">
        <f>SUMIF('【对接进度说明】'!APNaN:APNaN,A2,'【对接进度说明】'!TNaN:TNaN)</f>
      </c>
      <c r="G2" s="34">
        <f>F2/C2</f>
      </c>
      <c r="H2" s="19">
        <v>367</v>
      </c>
      <c r="I2" s="34">
        <f>H2/C2</f>
      </c>
      <c r="J2" s="11">
        <f>SUMIF('【对接进度说明】'!APNaN:APNaN,A2,'【对接进度说明】'!AINaN:AINaN)</f>
      </c>
      <c r="K2" s="34">
        <f>J2/C2</f>
      </c>
      <c r="M2" s="2">
        <f>C2-D2</f>
      </c>
      <c r="N2" s="2">
        <f>D2-E2</f>
      </c>
      <c r="O2" s="2">
        <f>E2-F2</f>
      </c>
      <c r="P2" s="2">
        <f>F2-H2</f>
      </c>
      <c r="Q2" s="2">
        <f>H2-J2</f>
      </c>
    </row>
    <row r="3" spans="1:17">
      <c r="A3" s="11" t="str">
        <v>系统设置</v>
      </c>
      <c r="B3" s="11">
        <f>SUMIF('【对接进度说明】'!APNaN:APNaN,A3,'【对接进度说明】'!DNaN:DNaN)</f>
      </c>
      <c r="C3" s="18">
        <f>SUMIF('【对接进度说明】'!APNaN:APNaN,A3,'【对接进度说明】'!ENaN:ENaN)</f>
      </c>
      <c r="D3" s="16">
        <f>SUMIF('【对接进度说明】'!APNaN:APNaN,A3,'【对接进度说明】'!GNaN:GNaN)</f>
      </c>
      <c r="E3" s="17">
        <f>SUMIF('【对接进度说明】'!APNaN:APNaN,A3,'【对接进度说明】'!INaN:INaN)</f>
      </c>
      <c r="F3" s="11">
        <f>SUMIF('【对接进度说明】'!APNaN:APNaN,A3,'【对接进度说明】'!TNaN:TNaN)</f>
      </c>
      <c r="G3" s="34">
        <f>F3/C3</f>
      </c>
      <c r="H3" s="19">
        <v>79</v>
      </c>
      <c r="I3" s="34">
        <f>H3/C3</f>
      </c>
      <c r="J3" s="11">
        <f>SUMIF('【对接进度说明】'!APNaN:APNaN,A3,'【对接进度说明】'!AINaN:AINaN)</f>
      </c>
      <c r="K3" s="34">
        <f>J3/C3</f>
      </c>
      <c r="M3" s="2">
        <f>C3-D3</f>
      </c>
      <c r="N3" s="2">
        <f>D3-E3</f>
      </c>
      <c r="O3" s="2">
        <f>E3-F3</f>
      </c>
      <c r="P3" s="2">
        <f>F3-H3</f>
      </c>
      <c r="Q3" s="2">
        <f>H3-J3</f>
      </c>
    </row>
    <row r="4" spans="1:17">
      <c r="A4" s="11" t="str">
        <v>通讯</v>
      </c>
      <c r="B4" s="11">
        <f>SUMIF('【对接进度说明】'!APNaN:APNaN,A4,'【对接进度说明】'!DNaN:DNaN)</f>
      </c>
      <c r="C4" s="18">
        <f>SUMIF('【对接进度说明】'!APNaN:APNaN,A4,'【对接进度说明】'!ENaN:ENaN)</f>
      </c>
      <c r="D4" s="16">
        <f>SUMIF('【对接进度说明】'!APNaN:APNaN,A4,'【对接进度说明】'!GNaN:GNaN)</f>
      </c>
      <c r="E4" s="17">
        <f>SUMIF('【对接进度说明】'!APNaN:APNaN,A4,'【对接进度说明】'!INaN:INaN)</f>
      </c>
      <c r="F4" s="11">
        <f>SUMIF('【对接进度说明】'!APNaN:APNaN,A4,'【对接进度说明】'!TNaN:TNaN)</f>
      </c>
      <c r="G4" s="34">
        <f>F4/C4</f>
      </c>
      <c r="H4" s="19">
        <v>24</v>
      </c>
      <c r="I4" s="34">
        <f>H4/C4</f>
      </c>
      <c r="J4" s="11">
        <f>SUMIF('【对接进度说明】'!APNaN:APNaN,A4,'【对接进度说明】'!AINaN:AINaN)</f>
      </c>
      <c r="K4" s="34">
        <f>J4/C4</f>
      </c>
      <c r="M4" s="2">
        <f>C4-D4</f>
      </c>
      <c r="N4" s="2">
        <f>D4-E4</f>
      </c>
      <c r="O4" s="2">
        <f>E4-F4</f>
      </c>
      <c r="P4" s="2">
        <f>F4-H4</f>
      </c>
      <c r="Q4" s="2">
        <f>H4-J4</f>
      </c>
    </row>
    <row r="5" spans="1:17">
      <c r="A5" s="11" t="str">
        <v>智能驾驶</v>
      </c>
      <c r="B5" s="11">
        <f>SUMIF('【对接进度说明】'!APNaN:APNaN,A5,'【对接进度说明】'!DNaN:DNaN)</f>
      </c>
      <c r="C5" s="18">
        <f>SUMIF('【对接进度说明】'!APNaN:APNaN,A5,'【对接进度说明】'!ENaN:ENaN)</f>
      </c>
      <c r="D5" s="16">
        <f>SUMIF('【对接进度说明】'!APNaN:APNaN,A5,'【对接进度说明】'!GNaN:GNaN)</f>
      </c>
      <c r="E5" s="17">
        <f>SUMIF('【对接进度说明】'!APNaN:APNaN,A5,'【对接进度说明】'!INaN:INaN)</f>
      </c>
      <c r="F5" s="11">
        <f>SUMIF('【对接进度说明】'!APNaN:APNaN,A5,'【对接进度说明】'!TNaN:TNaN)</f>
      </c>
      <c r="G5" s="34">
        <f>F5/C5</f>
      </c>
      <c r="H5" s="19">
        <v>1</v>
      </c>
      <c r="I5" s="34">
        <f>H5/C5</f>
      </c>
      <c r="J5" s="11">
        <f>SUMIF('【对接进度说明】'!APNaN:APNaN,A5,'【对接进度说明】'!AINaN:AINaN)</f>
      </c>
      <c r="K5" s="34">
        <f>J5/C5</f>
      </c>
      <c r="M5" s="2">
        <f>C5-D5</f>
      </c>
      <c r="N5" s="2">
        <f>D5-E5</f>
      </c>
      <c r="O5" s="2">
        <f>E5-F5</f>
      </c>
      <c r="P5" s="2">
        <f>F5-H5</f>
      </c>
      <c r="Q5" s="2">
        <f>H5-J5</f>
      </c>
    </row>
    <row r="6" spans="1:17">
      <c r="A6" s="11" t="str">
        <v>多媒体</v>
      </c>
      <c r="B6" s="11">
        <f>SUMIF('【对接进度说明】'!APNaN:APNaN,A6,'【对接进度说明】'!DNaN:DNaN)</f>
      </c>
      <c r="C6" s="18">
        <f>SUMIF('【对接进度说明】'!APNaN:APNaN,A6,'【对接进度说明】'!ENaN:ENaN)</f>
      </c>
      <c r="D6" s="16">
        <f>SUMIF('【对接进度说明】'!APNaN:APNaN,A6,'【对接进度说明】'!GNaN:GNaN)</f>
      </c>
      <c r="E6" s="17">
        <f>SUMIF('【对接进度说明】'!APNaN:APNaN,A6,'【对接进度说明】'!INaN:INaN)</f>
      </c>
      <c r="F6" s="11">
        <f>SUMIF('【对接进度说明】'!APNaN:APNaN,A6,'【对接进度说明】'!TNaN:TNaN)</f>
      </c>
      <c r="G6" s="34">
        <f>F6/C6</f>
      </c>
      <c r="H6" s="19">
        <v>75</v>
      </c>
      <c r="I6" s="34">
        <f>H6/C6</f>
      </c>
      <c r="J6" s="11">
        <f>SUMIF('【对接进度说明】'!APNaN:APNaN,A6,'【对接进度说明】'!AINaN:AINaN)</f>
      </c>
      <c r="K6" s="34">
        <f>J6/C6</f>
      </c>
      <c r="M6" s="2">
        <f>C6-D6</f>
      </c>
      <c r="N6" s="2">
        <f>D6-E6</f>
      </c>
      <c r="O6" s="2">
        <f>E6-F6</f>
      </c>
      <c r="P6" s="2">
        <f>F6-H6</f>
      </c>
      <c r="Q6" s="2">
        <f>H6-J6</f>
      </c>
    </row>
    <row r="7" spans="1:17">
      <c r="A7" s="11" t="str">
        <v>地图导航</v>
      </c>
      <c r="B7" s="19">
        <v>69</v>
      </c>
      <c r="C7" s="20">
        <v>69</v>
      </c>
      <c r="D7" s="28">
        <v>69</v>
      </c>
      <c r="E7" s="21">
        <v>59</v>
      </c>
      <c r="F7" s="19">
        <v>59</v>
      </c>
      <c r="G7" s="34">
        <f>F7/C7</f>
      </c>
      <c r="H7" s="19">
        <v>61</v>
      </c>
      <c r="I7" s="34">
        <f>H7/C7</f>
      </c>
      <c r="J7" s="19">
        <v>37</v>
      </c>
      <c r="K7" s="34">
        <f>J7/C7</f>
      </c>
      <c r="L7" s="11" t="str">
        <v>不含AInavi</v>
      </c>
      <c r="M7" s="2">
        <f>C7-D7</f>
      </c>
      <c r="N7" s="2">
        <f>D7-E7</f>
      </c>
      <c r="O7" s="2">
        <f>E7-F7</f>
      </c>
      <c r="P7" s="2">
        <f>F7-H7</f>
      </c>
      <c r="Q7" s="2">
        <f>H7-J7</f>
      </c>
    </row>
    <row r="8" spans="1:17">
      <c r="A8" s="11" t="str">
        <v>手车互联</v>
      </c>
      <c r="B8" s="11">
        <f>SUMIF('【对接进度说明】'!APNaN:APNaN,A8,'【对接进度说明】'!DNaN:DNaN)</f>
      </c>
      <c r="C8" s="18">
        <f>SUMIF('【对接进度说明】'!APNaN:APNaN,A8,'【对接进度说明】'!ENaN:ENaN)</f>
      </c>
      <c r="D8" s="16">
        <f>SUMIF('【对接进度说明】'!APNaN:APNaN,A8,'【对接进度说明】'!GNaN:GNaN)</f>
      </c>
      <c r="E8" s="17">
        <f>SUMIF('【对接进度说明】'!APNaN:APNaN,A8,'【对接进度说明】'!INaN:INaN)</f>
      </c>
      <c r="F8" s="11">
        <f>SUMIF('【对接进度说明】'!APNaN:APNaN,A8,'【对接进度说明】'!TNaN:TNaN)</f>
      </c>
      <c r="G8" s="34">
        <f>F8/C8</f>
      </c>
      <c r="H8" s="1">
        <v>0</v>
      </c>
      <c r="I8" s="34">
        <f>H8/C8</f>
      </c>
      <c r="J8" s="11">
        <f>SUMIF('【对接进度说明】'!APNaN:APNaN,A8,'【对接进度说明】'!AINaN:AINaN)</f>
      </c>
      <c r="K8" s="34">
        <f>J8/C8</f>
      </c>
      <c r="M8" s="2">
        <f>C8-D8</f>
      </c>
      <c r="N8" s="2">
        <f>D8-E8</f>
      </c>
      <c r="O8" s="2">
        <f>E8-F8</f>
      </c>
      <c r="P8" s="2">
        <f>F8-H8</f>
      </c>
      <c r="Q8" s="2">
        <f>H8-J8</f>
      </c>
    </row>
    <row r="9" spans="1:17">
      <c r="A9" s="11" t="str">
        <v>通用</v>
      </c>
      <c r="B9" s="11">
        <f>SUMIF('【对接进度说明】'!APNaN:APNaN,A9,'【对接进度说明】'!DNaN:DNaN)</f>
      </c>
      <c r="C9" s="18">
        <f>SUMIF('【对接进度说明】'!APNaN:APNaN,A9,'【对接进度说明】'!ENaN:ENaN)</f>
      </c>
      <c r="D9" s="16">
        <f>SUMIF('【对接进度说明】'!APNaN:APNaN,A9,'【对接进度说明】'!GNaN:GNaN)</f>
      </c>
      <c r="E9" s="17">
        <f>SUMIF('【对接进度说明】'!APNaN:APNaN,A9,'【对接进度说明】'!INaN:INaN)</f>
      </c>
      <c r="F9" s="11">
        <f>SUMIF('【对接进度说明】'!APNaN:APNaN,A9,'【对接进度说明】'!TNaN:TNaN)</f>
      </c>
      <c r="G9" s="34">
        <f>F9/C9</f>
      </c>
      <c r="H9" s="19">
        <v>3</v>
      </c>
      <c r="I9" s="34">
        <f>H9/C9</f>
      </c>
      <c r="J9" s="11">
        <f>SUMIF('【对接进度说明】'!APNaN:APNaN,A9,'【对接进度说明】'!AINaN:AINaN)</f>
      </c>
      <c r="K9" s="34">
        <f>J9/C9</f>
      </c>
      <c r="M9" s="2">
        <f>C9-D9</f>
      </c>
      <c r="N9" s="2">
        <f>D9-E9</f>
      </c>
      <c r="O9" s="2">
        <f>E9-F9</f>
      </c>
      <c r="P9" s="2">
        <f>F9-H9</f>
      </c>
      <c r="Q9" s="2">
        <f>H9-J9</f>
      </c>
    </row>
    <row r="10" spans="2:11">
      <c r="B10" s="11">
        <f>SUM(B2:B9)</f>
      </c>
      <c r="C10" s="11">
        <f>SUM(C2:C9)</f>
      </c>
      <c r="D10" s="11">
        <f>SUM(D2:D9)</f>
      </c>
      <c r="E10" s="11">
        <f>SUM(E2:E9)</f>
      </c>
      <c r="F10" s="11">
        <f>SUM(F2:F9)</f>
      </c>
      <c r="G10" s="34">
        <f>F10/C10</f>
      </c>
      <c r="H10" s="11">
        <f>SUM(H2:H9)</f>
      </c>
      <c r="I10" s="34">
        <f>H10/C10</f>
      </c>
      <c r="J10" s="11">
        <f>SUM(J2:J9)</f>
      </c>
      <c r="K10" s="35">
        <f>J10/C10</f>
      </c>
    </row>
    <row r="11" spans="1:12">
      <c r="A11" s="11" t="str">
        <v>端状态信号</v>
      </c>
      <c r="B11" s="18">
        <f>IMPORTRANGE("https://bytedance.larkoffice.com/wiki/UcRRwKhTEi6by2ks5vNcjGdtnb9?from=from_copylink", "端状态进展汇总!B9")</f>
      </c>
      <c r="C11" s="16">
        <f>IMPORTRANGE("https://bytedance.larkoffice.com/wiki/UcRRwKhTEi6by2ks5vNcjGdtnb9?from=from_copylink", "端状态进展汇总!C9")</f>
      </c>
      <c r="D11" s="16">
        <f>IMPORTRANGE("https://bytedance.larkoffice.com/wiki/UcRRwKhTEi6by2ks5vNcjGdtnb9?from=from_copylink", "端状态进展汇总!D9")</f>
      </c>
      <c r="E11" s="16">
        <f>IMPORTRANGE("https://bytedance.larkoffice.com/wiki/UcRRwKhTEi6by2ks5vNcjGdtnb9?from=from_copylink", "端状态进展汇总!E9")</f>
      </c>
      <c r="F11" s="16">
        <f>IMPORTRANGE("https://bytedance.larkoffice.com/wiki/UcRRwKhTEi6by2ks5vNcjGdtnb9?from=from_copylink", "端状态进展汇总!G9")</f>
      </c>
      <c r="G11" s="34">
        <f>F11/C11</f>
      </c>
      <c r="H11" s="16">
        <f>IMPORTRANGE("https://bytedance.larkoffice.com/wiki/UcRRwKhTEi6by2ks5vNcjGdtnb9?from=from_copylink", "端状态进展汇总!I9")</f>
      </c>
      <c r="I11" s="34">
        <f>H11/C11</f>
      </c>
      <c r="J11" s="16">
        <f>IMPORTRANGE("https://bytedance.larkoffice.com/wiki/UcRRwKhTEi6by2ks5vNcjGdtnb9?from=from_copylink", "端状态进展汇总!K9")</f>
      </c>
      <c r="K11" s="16">
        <f>IMPORTRANGE("https://bytedance.larkoffice.com/wiki/UcRRwKhTEi6by2ks5vNcjGdtnb9?from=from_copylink", "端状态进展汇总!M9")</f>
      </c>
      <c r="L11" s="30">
        <f>IMPORTRANGE("https://bytedance.larkoffice.com/wiki/UcRRwKhTEi6by2ks5vNcjGdtnb9?from=from_copylink", "端状态进展汇总!N9")</f>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8.285714285714286" style="1" customWidth="1"/>
    <col min="2" max="2" width="13.428571428571429" style="1" customWidth="1"/>
    <col min="3" max="3" width="36" style="1" customWidth="1"/>
    <col min="4" max="5" width="8.571428571428571" style="1" customWidth="1"/>
    <col min="6" max="6" width="12.142857142857142" style="1" customWidth="1"/>
    <col min="7" max="7" width="10" style="1" customWidth="1"/>
    <col min="8" max="8" width="9" style="1" customWidth="1"/>
    <col min="9" max="10" width="12.285714285714286" style="1" customWidth="1"/>
    <col min="11" max="11" width="49.29751234377583" style="1" customWidth="1"/>
    <col min="12" max="13" width="15.571428571428571" style="1" customWidth="1"/>
    <col min="14" max="14" width="39.57142857142857" style="1" customWidth="1"/>
    <col min="15" max="15" width="19.285714285714285" style="1" customWidth="1"/>
    <col min="16" max="16" width="12.637935109424038" style="1" customWidth="1"/>
    <col min="17" max="17" width="16.857142857142858" style="1" customWidth="1"/>
    <col min="18" max="18" width="15.735894097222854" style="1" customWidth="1"/>
    <col min="19" max="19" width="10.97398933531807" style="1" customWidth="1"/>
    <col min="20" max="20" width="15.510204081653358" style="1" customWidth="1"/>
    <col min="21" max="21" width="19.76764012896888" style="1" customWidth="1"/>
    <col min="22" max="22" width="18.446399249354727" style="1" customWidth="1"/>
    <col min="23" max="23" width="10.221198156682021" style="1" customWidth="1"/>
    <col min="24" max="24" width="13.285714285714286" style="1" customWidth="1"/>
    <col min="25" max="25" width="22.370739430061867" style="1" customWidth="1"/>
    <col min="26" max="26" width="19.714285714285715" style="1" customWidth="1"/>
    <col min="27" max="27" width="19.75000000000026" style="1" customWidth="1"/>
    <col min="28" max="28" width="25.285714285714285" style="1" customWidth="1"/>
    <col min="29" max="29" width="20.116832509916094" style="1" customWidth="1"/>
    <col min="30" max="30" width="21.341322305834442" style="1" customWidth="1"/>
    <col min="31" max="31" width="24.896103195025198" style="1" customWidth="1"/>
    <col min="32" max="32" width="12.05194735086947" style="1" customWidth="1"/>
    <col min="33" max="33" width="12.142857142857142" style="1" customWidth="1"/>
    <col min="34" max="34" width="11.922077922078383" style="1" customWidth="1"/>
    <col min="35" max="37" width="24.571428571428573" style="1" customWidth="1"/>
    <col min="38" max="38" width="24.653061113273775" style="1" customWidth="1"/>
    <col min="39" max="39" width="30.812030075190314" style="1" customWidth="1"/>
    <col min="40" max="41" width="15" style="1" customWidth="1"/>
    <col min="42" max="42" width="8.285714285714286" style="1" customWidth="1"/>
    <col min="43" max="43" width="15" style="1" customWidth="1"/>
    <col min="44" max="44" width="46.785714285714285" style="1" customWidth="1"/>
    <col min="45" max="48" width="15" style="1" customWidth="1"/>
    <col min="49" max="49" width="48.750003405979704" style="1" customWidth="1"/>
  </cols>
  <sheetData>
    <row r="1" spans="1:48">
      <c r="A1" s="9" t="str">
        <v>模块</v>
      </c>
      <c r="B1" s="9" t="str">
        <v>功能名称</v>
      </c>
      <c r="C1" s="9" t="inlineStr">
        <is>
          <r>
            <t>状态</t>
          </r>
          <r>
            <t>@方令平</t>
          </r>
        </is>
      </c>
      <c r="D1" s="9" t="inlineStr">
        <is>
          <r>
            <t>API总数</t>
          </r>
          <r>
            <t xml:space="preserve">
</t>
          </r>
          <r>
            <t>@方令平</t>
          </r>
        </is>
      </c>
      <c r="E1" s="9" t="str">
        <v>本车使用API数</v>
      </c>
      <c r="F1" s="36" t="inlineStr">
        <is>
          <r>
            <t>[API]支持比例</t>
          </r>
          <r>
            <t>@周怀君</t>
          </r>
        </is>
      </c>
      <c r="G1" s="36" t="inlineStr">
        <is>
          <r>
            <t>[API]已支持</t>
          </r>
          <r>
            <t>@周怀君</t>
          </r>
        </is>
      </c>
      <c r="H1" s="36" t="inlineStr">
        <is>
          <r>
            <t>[API]待支持</t>
          </r>
          <r>
            <t>@周怀君</t>
          </r>
        </is>
      </c>
      <c r="I1" s="36" t="inlineStr">
        <is>
          <r>
            <t>字节识别接口可用数量</t>
          </r>
          <r>
            <t>@汪帅</t>
          </r>
        </is>
      </c>
      <c r="J1" s="36" t="inlineStr">
        <is>
          <r>
            <t>上汽API可用率</t>
          </r>
          <r>
            <t>@汪帅</t>
          </r>
        </is>
      </c>
      <c r="K1" s="36" t="inlineStr">
        <is>
          <r>
            <rPr>
              <b/>
              <sz val="10"/>
              <rFont val="Arial"/>
            </rPr>
            <t>[API]已提供的API状态备注</t>
          </r>
          <r>
            <rPr>
              <b/>
              <sz val="10"/>
              <rFont val="Arial"/>
            </rPr>
            <t>@汪帅</t>
          </r>
          <r>
            <rPr>
              <b/>
              <sz val="10"/>
              <rFont val="Arial"/>
            </rPr>
            <t xml:space="preserve">
</t>
          </r>
          <r>
            <rPr>
              <sz val="10"/>
              <rFont val="Arial"/>
            </rPr>
            <t>详见各sheet页D列</t>
          </r>
        </is>
      </c>
      <c r="L1" s="36" t="str">
        <v>负责人</v>
      </c>
      <c r="M1" s="36" t="str">
        <v>【API】解决计划</v>
      </c>
      <c r="N1" s="36" t="str">
        <v>[API]解决计划详情</v>
      </c>
      <c r="O1" s="37" t="inlineStr">
        <is>
          <r>
            <t xml:space="preserve">[实车]支持状态
</t>
          </r>
          <r>
            <t>按HMI点检</t>
          </r>
          <r>
            <t>@方令平</t>
          </r>
          <r>
            <t xml:space="preserve">
</t>
          </r>
          <r>
            <t>（百分比）</t>
          </r>
        </is>
      </c>
      <c r="P1" s="37" t="str">
        <v>[实车]支持状态
（已支持）</v>
      </c>
      <c r="Q1" s="37" t="str">
        <v>[实车]支持状态
（待支持）</v>
      </c>
      <c r="R1" s="37" t="str">
        <v>[实车]支持状态备注</v>
      </c>
      <c r="S1" s="37" t="str">
        <v>[实车]支持计划</v>
      </c>
      <c r="T1" s="10" t="inlineStr">
        <is>
          <r>
            <t>已对接API数量</t>
          </r>
          <r>
            <t>@汪帅</t>
          </r>
        </is>
      </c>
      <c r="U1" s="10" t="inlineStr">
        <is>
          <r>
            <rPr>
              <b/>
              <sz val="10"/>
              <rFont val="Arial"/>
            </rPr>
            <t>字节对接进度</t>
          </r>
          <r>
            <rPr>
              <b/>
              <sz val="10"/>
              <rFont val="Arial"/>
            </rPr>
            <t>@汪帅</t>
          </r>
          <r>
            <rPr>
              <b/>
              <sz val="10"/>
              <rFont val="Arial"/>
            </rPr>
            <t xml:space="preserve">
</t>
          </r>
          <r>
            <rPr>
              <b/>
              <sz val="10"/>
              <color rgb="FFF54A45"/>
              <rFont val="Arial"/>
            </rPr>
            <t xml:space="preserve">（按功能总条数）
</t>
          </r>
          <r>
            <rPr>
              <b/>
              <sz val="10"/>
              <rFont val="Arial"/>
            </rPr>
            <t>（百分比）</t>
          </r>
        </is>
      </c>
      <c r="V1" s="10" t="str">
        <v>字节对接进度
（按总数量）
（待完成）</v>
      </c>
      <c r="W1" s="10" t="str">
        <v>优先级</v>
      </c>
      <c r="X1" s="10" t="str">
        <v>PRD进展</v>
      </c>
      <c r="Y1" s="10" t="str">
        <v>完成计划</v>
      </c>
      <c r="Z1" s="10" t="str">
        <v>主开发
（service逻辑+上汽原子能力）</v>
      </c>
      <c r="AA1" s="10" t="str">
        <v>备开发
（单纯的其他项目原子能力）</v>
      </c>
      <c r="AB1" s="10" t="inlineStr">
        <is>
          <r>
            <rPr>
              <b/>
              <sz val="10"/>
              <rFont val="Arial"/>
            </rPr>
            <t>测试进度（</t>
          </r>
          <r>
            <rPr>
              <b/>
              <sz val="10"/>
              <color rgb="FFF54A45"/>
              <rFont val="Arial"/>
            </rPr>
            <t>已测试case数/测试case总数</t>
          </r>
          <r>
            <rPr>
              <b/>
              <sz val="10"/>
              <rFont val="Arial"/>
            </rPr>
            <t xml:space="preserve">）
</t>
          </r>
          <r>
            <rPr>
              <b/>
              <sz val="10"/>
              <color rgb="FFF54A45"/>
              <rFont val="Arial"/>
            </rPr>
            <t>@赵晓健</t>
          </r>
          <r>
            <rPr>
              <b/>
              <sz val="10"/>
              <color rgb="FFF54A45"/>
              <rFont val="Arial"/>
            </rPr>
            <t xml:space="preserve">
</t>
          </r>
          <r>
            <rPr>
              <b/>
              <sz val="10"/>
              <rFont val="Arial"/>
            </rPr>
            <t>（百分比）</t>
          </r>
        </is>
      </c>
      <c r="AC1" s="38" t="str">
        <v>测试进度（按[实车】支持状态）
（已测试）</v>
      </c>
      <c r="AD1" s="38" t="str">
        <v>测试进度（按总数量）
（待测试）</v>
      </c>
      <c r="AE1" s="10" t="inlineStr">
        <is>
          <r>
            <rPr>
              <b/>
              <sz val="10"/>
              <rFont val="Arial"/>
            </rPr>
            <t>测试通过率</t>
          </r>
          <r>
            <rPr>
              <b/>
              <sz val="10"/>
              <color rgb="FFF54A45"/>
              <rFont val="Arial"/>
            </rPr>
            <t xml:space="preserve">（测试通过case数/已测试case数）
</t>
          </r>
          <r>
            <rPr>
              <b/>
              <sz val="10"/>
              <rFont val="Arial"/>
            </rPr>
            <t>（百分比）</t>
          </r>
        </is>
      </c>
      <c r="AF1" s="39" t="str">
        <v>测试通过case数</v>
      </c>
      <c r="AG1" s="40" t="str">
        <v>已测试case数</v>
      </c>
      <c r="AH1" s="41" t="str">
        <v>测试case总数</v>
      </c>
      <c r="AI1" s="10" t="str">
        <v>已测试通过case数
（已通过）</v>
      </c>
      <c r="AJ1" s="42" t="str">
        <v>尚未通过case（按总数）</v>
      </c>
      <c r="AK1" s="43" t="str">
        <v>尚未通过case
（按已测试）</v>
      </c>
      <c r="AL1" s="40" t="inlineStr">
        <is>
          <r>
            <rPr>
              <b/>
              <sz val="10"/>
              <rFont val="Arial"/>
            </rPr>
            <t xml:space="preserve">测试负责方
</t>
          </r>
          <r>
            <rPr>
              <b/>
              <sz val="10"/>
              <color rgb="FFF54A45"/>
              <rFont val="Arial"/>
            </rPr>
            <t>前提：双方拉齐测试用例</t>
          </r>
        </is>
      </c>
      <c r="AM1" s="44" t="str">
        <v>Bug链接</v>
      </c>
      <c r="AP1" s="9" t="str">
        <v>模块</v>
      </c>
      <c r="AQ1" s="2" t="str">
        <v>总case数-api数</v>
      </c>
      <c r="AR1" s="45" t="str">
        <v>需确认项</v>
      </c>
      <c r="AU1" s="2" t="str">
        <v>双方联合走查计划</v>
      </c>
      <c r="AV1" s="2" t="str">
        <v>顺序</v>
      </c>
    </row>
    <row r="2" spans="1:48">
      <c r="A2" s="46" t="str">
        <v>车控</v>
      </c>
      <c r="B2" s="12" t="str">
        <v>车窗</v>
      </c>
      <c r="C2" s="12" t="str">
        <v>已完成</v>
      </c>
      <c r="D2" s="47">
        <v>26</v>
      </c>
      <c r="E2" s="47">
        <v>26</v>
      </c>
      <c r="F2" s="48">
        <f>G2/E2</f>
      </c>
      <c r="G2" s="49">
        <v>26</v>
      </c>
      <c r="H2" s="50">
        <f>E2-G2</f>
      </c>
      <c r="I2" s="19">
        <v>26</v>
      </c>
      <c r="J2" s="48">
        <f>I2/E2</f>
      </c>
      <c r="K2" s="51" t="inlineStr">
        <is>
          <r>
            <rPr>
              <strike/>
              <sz val="10"/>
              <color rgb="FF1F2329"/>
              <rFont val="Arial"/>
            </rPr>
            <t xml:space="preserve">打开/关闭车窗API（涉及百分比）待上汽排查定位。
4.27 等待fc,逻辑完成待上车模拟自测
5.06  雨天自动锁窗广播自测成功；实车FC没有下发；没有豆包话术编号
0515.等待产品添加车窗锁端状态
0601 “后排车窗锁”端状态的询问有问题，已转服务端，待服务端更新剩余bug在服务端余昭志，余明明在推
0603 余明明：需要服务端增加对应的端状态，已联系吴仁杰，暂未反馈预计完成时间
0608 余明明在内部群追吴仁杰，等反馈
</t>
          </r>
          <r>
            <rPr>
              <sz val="10"/>
              <color rgb="FFF54A45"/>
              <rFont val="Arial"/>
            </rPr>
            <t>0703/0710 3个❌</t>
          </r>
        </is>
      </c>
      <c r="N2" s="52" t="inlineStr">
        <is>
          <r>
            <t xml:space="preserve">计划软件3.0.9版本在03.13释放。
</t>
          </r>
          <r>
            <t>@刘敬思</t>
          </r>
          <r>
            <t>待刷新后自测验证。</t>
          </r>
        </is>
      </c>
      <c r="O2" s="48">
        <f>P2/E2</f>
      </c>
      <c r="P2" s="28">
        <v>26</v>
      </c>
      <c r="T2" s="19">
        <v>26</v>
      </c>
      <c r="U2" s="48">
        <f>T2/E2</f>
      </c>
      <c r="V2" s="11">
        <f>E2-T2</f>
      </c>
      <c r="W2" s="11" t="str">
        <v> P0</v>
      </c>
      <c r="X2" s="53" t="str">
        <v>✅</v>
      </c>
      <c r="Y2" s="53" t="str">
        <v>01.30
4.30 广播自测成功；等待豆包话术编号</v>
      </c>
      <c r="Z2" s="11" t="inlineStr">
        <is>
          <r>
            <t>@余明明</t>
          </r>
        </is>
      </c>
      <c r="AA2" s="11" t="inlineStr">
        <is>
          <r>
            <t>@谢一鸣</t>
          </r>
        </is>
      </c>
      <c r="AB2" s="54">
        <f>AG2/AH2</f>
      </c>
      <c r="AC2" s="55">
        <f>AG2</f>
      </c>
      <c r="AD2" s="55">
        <f>E2-AC2</f>
      </c>
      <c r="AE2" s="54">
        <f>AF2/AG2</f>
      </c>
      <c r="AF2" s="16">
        <f>COUNTIFS('车控'!Q2:Q27,"✅")</f>
      </c>
      <c r="AG2" s="16">
        <f>COUNTIFS('车控'!Q2:Q27,"✅")+COUNTIFS('车控'!Q2:Q27,"❌")+COUNTIFS('车控'!Q2:Q27,"Block")</f>
      </c>
      <c r="AH2" s="56">
        <v>26</v>
      </c>
      <c r="AI2" s="57">
        <f>AF2</f>
      </c>
      <c r="AJ2" s="58">
        <f>AH2-AF2</f>
      </c>
      <c r="AK2" s="58">
        <f>AG2-AF2</f>
      </c>
      <c r="AL2" s="36" t="str">
        <v>字节-刘晓帝
FAIL</v>
      </c>
      <c r="AM2" s="59" t="str">
        <v>https://bytedance.larkoffice.com/record/Vb0Gr6YEsepy2KcSTSLc75qLnEn
https://bytedance.larkoffice.com/record/MN77rcf6gefUwJctnRccuF3Sn5T
https://bytedance.larkoffice.com/record/AzY6rotxkePY81crMwrcvcyvnbh
https://bytedance.larkoffice.com/record/VB44rLlpKeIb2Pcivepc41KynKb
https://bytedance.larkoffice.com/record/FMNkrsBeYegmewctbwccoPlin6g
https://bytedance.larkoffice.com/record/KXhfr89CLeRIfvcnTpxcRWS8n7e
https://bytedance.larkoffice.com/record/NE0crAOPheNvrsc2OFacZ5hOnoh
https://bytedance.larkoffice.com/record/UqyPriTOceQPk2cK286cUiD1niC</v>
      </c>
      <c r="AN2" s="2" t="str">
        <v>雨天自动关窗的2个控制无效</v>
      </c>
      <c r="AP2" s="11" t="str">
        <v>车控</v>
      </c>
      <c r="AQ2" s="2">
        <f>AH2-E2</f>
      </c>
      <c r="AU2" s="2" t="str">
        <v>周二</v>
      </c>
      <c r="AV2" s="4">
        <v>7</v>
      </c>
    </row>
    <row r="3" spans="1:48">
      <c r="A3" s="60"/>
      <c r="B3" s="12" t="str">
        <v>空调</v>
      </c>
      <c r="C3" s="12" t="str">
        <v>【火山】待问题修复</v>
      </c>
      <c r="D3" s="47">
        <v>63</v>
      </c>
      <c r="E3" s="47">
        <v>63</v>
      </c>
      <c r="F3" s="48">
        <f>G3/E3</f>
      </c>
      <c r="G3" s="47">
        <v>63</v>
      </c>
      <c r="H3" s="1">
        <v>0</v>
      </c>
      <c r="I3" s="19">
        <v>63</v>
      </c>
      <c r="J3" s="48">
        <f>I3/E3</f>
      </c>
      <c r="K3" s="61" t="str">
        <v>①查询车内空气质量，不支持；
②查询车外温度，一直是-40°；
③控制空调经济模式，不支持；
④控制智能空调，不支持；
⑤控制空气自干燥除味功能，不支持；
⑥控制后排屏空调锁定，不支持；
⑦控制智能除雾，不支持。
04.02：
实车空调支持最大值HI最小值LOW，目前温度调节数值范围是16～30，HI和LOW是否有单独的接口  @guixiang
ZoneAPI不支持的，详见车控sheet页。
04.15：@左晨&amp;@赵明珠，对齐标灰或删除线的控制内容的支持方式。
04.20：不支持的部分tts兜底
0528 怀君给了最下面6个（打开 / 关闭智能空调 、打开 / 关闭智能空调、打开/关闭新风、打开/关闭智能送风、打开/关闭智能温区、打开/关闭智能新风）待开发确认api是否可用 @赵明珠：接口已提供，实车目前不支持测试。/ @方令平 解决实车阻碍
0602 令平反馈找上汽陈科解决，待整理所有实车不支持问题再飞书群找陈科
0603 赵明珠：怀君说p基线才有（p基线预计本周内上），开发本周完成
0622 真车排队
0622:实车未找到新风送风功能，HML上按钮回弹 ，智能新风、温区按钮回弹
0625:按钮回弹问题已反馈桂祥，新风、送风功能已找到
0629、0701 6个待明珠验证。
0703 6个待明珠验证。6个0625❌ 
0706:新风、智能送风、智能温区、智能新风、智能空调。FC下发错误已转给云端解决
0708 fc下发错误已提meego bug给泽民/泽民反馈预计今天动态示例解决，已通知明珠0709发版后验一下 
0709: FC自测验证通过，智能送风HMI按钮回弹：http://jira.z-onesoftware.com:8080/browse/DNA-3017</v>
      </c>
      <c r="N3" s="51" t="inlineStr">
        <is>
          <r>
            <t xml:space="preserve">1.未收到产品需求；
</t>
          </r>
          <r>
            <t xml:space="preserve">2.API就绪，车辆传感器待配置；
</t>
          </r>
          <r>
            <t xml:space="preserve">3.未收到产品需求；
4.未收到产品需求；
5.</t>
          </r>
          <r>
            <t xml:space="preserve">PPV版本已支持，待提供API；
</t>
          </r>
          <r>
            <t xml:space="preserve">6.未收到产品需求；
7.</t>
          </r>
          <r>
            <t xml:space="preserve">PPV版本已支持，待提供API；
</t>
          </r>
          <r>
            <t xml:space="preserve">补充API见最后一列。
剩余是AI智能空调，P阶段新增需求，排期P基线
</t>
          </r>
          <r>
            <t xml:space="preserve">5/15:P基线SOA信号延期释放，推迟到5/21提供给字节
</t>
          </r>
          <r>
            <t>0527: 0526提供的api，预计开发完成；</t>
          </r>
          <r>
            <t>@赵明珠</t>
          </r>
        </is>
      </c>
      <c r="O3" s="62">
        <f>P3/E3</f>
      </c>
      <c r="P3" s="28">
        <v>63</v>
      </c>
      <c r="Q3" s="16">
        <f>E3-P3</f>
      </c>
      <c r="T3" s="19">
        <v>63</v>
      </c>
      <c r="U3" s="48">
        <f>T3/E3</f>
      </c>
      <c r="V3" s="11">
        <f>E3-T3</f>
      </c>
      <c r="W3" s="11" t="str">
        <v> P0</v>
      </c>
      <c r="X3" s="53" t="str">
        <v>✅</v>
      </c>
      <c r="Y3" s="53" t="str">
        <v>06.05</v>
      </c>
      <c r="Z3" s="11" t="inlineStr">
        <is>
          <r>
            <t>@赵明珠</t>
          </r>
        </is>
      </c>
      <c r="AA3" s="11" t="inlineStr">
        <is>
          <r>
            <t>@尹泽陆</t>
          </r>
          <r>
            <t xml:space="preserve">
</t>
          </r>
          <r>
            <t>@康楷朋</t>
          </r>
        </is>
      </c>
      <c r="AB3" s="54">
        <f>AG3/AH3</f>
      </c>
      <c r="AC3" s="55">
        <f>AG3</f>
      </c>
      <c r="AD3" s="55">
        <f>E3-AC3</f>
      </c>
      <c r="AE3" s="54">
        <f>AF3/AG3</f>
      </c>
      <c r="AF3" s="16">
        <f>COUNTIFS('车控'!Q28:Q92,"✅")</f>
      </c>
      <c r="AG3" s="63">
        <f>COUNTIFS('车控'!Q28:Q92,"✅")+COUNTIFS('车控'!Q28:Q92,"❌")+COUNTIFS('车控'!Q28:Q92,"Block")</f>
      </c>
      <c r="AH3" s="28">
        <v>63</v>
      </c>
      <c r="AI3" s="57">
        <f>AF3</f>
      </c>
      <c r="AJ3" s="58">
        <f>AH3-AF3</f>
      </c>
      <c r="AK3" s="58">
        <f>AG3-AF3</f>
      </c>
      <c r="AL3" s="64" t="str">
        <v>字节-郑永超
FAIL</v>
      </c>
      <c r="AM3" s="59" t="str">
        <v>https://bytedance.larkoffice.com/record/KnFHrPKMpeoDRAcRH8hcBqxmn1d
https://bytedance.larkoffice.com/record/Qh7hrPWWHeDAnycQXOIcrLO1nDe
https://bytedance.larkoffice.com/record/OM5UrIwISeUlOpcv9xyceywKnWg
https://bytedance.larkoffice.com/record/Uo2yrneFcel0qIcSomxceYHPnQe</v>
      </c>
      <c r="AP3" s="11" t="str">
        <v>车控</v>
      </c>
      <c r="AQ3" s="2">
        <f>AH3-E3</f>
      </c>
      <c r="AR3" s="65" t="inlineStr">
        <is>
          <r>
            <t xml:space="preserve">
</t>
          </r>
          <r>
            <t>@赵明珠</t>
          </r>
          <r>
            <t xml:space="preserve">
</t>
          </r>
          <r>
            <t>上汽新接口确认结果，确认协议满足哪几个api、预计开发接api完成时间？以及bug修复进度？-</t>
          </r>
        </is>
      </c>
      <c r="AS3" s="65" t="str">
        <v>接口已提供，实车目前不支持测试</v>
      </c>
      <c r="AU3" s="2" t="str">
        <v>周二</v>
      </c>
      <c r="AV3" s="4">
        <v>2</v>
      </c>
    </row>
    <row r="4" spans="1:44">
      <c r="A4" s="60"/>
      <c r="B4" s="13" t="str">
        <v>电动出风口</v>
      </c>
      <c r="C4" s="12" t="str">
        <v>已完成</v>
      </c>
      <c r="D4" s="66">
        <v>17</v>
      </c>
      <c r="E4" s="66">
        <v>17</v>
      </c>
      <c r="F4" s="48">
        <f>G4/E4</f>
      </c>
      <c r="G4" s="49">
        <v>17</v>
      </c>
      <c r="H4" s="50">
        <f>E4-G4</f>
      </c>
      <c r="I4" s="19">
        <v>17</v>
      </c>
      <c r="J4" s="48">
        <f>I4/E4</f>
      </c>
      <c r="K4" s="67" t="inlineStr">
        <is>
          <r>
            <rPr>
              <strike/>
              <sz val="10"/>
              <rFont val="Arial"/>
            </rPr>
            <t xml:space="preserve">车控SDK API就绪并已完成对接。
</t>
          </r>
          <r>
            <rPr>
              <strike/>
              <sz val="10"/>
              <color rgb="FF1F2329"/>
              <rFont val="Arial"/>
            </rPr>
            <t>04.15：</t>
          </r>
          <r>
            <rPr>
              <strike/>
              <sz val="10"/>
              <color rgb="FF1F2329"/>
              <rFont val="Arial"/>
            </rPr>
            <t>@左晨</t>
          </r>
          <r>
            <rPr>
              <strike/>
              <sz val="10"/>
              <color rgb="FF1F2329"/>
              <rFont val="Arial"/>
            </rPr>
            <t>&amp;</t>
          </r>
          <r>
            <rPr>
              <strike/>
              <sz val="10"/>
              <color rgb="FF1F2329"/>
              <rFont val="Arial"/>
            </rPr>
            <t>@赵明珠</t>
          </r>
          <r>
            <rPr>
              <strike/>
              <sz val="10"/>
              <color rgb="FF1F2329"/>
              <rFont val="Arial"/>
            </rPr>
            <t xml:space="preserve">，对齐标灰或删除线的控制内容的支持方式。
04.20：电动出风口今天收尾-&gt; 已处理
0622 研发名下无bug
0624 1个api（关闭前排出风口）测试❌
</t>
          </r>
          <r>
            <rPr>
              <sz val="10"/>
              <color rgb="FFF54A45"/>
              <rFont val="Arial"/>
            </rPr>
            <t>0703/0710 1个❌</t>
          </r>
        </is>
      </c>
      <c r="O4" s="48">
        <f>P4/E4</f>
      </c>
      <c r="P4" s="28">
        <v>17</v>
      </c>
      <c r="Q4" s="16">
        <f>E4-P4</f>
      </c>
      <c r="T4" s="19">
        <v>17</v>
      </c>
      <c r="U4" s="48">
        <f>T4/E4</f>
      </c>
      <c r="V4" s="11">
        <f>E4-T4</f>
      </c>
      <c r="W4" s="11" t="str">
        <v> P0</v>
      </c>
      <c r="X4" s="53" t="str">
        <v>✅</v>
      </c>
      <c r="Y4" s="53" t="str">
        <v>01.30</v>
      </c>
      <c r="Z4" s="11" t="inlineStr">
        <is>
          <r>
            <t>@赵明珠</t>
          </r>
        </is>
      </c>
      <c r="AA4" s="68" t="inlineStr">
        <is>
          <r>
            <t>@康楷朋</t>
          </r>
        </is>
      </c>
      <c r="AB4" s="54">
        <f>AG4/AH4</f>
      </c>
      <c r="AC4" s="55">
        <f>AG4</f>
      </c>
      <c r="AD4" s="55">
        <f>E4-AC4</f>
      </c>
      <c r="AE4" s="54">
        <f>AF4/AG4</f>
      </c>
      <c r="AF4" s="16">
        <f>COUNTIFS('车控'!Q93:Q109,"✅")</f>
      </c>
      <c r="AG4" s="63">
        <f>COUNTIFS('车控'!Q93:Q109,"✅")+COUNTIFS('车控'!Q93:Q109,"❌")+COUNTIFS('车控'!Q93:Q109,"Block")</f>
      </c>
      <c r="AH4" s="56">
        <v>17</v>
      </c>
      <c r="AI4" s="57">
        <f>AF4</f>
      </c>
      <c r="AJ4" s="58">
        <f>AH4-AF4</f>
      </c>
      <c r="AK4" s="58">
        <f>AG4-AF4</f>
      </c>
      <c r="AL4" s="36" t="str">
        <v>字节-刘晓帝
FAIL</v>
      </c>
      <c r="AM4" s="59" t="str">
        <v>https://bytedance.larkoffice.com/record/VsbRraKTyegy8YcLdjZcp1abnob
https://bytedance.larkoffice.com/record/VEiDr6L8jezHKJcZ5TmceZvXnSc
https://bytedance.larkoffice.com/record/Ij7zr88xreqmYOcIkTqc0sm9nph
https://bytedance.larkoffice.com/record/UwCurdeOLeChIHcMZuqczaOrnmf
https://bytedance.larkoffice.com/record/VXwrr4JmWehHtJcf0tNczlcynne
https://bytedance.larkoffice.com/record/DVFSrabxDeQWbwcoq2rcaGchnfh
https://bytedance.larkoffice.com/record/Clx5r1gvaeQpddcPCoVc7zq1nKb
https://bytedance.larkoffice.com/record/CaiNreLVueitpDc6sjGcM4lknkc</v>
      </c>
      <c r="AP4" s="11" t="str">
        <v>车控</v>
      </c>
      <c r="AQ4" s="2">
        <f>AH4-E4</f>
      </c>
      <c r="AR4" s="65" t="inlineStr">
        <is>
          <r>
            <t xml:space="preserve">
</t>
          </r>
          <r>
            <t>@刘晓帝</t>
          </r>
          <r>
            <t>本车无此功能和本车有此功能但走兜底，是否需要测？进度表里总case是13个，模块表里4个删除线api都划掉了，这4个是否已测且通过？-已完成</t>
          </r>
        </is>
      </c>
    </row>
    <row r="5" spans="1:48">
      <c r="A5" s="60"/>
      <c r="B5" s="14" t="str">
        <v>座椅</v>
      </c>
      <c r="C5" s="12" t="str">
        <v>【火山】待问题修复</v>
      </c>
      <c r="D5" s="66">
        <v>39</v>
      </c>
      <c r="E5" s="66">
        <v>39</v>
      </c>
      <c r="F5" s="48">
        <f>G5/E5</f>
      </c>
      <c r="G5" s="49">
        <v>39</v>
      </c>
      <c r="H5" s="50">
        <f>E5-G5</f>
      </c>
      <c r="I5" s="19">
        <v>39</v>
      </c>
      <c r="J5" s="48">
        <f>I5/E5</f>
      </c>
      <c r="K5" s="69" t="inlineStr">
        <is>
          <r>
            <rPr>
              <strike/>
              <sz val="10"/>
              <color rgb="FF1F2329"/>
              <rFont val="Arial"/>
            </rPr>
            <t xml:space="preserve">1. 打开/关闭座椅页面接口仍然缺失；
2.座椅/座垫/腰托/腿托的位置调节，参数不太明确，参数3的SeatConstants.SeatAdjustStatus没有太看明白，如果我想要调节到30%这种如何转换呢，就是没有看到具体的位置的值或者档位。
   /**
     * 座椅位置设置(百分比设置)
     *  PermissionRequest(permissions = { zone.permission.vehicle.SEAT_SET })
     * @param seatType 设置值 {@link SeatType}
     * @param direction 设置值 {@link SeatDirection}
     * @param position 设置值 0～255
     * @return resultCode 返回结果码 {@link ResultCode}
     */
    int setSeatAdjustmentPosition(@SeatType int  seatType, @SeatDirection int direction, int position);
SEAT_ADJUSTMENT_POSITION FLAG
3.SDK内缺方向盘加热控制的API
座椅腰托调节ZoneAPI不支持。
04.15：</t>
          </r>
          <r>
            <rPr>
              <strike/>
              <sz val="10"/>
              <color rgb="FF1F2329"/>
              <rFont val="Arial"/>
            </rPr>
            <t>@左晨</t>
          </r>
          <r>
            <rPr>
              <strike/>
              <sz val="10"/>
              <color rgb="FF1F2329"/>
              <rFont val="Arial"/>
            </rPr>
            <t xml:space="preserve">产品确认腰托支持内容。-》答复：腰托不支持极限值调节，可支持上/下/前/后调节。
04.20：确定最终腰托量产的一个方案
4.22
上汽~ 腰托极值开发完毕，返回正常实际没执行，抓了日志待上汽排查；
字节~腿拖FC云端没下发，请客户端和服务端排查
05.19 
请上汽明确腰托实际未执行的bug状态  负责人：上汽邵凯
上汽bug单dna-674
0601 邵凯反馈：整车基线刷成p基线的就可以正常了
0622 真车排队
0624 1个api（腰托）开发“空”，5个api测试❌
0703 7个0625❌，1个0703刚提测❌
0706 7个0625❌
</t>
          </r>
          <r>
            <rPr>
              <sz val="10"/>
              <color rgb="FFF54A45"/>
              <rFont val="Arial"/>
            </rPr>
            <t>0710 1个❌</t>
          </r>
        </is>
      </c>
      <c r="N5" s="70" t="inlineStr">
        <is>
          <r>
            <t xml:space="preserve">1.已提供打开指令。private val VOICE_CLOSE_SEAT_SCENE = "com.zone.hmi.hvac.service.voice_close_seat_scene"
</t>
          </r>
          <r>
            <t xml:space="preserve">2.PP版本提供具体调节值的API：
</t>
          </r>
          <r>
            <t xml:space="preserve">需要在PP基线4.0.3版本进行验证；接口sdk和服务已提供（车控的）
</t>
          </r>
          <r>
            <t>3.车控表格中已提供API说明，但当前版本SDK没有，</t>
          </r>
          <r>
            <t>@陈果果</t>
          </r>
          <r>
            <t xml:space="preserve">需找杨方舟更新。
</t>
          </r>
          <r>
            <t xml:space="preserve">
</t>
          </r>
          <r>
            <t xml:space="preserve">03.06：
</t>
          </r>
          <r>
            <t>D列有未识别API状态的内容，请</t>
          </r>
          <r>
            <t>@周怀君</t>
          </r>
          <r>
            <t xml:space="preserve">协调确认更新；
</t>
          </r>
          <r>
            <t xml:space="preserve">03.10：语音模块负责
</t>
          </r>
        </is>
      </c>
      <c r="O5" s="48">
        <f>P5/E5</f>
      </c>
      <c r="P5" s="71">
        <v>39</v>
      </c>
      <c r="Q5" s="16">
        <f>E5-P5</f>
      </c>
      <c r="R5" s="51" t="str">
        <v>实车不支持座椅电控</v>
      </c>
      <c r="S5" s="72" t="str">
        <v>4月初，更新IS4PR PPV1车辆。</v>
      </c>
      <c r="T5" s="71">
        <v>39</v>
      </c>
      <c r="U5" s="48">
        <f>T5/E5</f>
      </c>
      <c r="V5" s="11">
        <f>E5-T5</f>
      </c>
      <c r="W5" s="11" t="str">
        <v> P0</v>
      </c>
      <c r="X5" s="53" t="str">
        <v>✅</v>
      </c>
      <c r="Y5" s="73" t="str">
        <v>待问题修复</v>
      </c>
      <c r="Z5" s="11" t="inlineStr">
        <is>
          <r>
            <t>@陈果果</t>
          </r>
        </is>
      </c>
      <c r="AA5" s="11" t="inlineStr">
        <is>
          <r>
            <t>@杨忠谕</t>
          </r>
        </is>
      </c>
      <c r="AB5" s="54">
        <f>AG5/AH5</f>
      </c>
      <c r="AC5" s="55">
        <f>AG5</f>
      </c>
      <c r="AD5" s="55">
        <f>E5-AC5</f>
      </c>
      <c r="AE5" s="54">
        <f>AF5/AG5</f>
      </c>
      <c r="AF5" s="16">
        <f>COUNTIFS('车控'!Q110:Q148,"✅")</f>
      </c>
      <c r="AG5" s="63">
        <f>COUNTIFS('车控'!Q110:Q148,"✅")+COUNTIFS('车控'!Q110:Q148,"❌")+COUNTIFS('车控'!Q110:Q148,"Block")</f>
      </c>
      <c r="AH5" s="28">
        <v>39</v>
      </c>
      <c r="AI5" s="57">
        <f>AF5</f>
      </c>
      <c r="AJ5" s="58">
        <f>AH5-AF5</f>
      </c>
      <c r="AK5" s="58">
        <f>AG5-AF5</f>
      </c>
      <c r="AL5" s="74" t="str">
        <v>上汽
FAIL
字节-王东旭 FAIL</v>
      </c>
      <c r="AM5" s="59" t="str">
        <v>https://bytedance.larkoffice.com/record/KkR7rEx1ceYRFscJAcLcI6UqnNe
https://bytedance.larkoffice.com/record/JxKbrjqiLeeTzlcZj5Xcu0hRnCs
https://bytedance.larkoffice.com/record/FUSirxe3Bey3pVcsQPycCAvmnfg
https://bytedance.larkoffice.com/record/FdIgrftsUeqKqNc2v1UcCDoWnFb
https://bytedance.larkoffice.com/record/LVDBr985Ce8SlIcPUozcUVqTnkh
https://bytedance.larkoffice.com/record/H0SKrLWNee8Qrzc48ILcPwAknYf
https://bytedance.larkoffice.com/record/QIt4rQ3vBeofgPcpmUGc8dyOngb
https://bytedance.larkoffice.com/record/OWyHrDOWLetv8jcV8u8c4IKfnae
https://bytedance.larkoffice.com/record/Bc0orEI24efJtgcuUvgcHh6wnYb
https://bytedance.larkoffice.com/record/WHmar4YrIe51dMco5l6ctZapnuh</v>
      </c>
      <c r="AP5" s="11" t="str">
        <v>车控</v>
      </c>
      <c r="AQ5" s="2">
        <f>AH5-E5</f>
      </c>
      <c r="AR5" s="65" t="inlineStr">
        <is>
          <r>
            <rPr>
              <strike/>
              <sz val="10"/>
              <color rgb="FFF54A45"/>
              <rFont val="Arial"/>
            </rPr>
            <t>@陈果果</t>
          </r>
          <r>
            <rPr>
              <strike/>
              <sz val="10"/>
              <color rgb="FFF54A45"/>
              <rFont val="Arial"/>
            </rPr>
            <t xml:space="preserve"> 模块表研发进展39✅，进度表已接37，是否差模块表137和139两行？-只有一个137，腰托接口还有问题，之前填写进度表已接入应该是38
</t>
          </r>
          <r>
            <rPr>
              <strike/>
              <sz val="10"/>
              <rFont val="Arial"/>
            </rPr>
            <t>@陈果果</t>
          </r>
          <r>
            <rPr>
              <strike/>
              <sz val="10"/>
              <rFont val="Arial"/>
            </rPr>
            <t>@王东旭</t>
          </r>
          <r>
            <rPr>
              <strike/>
              <sz val="10"/>
              <rFont val="Arial"/>
            </rPr>
            <t xml:space="preserve"> 除了腰托两条，其他测试进展❌的 bug修复进度？-挂头上的bug都已解决，不挂头上的依赖三方</t>
          </r>
        </is>
      </c>
      <c r="AU5" s="2" t="str">
        <v>周二</v>
      </c>
      <c r="AV5" s="4">
        <v>1</v>
      </c>
    </row>
    <row r="6" spans="1:43">
      <c r="A6" s="60"/>
      <c r="B6" s="13" t="str">
        <v>外后视镜</v>
      </c>
      <c r="C6" s="12" t="str">
        <v>【火山】待问题修复</v>
      </c>
      <c r="D6" s="66">
        <v>12</v>
      </c>
      <c r="E6" s="66">
        <v>12</v>
      </c>
      <c r="F6" s="48">
        <f>G6/E6</f>
      </c>
      <c r="G6" s="75">
        <v>12</v>
      </c>
      <c r="H6" s="50">
        <f>E6-G6</f>
      </c>
      <c r="I6" s="19">
        <v>12</v>
      </c>
      <c r="J6" s="48">
        <f>I6/E6</f>
      </c>
      <c r="K6" s="51" t="inlineStr">
        <is>
          <r>
            <rPr>
              <strike/>
              <sz val="10"/>
              <color rgb="FF1F2329"/>
              <rFont val="Arial"/>
            </rPr>
            <t xml:space="preserve">①语音打开后视镜设置页面，不支持；
②语音控制外后视镜方向调节，不支持；
③语音控制外后视镜倒车下倾设置，不支持；
④语音控制外后视镜自动展开折叠设置，不支持。
8、倒车后视镜自动下倾，单侧都可以打开和关闭，但是同时打开和关闭双侧api接口返回状态成功，但是不执行
</t>
          </r>
          <r>
            <rPr>
              <sz val="10"/>
              <color rgb="FFF54A45"/>
              <rFont val="Arial"/>
            </rPr>
            <t xml:space="preserve">0703/0710 2个❌
0721 一鸣反馈有两个内部fc的票</t>
          </r>
        </is>
      </c>
      <c r="L6" s="76" t="inlineStr">
        <is>
          <r>
            <t>@王泽民</t>
          </r>
          <r>
            <t xml:space="preserve">
</t>
          </r>
          <r>
            <t>@宋丛丛</t>
          </r>
          <r>
            <t xml:space="preserve">
</t>
          </r>
          <r>
            <t>@谢一鸣</t>
          </r>
        </is>
      </c>
      <c r="M6" s="77" t="str">
        <v>https://meego.larkoffice.com/telematics/issue/detail/7357105095?from=from_parent_docs&amp;tabKey=detail#detail
https://meego.larkoffice.com/telematics/issue/detail/7356996132?from=from_parent_docs&amp;tabKey=detail#detail</v>
      </c>
      <c r="N6" s="51" t="inlineStr">
        <is>
          <r>
            <t xml:space="preserve">8.上汽侧Bug票跟进。计划软件3.0.9版本释放。
</t>
          </r>
          <r>
            <t xml:space="preserve">03.10：
</t>
          </r>
          <r>
            <t>@周怀君</t>
          </r>
          <r>
            <t xml:space="preserve">待更新ZXD 3.0.9版本早03.15释放。。
</t>
          </r>
          <r>
            <t>3.17 都已解决</t>
          </r>
        </is>
      </c>
      <c r="O6" s="48">
        <f>P6/E6</f>
      </c>
      <c r="P6" s="28">
        <v>12</v>
      </c>
      <c r="Q6" s="16">
        <f>E6-P6</f>
      </c>
      <c r="T6" s="19">
        <v>12</v>
      </c>
      <c r="U6" s="48">
        <f>T6/E6</f>
      </c>
      <c r="V6" s="11">
        <f>E6-T6</f>
      </c>
      <c r="W6" s="11" t="str">
        <v> P0</v>
      </c>
      <c r="X6" s="53" t="str">
        <v>✅</v>
      </c>
      <c r="Y6" s="53" t="str">
        <v>02.28</v>
      </c>
      <c r="Z6" s="11" t="inlineStr">
        <is>
          <r>
            <t>@谢一鸣</t>
          </r>
        </is>
      </c>
      <c r="AA6" s="11" t="inlineStr">
        <is>
          <r>
            <t>@樊晓天</t>
          </r>
        </is>
      </c>
      <c r="AB6" s="54">
        <f>AG6/AH6</f>
      </c>
      <c r="AC6" s="55">
        <f>AG6</f>
      </c>
      <c r="AD6" s="55">
        <f>E6-AC6</f>
      </c>
      <c r="AE6" s="54">
        <f>AF6/AG6</f>
      </c>
      <c r="AF6" s="16">
        <f>COUNTIFS('车控'!Q149:Q160,"✅")</f>
      </c>
      <c r="AG6" s="63">
        <f>COUNTIFS('车控'!Q149:Q160,"✅")+COUNTIFS('车控'!Q149:Q160,"❌")+COUNTIFS('车控'!Q149:Q160,"Block")</f>
      </c>
      <c r="AH6" s="78">
        <v>12</v>
      </c>
      <c r="AI6" s="57">
        <f>AF6</f>
      </c>
      <c r="AJ6" s="58">
        <f>AH6-AF6</f>
      </c>
      <c r="AK6" s="58">
        <f>AG6-AF6</f>
      </c>
      <c r="AL6" s="64" t="str">
        <v>字节-刘晓帝
PASS</v>
      </c>
      <c r="AM6" s="2" t="str">
        <v> </v>
      </c>
      <c r="AP6" s="11" t="str">
        <v>车控</v>
      </c>
      <c r="AQ6" s="2">
        <f>AH6-E6</f>
      </c>
    </row>
    <row r="7" spans="1:44">
      <c r="A7" s="60"/>
      <c r="B7" s="15" t="str">
        <v>尾门</v>
      </c>
      <c r="C7" s="12" t="str">
        <v>【火山】产品功能待澄清</v>
      </c>
      <c r="D7" s="66">
        <v>13</v>
      </c>
      <c r="E7" s="66">
        <v>10</v>
      </c>
      <c r="F7" s="48">
        <f>G7/E7</f>
      </c>
      <c r="G7" s="75">
        <v>10</v>
      </c>
      <c r="H7" s="50">
        <f>E7-G7</f>
      </c>
      <c r="I7" s="19">
        <v>10</v>
      </c>
      <c r="J7" s="48">
        <f>I7/E7</f>
      </c>
      <c r="K7" s="79" t="inlineStr">
        <is>
          <r>
            <rPr>
              <strike/>
              <sz val="10"/>
              <color rgb="FF1F2329"/>
              <rFont val="Arial"/>
            </rPr>
            <t xml:space="preserve">4、设置后备箱预设位置，错误码：3010015，权限问题： reqType: TAILGATE_POSITION ，permission:zone.permission.vehicle.DOOR_WINDOW_LOCK_SETnot Granted 。SUV 不存在该问题
5、打开后备箱，错误码：3010015，权限问题： reqType: TAILGATE_STATUS permission:zone.permission.vehicle.DOOR_WINDOW_LOCK_SETnot Granted 。SUV可以正常打开。
~~~4&amp;5，上汽提供降低权限的SDK用于集成，待提供给一鸣。Done。
6、后备箱实际位置和api获取到的位置不符合，实际位置一直显示未0 ,SUV 同样存在该问题获取到的位置不对
~~~实车无此接口，车模有此接口。待评估适用性。
7、SUV 后备箱状态不对，实际是打开的，查询却是关闭的
9、后备箱预设值高度100，实际开启高度很低   （后备箱开启的角度和预设不一致）
04.20：与左晨沟通暂停来不及问题如何处理 =》产品回复先接口接入，实际测试再沟通
0528 </t>
          </r>
          <r>
            <rPr>
              <strike/>
              <sz val="10"/>
              <color rgb="FF1F2329"/>
              <rFont val="Arial"/>
            </rPr>
            <t>@谢一鸣</t>
          </r>
          <r>
            <rPr>
              <strike/>
              <sz val="10"/>
              <color rgb="FF1F2329"/>
              <rFont val="Arial"/>
            </rPr>
            <t xml:space="preserve"> 3个api 卡实车验证  接口是否验证通过？ 卡实车 / </t>
          </r>
          <r>
            <rPr>
              <strike/>
              <sz val="10"/>
              <color rgb="FF1F2329"/>
              <rFont val="Arial"/>
            </rPr>
            <t>@王东旭</t>
          </r>
          <r>
            <rPr>
              <strike/>
              <sz val="10"/>
              <color rgb="FF1F2329"/>
              <rFont val="Arial"/>
            </rPr>
            <t>：实车不支持暂停和开合度调整block 6个api 163-168 /</t>
          </r>
          <r>
            <rPr>
              <strike/>
              <sz val="10"/>
              <color rgb="FF1F2329"/>
              <rFont val="Arial"/>
            </rPr>
            <t>@方令平</t>
          </r>
          <r>
            <rPr>
              <strike/>
              <sz val="10"/>
              <color rgb="FF1F2329"/>
              <rFont val="Arial"/>
            </rPr>
            <t xml:space="preserve">推进实车问题/0608 与怀君确认当前实车是否支持，等反馈
</t>
          </r>
          <r>
            <rPr>
              <sz val="10"/>
              <color rgb="FFF54A45"/>
              <rFont val="Arial"/>
            </rPr>
            <t xml:space="preserve">0610
4个api（暂停电尾门、暂停后备箱、继续打开、暂停关闭），一鸣反馈在实车验证时分析发现在尾门打开过程中发出暂停的语音指令，等fc返回时，尾门已全部打开/关闭，需产品确认后续如何解决/左晨反馈fc下发时效没那么快，无法在尾门执行完打开/关闭之前返回，目前时效只能这样了，已反馈给董晓颖
</t>
          </r>
          <r>
            <rPr>
              <strike/>
              <sz val="10"/>
              <color rgb="FF1F2329"/>
              <rFont val="Arial"/>
            </rPr>
            <t xml:space="preserve">2个api（把电动尾门开合度调到 50%、电尾门开度设为 80%），一鸣反馈之前左晨对上汽接口理解有歧义，左晨更新逻辑后需要更改fc，已提工单给产品，工单recvlzKIaNyYlp/0617 婉婷已确认会加，预计1.8能上/0622 1.8已评审，待服务端、算法、测试排期/0623 预计0630前能上线
3个api（开启前备箱、关闭电动前备箱/关前备箱、暂停前备箱）实车没有前备箱</t>
          </r>
        </is>
      </c>
      <c r="L7" s="80" t="inlineStr">
        <is>
          <r>
            <t>@左晨</t>
          </r>
        </is>
      </c>
      <c r="N7" s="70" t="inlineStr">
        <is>
          <r>
            <t>6&amp;7&amp;9，上汽建票SP部门支持。</t>
          </r>
          <r>
            <t>@周怀君</t>
          </r>
          <r>
            <t xml:space="preserve">待反馈时间。
03.06：
***
尾门相关API对接都依赖状态获取
***
03.12：
上汽侧协调自学习后验证。
3.17：
怀君在16号晚上反馈可以验证，开发实测还是不行（自学习后状态未保存）。
3.18：
自学习后上大电失忆，fix在03.23。短期保证一次上下电稳定，提前学习。</t>
          </r>
          <r>
            <t>@谢一鸣</t>
          </r>
          <r>
            <t>明天验证，</t>
          </r>
          <r>
            <t>@邴岱一</t>
          </r>
          <r>
            <t xml:space="preserve">配合自学习状态就绪。
</t>
          </r>
          <r>
            <t xml:space="preserve">04.23：
169、170、171行接口已提供，但该功能依赖EV车型，待EV实车进行验证</t>
          </r>
        </is>
      </c>
      <c r="O7" s="48">
        <f>P7/E7</f>
      </c>
      <c r="P7" s="28">
        <v>10</v>
      </c>
      <c r="Q7" s="16">
        <f>E7-P7</f>
      </c>
      <c r="R7" s="81" t="str">
        <v>04.20
PPV1实车PHEV不支持前备箱。</v>
      </c>
      <c r="S7" s="81" t="str">
        <v>EV车接口已支持，待配置实车后才能验证。</v>
      </c>
      <c r="T7" s="19">
        <v>6</v>
      </c>
      <c r="U7" s="48">
        <f>T7/E7</f>
      </c>
      <c r="V7" s="11">
        <f>E7-T7</f>
      </c>
      <c r="W7" s="11" t="str">
        <v> P0</v>
      </c>
      <c r="X7" s="53" t="str">
        <v>✅</v>
      </c>
      <c r="Y7" s="53" t="str">
        <v>02.28：后备箱
04.28：前备箱</v>
      </c>
      <c r="Z7" s="11" t="inlineStr">
        <is>
          <r>
            <t>@谢一鸣</t>
          </r>
        </is>
      </c>
      <c r="AA7" s="11" t="inlineStr">
        <is>
          <r>
            <t>@樊晓天</t>
          </r>
        </is>
      </c>
      <c r="AB7" s="54">
        <f>AG7/AH7</f>
      </c>
      <c r="AC7" s="55">
        <f>AG7</f>
      </c>
      <c r="AD7" s="55">
        <f>E7-AC7</f>
      </c>
      <c r="AE7" s="54">
        <f>AF7/AG7</f>
      </c>
      <c r="AF7" s="16">
        <f>COUNTIFS('车控'!Q161:Q173,"✅")</f>
      </c>
      <c r="AG7" s="63">
        <f>COUNTIFS('车控'!Q161:Q173,"✅")+COUNTIFS('车控'!Q161:Q173,"❌")+COUNTIFS('车控'!Q161:Q173,"Block")</f>
      </c>
      <c r="AH7" s="28">
        <v>10</v>
      </c>
      <c r="AI7" s="57">
        <f>AF7</f>
      </c>
      <c r="AJ7" s="58">
        <f>AH7-AF7</f>
      </c>
      <c r="AK7" s="58">
        <f>AG7-AF7</f>
      </c>
      <c r="AL7" s="36" t="str">
        <v>字节-郑永超
FAIL（FAIL项目主要是实车调节高度目前因为开关太快导致无法验证）</v>
      </c>
      <c r="AP7" s="11" t="str">
        <v>车控</v>
      </c>
      <c r="AQ7" s="2">
        <f>AH7-E7</f>
      </c>
      <c r="AR7" s="82" t="inlineStr">
        <is>
          <r>
            <t xml:space="preserve">
</t>
          </r>
          <r>
            <t>@王东旭</t>
          </r>
          <r>
            <t xml:space="preserve"> 模块表里6个api测试block（进度表里显示5个case未通过，更新数据），原因？解决人是否已对接？何时解决？进度表里的总caes是否应改为13（目前双方确定了是13个api）？-实车不支持暂停和开合度调整</t>
          </r>
        </is>
      </c>
    </row>
    <row r="8" spans="1:44">
      <c r="A8" s="60"/>
      <c r="B8" s="11" t="str">
        <v>雨刮</v>
      </c>
      <c r="C8" s="12" t="str">
        <v>已完成</v>
      </c>
      <c r="D8" s="66">
        <v>8</v>
      </c>
      <c r="E8" s="66">
        <v>8</v>
      </c>
      <c r="F8" s="48">
        <f>G8/E8</f>
      </c>
      <c r="G8" s="75">
        <v>8</v>
      </c>
      <c r="H8" s="50">
        <f>E8-G8</f>
      </c>
      <c r="I8" s="19">
        <v>8</v>
      </c>
      <c r="J8" s="48">
        <f>I8/E8</f>
      </c>
      <c r="K8" s="83" t="str">
        <v>①雨刮维修模式开关（雨刷档位状态&lt;上汽内部没接收此需求&gt;、车档位状态、错误码不正确）；
②雨刮其他控制接口，不支持。
1、车档位：P档值为2，返回值为1与汽车实际档位不符合
2、雨刷档位（getFrtWiperMdSts）：OFF档位为：5，返回的值为：0，不管切换什么档位都为0。SUV问题同样存在
3、设置雨刷维修模式状态（setWipeRepairStatus）：返回错误码：3010015 ,  SUV 状态码正常但是没有执行
~~~上汽反馈更新PRD，暂未更新反馈。
04.14：实车不支持雨刮 meego: https://meego.larkoffice.com/telematics/issue/detail/7088293062
04.20：处理雨刮bug单  =》bug单已处理
0527:待测试确认是否完成测试@赵晓健:0528完成</v>
      </c>
      <c r="N8" s="70" t="inlineStr">
        <is>
          <r>
            <t xml:space="preserve">1.已解决；
2.更新PRD；
3.在2的前提下再支持。
03.10：上汽</t>
          </r>
          <r>
            <t>@陈振英</t>
          </r>
          <r>
            <t xml:space="preserve">反馈本周更新PRD
03.13：上汽侧提供部分更新PRD。①依赖上汽PO梳理拆解变更项。②剩余待更新PRD预计03.18提供。整体更新PRD的澄清，预计周三/周四沟通。
</t>
          </r>
          <r>
            <t>03.19：双方PO澄清变更内容，PRD有更新，详见Sheet页。</t>
          </r>
        </is>
      </c>
      <c r="O8" s="48">
        <f>P8/E8</f>
      </c>
      <c r="P8" s="28">
        <v>8</v>
      </c>
      <c r="Q8" s="16">
        <f>E8-P8</f>
      </c>
      <c r="R8" s="84" t="str">
        <v>04.15：
前雨刮维修模式，HMI回弹，实际控制不生效。
04.21：实车验证fail，计划集成4.0.7软件版本验证应用层问题。</v>
      </c>
      <c r="T8" s="19">
        <v>8</v>
      </c>
      <c r="U8" s="48">
        <f>T8/E8</f>
      </c>
      <c r="V8" s="11">
        <f>E8-T8</f>
      </c>
      <c r="W8" s="11" t="str">
        <v> P0</v>
      </c>
      <c r="X8" s="53" t="str">
        <v>✅</v>
      </c>
      <c r="Y8" s="53" t="str">
        <v>04.21</v>
      </c>
      <c r="Z8" s="11" t="inlineStr">
        <is>
          <r>
            <t>@谢一鸣</t>
          </r>
        </is>
      </c>
      <c r="AA8" s="11" t="inlineStr">
        <is>
          <r>
            <t>@余明明</t>
          </r>
        </is>
      </c>
      <c r="AB8" s="54">
        <f>AG8/AH8</f>
      </c>
      <c r="AC8" s="55">
        <f>AG8</f>
      </c>
      <c r="AD8" s="55">
        <f>E8-AC8</f>
      </c>
      <c r="AE8" s="54">
        <f>AF8/AG8</f>
      </c>
      <c r="AF8" s="16">
        <f>COUNTIFS('车控'!Q174:Q181,"✅")</f>
      </c>
      <c r="AG8" s="16">
        <f>COUNTIFS('车控'!Q174:Q181,"✅")+COUNTIFS('车控'!Q174:Q181,"❌")+COUNTIFS('车控'!Q174:Q181,"Block")</f>
      </c>
      <c r="AH8" s="85">
        <v>8</v>
      </c>
      <c r="AI8" s="57">
        <f>AF8</f>
      </c>
      <c r="AJ8" s="58">
        <f>AH8-AF8</f>
      </c>
      <c r="AK8" s="58">
        <f>AG8-AF8</f>
      </c>
      <c r="AL8" s="86" t="str">
        <v>上汽
PASS
字节-王东旭 FAIL
 </v>
      </c>
      <c r="AM8" s="59" t="str">
        <v>https://bytedance.larkoffice.com/record/Ibplr5HRueqYhncN6McceTUMnKe
https://bytedance.larkoffice.com/record/KzAOrafdOeCnHacfiK6ckJ8unyf</v>
      </c>
      <c r="AP8" s="11" t="str">
        <v>车控</v>
      </c>
      <c r="AQ8" s="2">
        <f>AH8-E8</f>
      </c>
      <c r="AR8" s="87" t="inlineStr">
        <is>
          <r>
            <t xml:space="preserve">
</t>
          </r>
          <r>
            <t>@王东旭</t>
          </r>
          <r>
            <t xml:space="preserve"> 进度表100%通过率，模块表测试进展列数据更新一下-已完成</t>
          </r>
        </is>
      </c>
    </row>
    <row r="9" spans="1:44">
      <c r="A9" s="60"/>
      <c r="B9" s="14" t="str">
        <v>遮阳帘</v>
      </c>
      <c r="C9" s="12" t="str">
        <v>【火山】产品功能待澄清</v>
      </c>
      <c r="D9" s="47">
        <v>17</v>
      </c>
      <c r="E9" s="47">
        <v>17</v>
      </c>
      <c r="F9" s="48">
        <f>G9/E9</f>
      </c>
      <c r="G9" s="75">
        <v>17</v>
      </c>
      <c r="H9" s="50">
        <f>E9-G9</f>
      </c>
      <c r="I9" s="19">
        <v>17</v>
      </c>
      <c r="J9" s="48">
        <f>I9/E9</f>
      </c>
      <c r="K9" s="79" t="inlineStr">
        <is>
          <r>
            <rPr>
              <strike/>
              <sz val="10"/>
              <color rgb="FF1F2329"/>
              <rFont val="Arial"/>
            </rPr>
            <t xml:space="preserve">进行中
3.31 步进调节、百分比调节接口暂不具备4.2换新接口自测中
4.3fc无下发,昭志排查
4.3UI及硬件都无反应，log已发，上汽说等新车来了再试，目前的车有问题 4.8后车不支持，前车支持
4.16：
遮阳帘前后排语音控制接口返回失败,上汽已起票。
04.20：
全部都阻塞在上汽接口处
04.21: 
253实车遮阳帘时好时坏，上汽已经起票；254实车RZCU更新软件---待反馈时间</t>
          </r>
          <r>
            <rPr>
              <strike/>
              <sz val="10"/>
              <color rgb="FF1F2329"/>
              <rFont val="Arial"/>
            </rPr>
            <t>@董晓颖</t>
          </r>
          <r>
            <rPr>
              <strike/>
              <sz val="10"/>
              <color rgb="FF1F2329"/>
              <rFont val="Arial"/>
            </rPr>
            <t xml:space="preserve">  
04:28
设置开合度api可用，获取开合度api始终是 1 。
05.19 
待明确254实车RZCU软件更新时间；
待明确开合度状态值bug。  上汽负责人：杨方舟
05.21
</t>
          </r>
          <r>
            <rPr>
              <b/>
              <strike/>
              <sz val="10"/>
              <color rgb="FF1F2329"/>
              <rFont val="Arial"/>
            </rPr>
            <t xml:space="preserve">275实车开合度状态值Bug，杨方舟明确要底软去排查
</t>
          </r>
          <r>
            <rPr>
              <strike/>
              <sz val="10"/>
              <color rgb="FF1F2329"/>
              <rFont val="Arial"/>
            </rPr>
            <t xml:space="preserve">锁车自动关闭遮阳帘的api可以，FC暂时不下发
05.26
同21号问题依旧（问题影响的api是否是模块表里193、194、195三个api）
0602 遮阳帘有误差，最后会导致关闭不起来。 怀君转给晓颖跟进，等反馈
0608 </t>
          </r>
          <r>
            <rPr>
              <strike/>
              <sz val="10"/>
              <color rgb="FF1F2329"/>
              <rFont val="Arial"/>
            </rPr>
            <t>@余明明</t>
          </r>
          <r>
            <rPr>
              <strike/>
              <sz val="10"/>
              <color rgb="FF1F2329"/>
              <rFont val="Arial"/>
            </rPr>
            <t xml:space="preserve"> 有问题的fc都有bug单
0610 产品新识别出一个api需要接，fc侧放在v1.5中上，扽v1.5上线后开发
0613 明明：FC下发正常，但接口不执行
0615 需与明明确认bug单recvlWElvhvatJ与剩下没好的api遮阳帘暂停没关系，具体情况如何（没有bug单）
0615 暂停功能自测ok提测
0622 研发名下无bug
</t>
          </r>
          <r>
            <rPr>
              <sz val="10"/>
              <color rgb="FFF54A45"/>
              <rFont val="Arial"/>
            </rPr>
            <t>0703 1个测试block，机械执行比语音快，暂停功能实现不来，与左晨确认是否与尾门同样问题的处理方法一致，待反馈/与尾门一样</t>
          </r>
        </is>
      </c>
      <c r="L9" s="80" t="inlineStr">
        <is>
          <r>
            <t>@左晨</t>
          </r>
        </is>
      </c>
      <c r="N9" s="17" t="inlineStr">
        <is>
          <r>
            <rPr>
              <sz val="10"/>
              <rFont val="Arial"/>
            </rPr>
            <t xml:space="preserve">遮阳帘初始化问题，已修复，待释放版本验证
</t>
          </r>
          <r>
            <rPr>
              <sz val="10"/>
              <color rgb="FFF54A45"/>
              <rFont val="Arial"/>
            </rPr>
            <t>04.24：验证通过，待字节确认</t>
          </r>
        </is>
      </c>
      <c r="O9" s="48">
        <f>P9/E9</f>
      </c>
      <c r="P9" s="71">
        <v>17</v>
      </c>
      <c r="Q9" s="16">
        <f>E9-P9</f>
      </c>
      <c r="R9" s="51" t="inlineStr">
        <is>
          <r>
            <rPr>
              <strike/>
              <sz val="10"/>
              <color rgb="FF1F2329"/>
              <rFont val="Arial"/>
            </rPr>
            <t xml:space="preserve">实车无遮阳帘
04.08：PPV1实车暂不支持遮阳帘电动控制。不支持自测。
04.14：HMI支持遮阳帘控制，不支持暂停、不支持完全打开。
</t>
          </r>
          <r>
            <rPr>
              <sz val="10"/>
              <color rgb="FFF54A45"/>
              <rFont val="Arial"/>
            </rPr>
            <t>04.20：实车遮阳帘初始化错误，导致功能block，DNA-335票处理中。---待反馈排期</t>
          </r>
          <r>
            <rPr>
              <sz val="10"/>
              <color rgb="FFF54A45"/>
              <rFont val="Arial"/>
            </rPr>
            <t>@周怀君</t>
          </r>
          <r>
            <rPr>
              <sz val="10"/>
              <color rgb="FFF54A45"/>
              <rFont val="Arial"/>
            </rPr>
            <t>---计划集成4.0.7软件版本验证（测试：04.22-254刷了407没标定无法验证）</t>
          </r>
        </is>
      </c>
      <c r="S9" s="88">
        <v>46134</v>
      </c>
      <c r="T9" s="71">
        <v>17</v>
      </c>
      <c r="U9" s="48">
        <f>T9/E9</f>
      </c>
      <c r="V9" s="11">
        <f>E9-T9</f>
      </c>
      <c r="W9" s="11" t="str">
        <v>P1</v>
      </c>
      <c r="X9" s="53" t="str">
        <v>✅</v>
      </c>
      <c r="Y9" s="53" t="str">
        <v>04.28</v>
      </c>
      <c r="Z9" s="11" t="inlineStr">
        <is>
          <r>
            <t>@余明明</t>
          </r>
        </is>
      </c>
      <c r="AA9" s="11" t="inlineStr">
        <is>
          <r>
            <t>@杨忠谕</t>
          </r>
        </is>
      </c>
      <c r="AB9" s="54">
        <f>AG9/AH9</f>
      </c>
      <c r="AC9" s="55">
        <f>AG9</f>
      </c>
      <c r="AD9" s="55">
        <f>E9-AC9</f>
      </c>
      <c r="AE9" s="54">
        <f>AF9/AG9</f>
      </c>
      <c r="AF9" s="16">
        <f>COUNTIFS('车控'!Q182:Q198,"✅")</f>
      </c>
      <c r="AG9" s="16">
        <f>COUNTIFS('车控'!Q182:Q198,"✅")+COUNTIFS('车控'!Q182:Q198,"❌")+COUNTIFS('车控'!Q182:Q198,"Block")</f>
      </c>
      <c r="AH9" s="28">
        <v>16</v>
      </c>
      <c r="AI9" s="57">
        <f>AF9</f>
      </c>
      <c r="AJ9" s="58">
        <f>AH9-AF9</f>
      </c>
      <c r="AK9" s="58">
        <f>AG9-AF9</f>
      </c>
      <c r="AL9" s="36" t="str">
        <v>字节-刘晓帝</v>
      </c>
      <c r="AM9" s="59" t="str">
        <v>https://bytedance.larkoffice.com/record/GdW4rvUqjeG1AdcYoUtcdpYwnph
https://bytedance.larkoffice.com/record/ON1prVSuKeU1TYcsLHpcu3Txnlg</v>
      </c>
      <c r="AP9" s="11" t="str">
        <v>车控</v>
      </c>
      <c r="AQ9" s="2">
        <f>AH9-E9</f>
      </c>
      <c r="AR9" s="65" t="inlineStr">
        <is>
          <r>
            <t>@王东旭</t>
          </r>
          <r>
            <t xml:space="preserve"> 当前遇到的问题影响的api是否是模块表里193、194、195三个？如果不是，请更新数据-是</t>
          </r>
        </is>
      </c>
    </row>
    <row r="10" spans="1:44">
      <c r="A10" s="60"/>
      <c r="B10" s="11" t="str">
        <v>门锁</v>
      </c>
      <c r="C10" s="12" t="str">
        <v>已完成</v>
      </c>
      <c r="D10" s="66">
        <v>5</v>
      </c>
      <c r="E10" s="66">
        <v>5</v>
      </c>
      <c r="F10" s="48">
        <f>G10/E10</f>
      </c>
      <c r="G10" s="49">
        <v>3</v>
      </c>
      <c r="H10" s="50">
        <f>E10-G10</f>
      </c>
      <c r="I10" s="19">
        <v>5</v>
      </c>
      <c r="J10" s="48">
        <f>I10/E10</f>
      </c>
      <c r="K10" s="84" t="inlineStr">
        <is>
          <r>
            <t xml:space="preserve">sdk调用时好时不好bug
</t>
          </r>
          <r>
            <t xml:space="preserve">3.191门锁：
</t>
          </r>
          <r>
            <t xml:space="preserve">1.1fc下发有时正确有时相反问题已反馈需求 待解决
</t>
          </r>
          <r>
            <t xml:space="preserve">1.2门锁调用接口参数按给的参数定义写的，还是有时正确有时相反问题需要查看log排查一下
</t>
          </r>
          <r>
            <t xml:space="preserve"> 3.20
</t>
          </r>
          <r>
            <t xml:space="preserve">1.1fc下发有时正确有时相反问题已反馈 左晨说测试提测给算法
</t>
          </r>
          <r>
            <t xml:space="preserve">1.2门锁调用接口参数按给的参数定义写的，还是有时正确有时相反问题需上汽查看log排查一下 
</t>
          </r>
          <r>
            <t xml:space="preserve">fc下发一会正常一会相反，需要算法测修改4.13fc下发问题，UI无响应硬件无响应
</t>
          </r>
          <r>
            <t xml:space="preserve">4.14UI无响应无法点击4.16开锁UI无响应
</t>
          </r>
          <r>
            <t xml:space="preserve">
</t>
          </r>
          <r>
            <t xml:space="preserve">04.16: </t>
          </r>
          <r>
            <t>@赵明珠</t>
          </r>
          <r>
            <t xml:space="preserve">车门状态返回信号存在问题，位置数值对不上，确认是否有开度值，目前只有开关 =&gt; 04.20：待抓日志上汽排查---04.21 按照门的透传值来开发  上汽吴佳军。
</t>
          </r>
          <r>
            <t xml:space="preserve">
</t>
          </r>
          <r>
            <t xml:space="preserve">04.16: </t>
          </r>
          <r>
            <t>@赵明珠</t>
          </r>
          <r>
            <t xml:space="preserve">实车是否支持儿童锁 =&gt; 04.20：字节需要端状态上汽接口不支持，这个上汽不支持
</t>
          </r>
          <r>
            <t xml:space="preserve">
</t>
          </r>
          <r>
            <t>04.16：</t>
          </r>
          <r>
            <t>@刘敬思</t>
          </r>
          <r>
            <t xml:space="preserve">语音控制开锁异常，待上汽反馈。
</t>
          </r>
          <r>
            <t>04.20：</t>
          </r>
          <r>
            <t>@刘敬思</t>
          </r>
          <r>
            <t xml:space="preserve">反馈预解决日期4.21待上汽解决bug
</t>
          </r>
          <r>
            <t>04.21：语音SDK调用“中控锁解锁”，待上汽起票推进解决。</t>
          </r>
          <r>
            <t>@周怀君</t>
          </r>
          <r>
            <t xml:space="preserve">4.22门锁已修复
</t>
          </r>
          <r>
            <t xml:space="preserve">04.24：剩余2条儿童锁，该车型不支持
</t>
          </r>
          <r>
            <t xml:space="preserve">0507:字节：上锁可以，解锁云端拒识
</t>
          </r>
          <r>
            <t>05.19：</t>
          </r>
          <r>
            <t>@刘敬思</t>
          </r>
          <r>
            <t xml:space="preserve">自测下儿童锁兜底话术
</t>
          </r>
          <r>
            <t xml:space="preserve">05.26：FC没下发导致端侧兜底话术没执行，确认云端话术是否符合预期。待关闭。
</t>
          </r>
          <r>
            <t>5.27: 测试复测验证；</t>
          </r>
          <r>
            <t>@赵晓健</t>
          </r>
          <r>
            <t>@刘晓帝</t>
          </r>
          <r>
            <t xml:space="preserve">
</t>
          </r>
          <r>
            <t>0615、0622 开发都提测了并且开发名下没有bug，3个测试❌需要与测试同事王东旭确认bug</t>
          </r>
        </is>
      </c>
      <c r="N10" s="67" t="str">
        <v>待上汽排查
3.191门锁：
1.1fc下发有时正确有时相反问题已反馈需求 待解决
1.2门锁调用接口参数按您给的参数定义写的，还是有时正确有时相反问题需要查看log排查一下</v>
      </c>
      <c r="O10" s="48">
        <f>P10/E10</f>
      </c>
      <c r="P10" s="71">
        <v>5</v>
      </c>
      <c r="Q10" s="16">
        <f>E10-P10</f>
      </c>
      <c r="R10" s="51" t="str">
        <v>04.09：HMI设置回弹。
04.14：中控锁解锁/闭锁，HMI页面不可点击。
04:16：前置需要关闭所有车门，HMI也点击可以</v>
      </c>
      <c r="T10" s="71">
        <v>5</v>
      </c>
      <c r="U10" s="48">
        <f>T10/E10</f>
      </c>
      <c r="V10" s="11">
        <f>E10-T10</f>
      </c>
      <c r="W10" s="11" t="str">
        <v> P0</v>
      </c>
      <c r="X10" s="89" t="str">
        <v>✅</v>
      </c>
      <c r="Y10" s="53" t="str">
        <v>4.22</v>
      </c>
      <c r="Z10" s="16" t="inlineStr">
        <is>
          <r>
            <t>@高宇新</t>
          </r>
        </is>
      </c>
      <c r="AA10" s="11" t="inlineStr">
        <is>
          <r>
            <t>@余明明</t>
          </r>
        </is>
      </c>
      <c r="AB10" s="54">
        <f>AG10/AH10</f>
      </c>
      <c r="AC10" s="55">
        <f>AG10</f>
      </c>
      <c r="AD10" s="55">
        <f>E10-AC10</f>
      </c>
      <c r="AE10" s="54">
        <f>AF10/AG10</f>
      </c>
      <c r="AF10" s="16">
        <f>COUNTIFS('车控'!Q204:Q208,"✅")</f>
      </c>
      <c r="AG10" s="16">
        <f>COUNTIFS('车控'!Q204:Q208,"✅")+COUNTIFS('车控'!Q204:Q208,"❌")+COUNTIFS('车控'!Q204:Q208,"Block")</f>
      </c>
      <c r="AH10" s="28">
        <v>5</v>
      </c>
      <c r="AI10" s="57">
        <f>AF10</f>
      </c>
      <c r="AJ10" s="58">
        <f>AH10-AF10</f>
      </c>
      <c r="AK10" s="58">
        <f>AG10-AF10</f>
      </c>
      <c r="AL10" s="36" t="str">
        <v>字节-刘晓帝
FAIL</v>
      </c>
      <c r="AM10" s="59" t="str">
        <v>https://bytedance.larkoffice.com/record/ErB9rNnnIehfw2cOIOmcx3xSnMg
https://bytedance.larkoffice.com/record/RxrZrOYkhecH9EcZ7XycWzhSnGg
https://bytedance.larkoffice.com/record/Iyywrgsh2eQA08cSItScxKQCnzh</v>
      </c>
      <c r="AP10" s="11" t="str">
        <v>车控</v>
      </c>
      <c r="AQ10" s="2">
        <f>AH10-E10</f>
      </c>
      <c r="AR10" s="65" t="inlineStr">
        <is>
          <r>
            <t xml:space="preserve">
</t>
          </r>
          <r>
            <t>@王东旭</t>
          </r>
          <r>
            <t>进度表总case10，是否覆盖儿童锁2api？整个门锁的测试进展更新模块表（目前是3❌2block）-已完成</t>
          </r>
        </is>
      </c>
    </row>
    <row r="11" spans="1:44">
      <c r="A11" s="60"/>
      <c r="B11" s="14" t="str">
        <v>充电管理</v>
      </c>
      <c r="C11" s="12" t="str">
        <v>已完成</v>
      </c>
      <c r="D11" s="47">
        <v>4</v>
      </c>
      <c r="E11" s="47">
        <v>4</v>
      </c>
      <c r="F11" s="48">
        <f>G11/E11</f>
      </c>
      <c r="G11" s="75">
        <v>1</v>
      </c>
      <c r="H11" s="50">
        <f>E11-G11</f>
      </c>
      <c r="I11" s="19">
        <v>1</v>
      </c>
      <c r="J11" s="48">
        <f>I11/E11</f>
      </c>
      <c r="K11" s="79" t="inlineStr">
        <is>
          <r>
            <t xml:space="preserve">04.09、4.10：语音控制充电门，接口控制失效。上汽tanzhongzhou反馈接口不支持。
04.20:</t>
          </r>
          <r>
            <t>@陈果果</t>
          </r>
          <r>
            <t xml:space="preserve">与产品和上汽沟通最终充电小门的状态
04.23：不支持的功能，TTS兜底回复。已开发完毕，待自测
</t>
          </r>
          <r>
            <t xml:space="preserve">0528:确认最终只有一个API，其它不支持。
</t>
          </r>
          <r>
            <t xml:space="preserve">走兜底的话，在模块表里的研发进展里如何标记，需要大家统一
</t>
          </r>
          <r>
            <t>0615、0622开发已提测且名下无bug，需要与测试郑永超确认bug</t>
          </r>
        </is>
      </c>
      <c r="N11" s="90" t="str">
        <v>该车型不支持
充电小门2条，需求确认不支持语音控制
加油小门1条，需求确认不支持语音控制关闭
待上汽产品更新PRD输入。</v>
      </c>
      <c r="O11" s="48">
        <f>P11/E11</f>
      </c>
      <c r="P11" s="28">
        <v>1</v>
      </c>
      <c r="Q11" s="16">
        <f>E11-P11</f>
      </c>
      <c r="R11" s="81" t="str">
        <v>04.15：实车不支持充电口电控打开/关闭。</v>
      </c>
      <c r="S11" s="16" t="str">
        <v>该车型不支持，需产品更新PRD</v>
      </c>
      <c r="T11" s="71">
        <v>4</v>
      </c>
      <c r="U11" s="48">
        <f>T11/E11</f>
      </c>
      <c r="V11" s="1">
        <v>0</v>
      </c>
      <c r="W11" s="11" t="str">
        <v>P1</v>
      </c>
      <c r="X11" s="89" t="str">
        <v>✅</v>
      </c>
      <c r="Y11" s="73" t="str">
        <v>4.21
当前开发完毕待验证了</v>
      </c>
      <c r="Z11" s="11" t="inlineStr">
        <is>
          <r>
            <t>@陈果果</t>
          </r>
        </is>
      </c>
      <c r="AA11" s="11" t="inlineStr">
        <is>
          <r>
            <t>@尹泽陆</t>
          </r>
        </is>
      </c>
      <c r="AB11" s="54">
        <f>AG11/AH11</f>
      </c>
      <c r="AC11" s="55">
        <f>AG11</f>
      </c>
      <c r="AD11" s="55">
        <f>E11-AC11</f>
      </c>
      <c r="AE11" s="54">
        <f>AF11/AG11</f>
      </c>
      <c r="AF11" s="16">
        <f>COUNTIFS('车控'!Q209:Q212,"✅")</f>
      </c>
      <c r="AG11" s="16">
        <f>COUNTIFS('车控'!Q209:Q212,"✅")+COUNTIFS('车控'!Q209:Q212,"❌")+COUNTIFS('车控'!Q209:Q212,"Block")</f>
      </c>
      <c r="AH11" s="28">
        <v>4</v>
      </c>
      <c r="AI11" s="57">
        <f>AF11</f>
      </c>
      <c r="AJ11" s="58">
        <f>AH11-AF11</f>
      </c>
      <c r="AK11" s="58">
        <f>AG11-AF11</f>
      </c>
      <c r="AL11" s="36" t="str">
        <v>字节-刘晓帝
FAIL</v>
      </c>
      <c r="AM11" s="59" t="str">
        <v>https://bytedance.larkoffice.com/record/B85brTuOieXghzct3MRcdy8dnFb
https://bytedance.larkoffice.com/record/EX65rvfNmePZEbcDBZpcHXG1nrh</v>
      </c>
      <c r="AP11" s="11" t="str">
        <v>车控</v>
      </c>
      <c r="AQ11" s="2">
        <f>AH11-E11</f>
      </c>
      <c r="AR11" s="65" t="inlineStr">
        <is>
          <r>
            <t xml:space="preserve">
</t>
          </r>
          <r>
            <t>@陈果果</t>
          </r>
          <r>
            <t xml:space="preserve"> 进度表接api是1，模块表里研发进展1✅，研发备注4✅，实际是接了哪几个？上汽填n的3个api有两个写接口不支持、一个写接口状态返回成功，但是实际未执行，是本车无此功能吗？-充电口盖不支持，加油口盖关闭不支持，不支持的统一使用NLG话术兜底
</t>
          </r>
          <r>
            <t>@郑永超</t>
          </r>
          <r>
            <t xml:space="preserve"> 进度表总case4，是否覆盖了4个api？-已完成</t>
          </r>
        </is>
      </c>
    </row>
    <row r="12" spans="1:48">
      <c r="A12" s="60"/>
      <c r="B12" s="11" t="str">
        <v>冰箱</v>
      </c>
      <c r="C12" s="12" t="str">
        <v>已完成</v>
      </c>
      <c r="D12" s="47">
        <v>50</v>
      </c>
      <c r="E12" s="47">
        <v>50</v>
      </c>
      <c r="F12" s="48">
        <f>G12/E12</f>
      </c>
      <c r="G12" s="75">
        <v>50</v>
      </c>
      <c r="H12" s="50">
        <f>E12-G12</f>
      </c>
      <c r="I12" s="19">
        <v>50</v>
      </c>
      <c r="J12" s="48">
        <f>I12/E12</f>
      </c>
      <c r="K12" s="51" t="inlineStr">
        <is>
          <r>
            <t xml:space="preserve">04.09、4.10：
上汽：打开 / 关闭冰箱设置页面；
字节：云端不下发：冰箱离车工作时长设置、冰箱离车工作周期设置、冰箱上电自动开启开关、冰箱制冰脱冰开关、冰箱遗留物品检测开关、冰箱净味杀菌开关FC问题待修复  -- 字节。
05.19：</t>
          </r>
          <r>
            <t>@杨忠谕</t>
          </r>
          <r>
            <t xml:space="preserve">验证下制冰 脱冰功能，验证失败hmi点击无反应，以提供日志给上汽，反馈需要底软排查。
05.26：待跟踪上汽底软问题修复
0611 上汽反馈需要刷冰箱版本，今日刷了275，明日刷254和319
0615 上汽接口已ok，争取0616提测/0622 已开发完，真车排队自测:自测通过/0629 客户端已提测/0630制冰脱冰测试已通过
</t>
          </r>
          <r>
            <t>0703 8个0627❌</t>
          </r>
        </is>
      </c>
      <c r="O12" s="48">
        <f>P12/E12</f>
      </c>
      <c r="P12" s="71">
        <v>50</v>
      </c>
      <c r="Q12" s="16">
        <f>E12-P12</f>
      </c>
      <c r="T12" s="71">
        <v>50</v>
      </c>
      <c r="U12" s="48">
        <f>T12/E12</f>
      </c>
      <c r="V12" s="11">
        <f>E12-T12</f>
      </c>
      <c r="W12" s="11" t="str">
        <v> P0</v>
      </c>
      <c r="X12" s="89" t="str">
        <v>✅</v>
      </c>
      <c r="Y12" s="53" t="str">
        <v>05.04</v>
      </c>
      <c r="Z12" s="17" t="inlineStr">
        <is>
          <r>
            <t>@杨忠谕</t>
          </r>
        </is>
      </c>
      <c r="AA12" s="11" t="inlineStr">
        <is>
          <r>
            <t>@谢一鸣</t>
          </r>
        </is>
      </c>
      <c r="AB12" s="54">
        <f>AG12/AH12</f>
      </c>
      <c r="AC12" s="55">
        <f>AG12</f>
      </c>
      <c r="AD12" s="55">
        <f>E12-AC12</f>
      </c>
      <c r="AE12" s="54">
        <f>AF12/AG12</f>
      </c>
      <c r="AF12" s="16">
        <f>COUNTIFS('车控'!Q213:Q262,"✅")</f>
      </c>
      <c r="AG12" s="16">
        <f>COUNTIFS('车控'!Q213:Q262,"✅")+COUNTIFS('车控'!Q213:Q262,"❌")+COUNTIFS('车控'!Q213:Q262,"Block")</f>
      </c>
      <c r="AH12" s="28">
        <v>50</v>
      </c>
      <c r="AI12" s="57">
        <f>AF12</f>
      </c>
      <c r="AJ12" s="58">
        <f>AH12-AF12</f>
      </c>
      <c r="AK12" s="58">
        <f>AG12-AF12</f>
      </c>
      <c r="AL12" s="36" t="str">
        <v>字节-郑永超
FAIL（基于研发自测进度，fail项目主要是TTS播报错误）</v>
      </c>
      <c r="AM12" s="59" t="str">
        <v>https://bytedance.larkoffice.com/record/GP1Rr90c2enYeHcUmYoc8B9enbb
https://bytedance.larkoffice.com/record/VJyCr8977eSziIcE43OcjB6lnyd
https://bytedance.larkoffice.com/record/WJ8vr2RzOeMAOecBxq6c5Kjknxb
https://bytedance.larkoffice.com/record/YC7PrLFt0eETL5coKrBccV2un27
https://bytedance.larkoffice.com/record/D7ggrwtCledBrIcYQYlcpyRhnDd
</v>
      </c>
      <c r="AP12" s="11" t="str">
        <v>车控</v>
      </c>
      <c r="AQ12" s="2">
        <f>AH12-E12</f>
      </c>
      <c r="AR12" s="65" t="inlineStr">
        <is>
          <r>
            <t>@杨忠谕</t>
          </r>
          <r>
            <t>@郑永超</t>
          </r>
          <r>
            <t xml:space="preserve"> 模块表里已接api测试进展❌的api的修复进度？-已完成</t>
          </r>
        </is>
      </c>
      <c r="AU12" s="2" t="str">
        <v>周二</v>
      </c>
      <c r="AV12" s="4">
        <v>3</v>
      </c>
    </row>
    <row r="13" spans="1:43">
      <c r="A13" s="60"/>
      <c r="B13" s="15" t="str">
        <v>晕动舒缓显示</v>
      </c>
      <c r="C13" s="12" t="str">
        <v>已完成</v>
      </c>
      <c r="D13" s="47">
        <v>9</v>
      </c>
      <c r="E13" s="47">
        <v>9</v>
      </c>
      <c r="F13" s="48">
        <f>G13/E13</f>
      </c>
      <c r="G13" s="49">
        <v>9</v>
      </c>
      <c r="H13" s="50">
        <f>E13-G13</f>
      </c>
      <c r="I13" s="19">
        <v>9</v>
      </c>
      <c r="J13" s="48">
        <f>I13/E13</f>
      </c>
      <c r="K13" s="67" t="inlineStr">
        <is>
          <r>
            <rPr>
              <strike/>
              <sz val="10"/>
              <rFont val="Arial"/>
            </rPr>
            <t xml:space="preserve">4.10 字节：fc不支持
4.27 等待自测
</t>
          </r>
          <r>
            <rPr>
              <strike/>
              <sz val="10"/>
              <color rgb="FF373C43"/>
              <rFont val="Arial"/>
            </rPr>
            <t>5.06 广播自测成功；实车FC没有下发</t>
          </r>
        </is>
      </c>
      <c r="O13" s="48">
        <f>P13/E13</f>
      </c>
      <c r="P13" s="28">
        <v>9</v>
      </c>
      <c r="Q13" s="16">
        <f>E13-P13</f>
      </c>
      <c r="T13" s="71">
        <v>9</v>
      </c>
      <c r="U13" s="48">
        <f>T13/E13</f>
      </c>
      <c r="V13" s="11">
        <f>E13-T13</f>
      </c>
      <c r="W13" s="11" t="str">
        <v>P2</v>
      </c>
      <c r="X13" s="53" t="str">
        <v>✅</v>
      </c>
      <c r="Y13" s="91" t="inlineStr">
        <is>
          <r>
            <t xml:space="preserve">待产品明确
</t>
          </r>
          <r>
            <t xml:space="preserve">4.28 </t>
          </r>
          <r>
            <t>@廖婉婷</t>
          </r>
          <r>
            <t xml:space="preserve"> 汪帅
</t>
          </r>
          <r>
            <t>4.30 广播自测成功；实车FC没有下发</t>
          </r>
        </is>
      </c>
      <c r="Z13" s="11" t="inlineStr">
        <is>
          <r>
            <t>@余明明</t>
          </r>
        </is>
      </c>
      <c r="AA13" s="11" t="inlineStr">
        <is>
          <r>
            <t>@高宇新</t>
          </r>
        </is>
      </c>
      <c r="AB13" s="54">
        <f>AG13/AH13</f>
      </c>
      <c r="AC13" s="55">
        <f>AG13</f>
      </c>
      <c r="AD13" s="55">
        <f>E13-AC13</f>
      </c>
      <c r="AE13" s="54">
        <f>AF13/AG13</f>
      </c>
      <c r="AF13" s="16">
        <f>COUNTIFS('车控'!Q263:Q271,"✅")</f>
      </c>
      <c r="AG13" s="16">
        <f>COUNTIFS('车控'!Q263:Q271,"✅")+COUNTIFS('车控'!Q263:Q271,"❌")+COUNTIFS('车控'!Q263:Q271,"Block")</f>
      </c>
      <c r="AH13" s="28">
        <v>9</v>
      </c>
      <c r="AI13" s="57">
        <f>AF13</f>
      </c>
      <c r="AJ13" s="58">
        <f>AH13-AF13</f>
      </c>
      <c r="AK13" s="58">
        <f>AG13-AF13</f>
      </c>
      <c r="AL13" s="36" t="str">
        <v>字节-谢军军
PASS</v>
      </c>
      <c r="AP13" s="11" t="str">
        <v>车控</v>
      </c>
      <c r="AQ13" s="2">
        <f>AH13-E13</f>
      </c>
    </row>
    <row r="14" spans="1:48">
      <c r="A14" s="60"/>
      <c r="B14" s="24" t="str">
        <v>后排吸顶屏</v>
      </c>
      <c r="C14" s="12" t="str">
        <v>已完成</v>
      </c>
      <c r="D14" s="47">
        <v>7</v>
      </c>
      <c r="E14" s="47">
        <v>7</v>
      </c>
      <c r="F14" s="48">
        <f>G14/E14</f>
      </c>
      <c r="G14" s="49">
        <v>7</v>
      </c>
      <c r="H14" s="50">
        <f>E14-G14</f>
      </c>
      <c r="I14" s="19">
        <v>7</v>
      </c>
      <c r="J14" s="48">
        <f>I14/E14</f>
      </c>
      <c r="K14" s="51" t="inlineStr">
        <is>
          <r>
            <t>05.19：</t>
          </r>
          <r>
            <t>@刘敬思</t>
          </r>
          <r>
            <t xml:space="preserve">在275实车上验证下打开关闭及角度调节。
05.26：254实车不支持
0528 </t>
          </r>
          <r>
            <t>@方令平</t>
          </r>
          <r>
            <t xml:space="preserve">推进实车问题
</t>
          </r>
          <r>
            <t>0615 、0622开发都提测了，追测试郑永超确认测试进展</t>
          </r>
        </is>
      </c>
      <c r="N14" s="92" t="str">
        <v>linkservicemanager2.0_is4pr_is4gr.pdf 
linksettingmanager-0.0.1_4-20251222.070545-1.jar:https://bytedance.larkoffice.com/file/NQTLb6yhvolgJ6xCTNUcUDqzn9c </v>
      </c>
      <c r="O14" s="48">
        <f>P14/E14</f>
      </c>
      <c r="P14" s="93">
        <v>7</v>
      </c>
      <c r="Q14" s="94">
        <f>E14-P14</f>
      </c>
      <c r="R14" s="95" t="inlineStr">
        <is>
          <r>
            <t xml:space="preserve">04.15：实车不支持后排屏角度调节。
</t>
          </r>
          <r>
            <t xml:space="preserve">04.16：PP基线（4.0.5）的屏控支持，待更新版本验证，  需要更新实车配置字 -- 0421 完成 </t>
          </r>
          <r>
            <t>@邴岱一</t>
          </r>
          <r>
            <t xml:space="preserve">和配置字验证不通过。
</t>
          </r>
          <r>
            <t xml:space="preserve">04.28：验证不通过，DNA-658
</t>
          </r>
          <r>
            <t xml:space="preserve">
</t>
          </r>
          <r>
            <t xml:space="preserve">
</t>
          </r>
          <r>
            <t xml:space="preserve"> 
</t>
          </r>
        </is>
      </c>
      <c r="S14" s="88">
        <v>46133</v>
      </c>
      <c r="T14" s="47">
        <v>7</v>
      </c>
      <c r="U14" s="48">
        <f>T14/E14</f>
      </c>
      <c r="V14" s="11">
        <f>E14-T14</f>
      </c>
      <c r="W14" s="18" t="str">
        <v> P0</v>
      </c>
      <c r="X14" s="53" t="str">
        <v>✅</v>
      </c>
      <c r="Y14" s="96" t="str">
        <v>04.22
当前开发完毕待验证了</v>
      </c>
      <c r="Z14" s="16" t="inlineStr">
        <is>
          <r>
            <t>@高宇新</t>
          </r>
        </is>
      </c>
      <c r="AA14" s="11" t="inlineStr">
        <is>
          <r>
            <t>@田高琳</t>
          </r>
        </is>
      </c>
      <c r="AB14" s="54">
        <f>AG14/AH14</f>
      </c>
      <c r="AC14" s="55">
        <f>AG14</f>
      </c>
      <c r="AD14" s="55">
        <f>E14-AC14</f>
      </c>
      <c r="AE14" s="54">
        <f>AF14/AG14</f>
      </c>
      <c r="AF14" s="16">
        <f>COUNTIFS('车控'!Q272:Q278,"✅")</f>
      </c>
      <c r="AG14" s="16">
        <f>COUNTIFS('车控'!Q272:Q278,"✅")+COUNTIFS('车控'!Q272:Q278,"❌")+COUNTIFS('车控'!Q272:Q278,"Block")</f>
      </c>
      <c r="AH14" s="28">
        <v>7</v>
      </c>
      <c r="AI14" s="57">
        <f>AF14</f>
      </c>
      <c r="AJ14" s="58">
        <f>AH14-AF14</f>
      </c>
      <c r="AK14" s="58">
        <f>AG14-AF14</f>
      </c>
      <c r="AL14" s="36" t="str">
        <v>字节-郑永超
FAIL</v>
      </c>
      <c r="AM14" s="59" t="str">
        <v>https://bytedance.larkoffice.com/record/Eunmr4LB4eJFXrcxyVlcb1qun6c</v>
      </c>
      <c r="AP14" s="11" t="str">
        <v>车控</v>
      </c>
      <c r="AQ14" s="2">
        <f>AH14-E14</f>
      </c>
      <c r="AR14" s="65" t="inlineStr">
        <is>
          <r>
            <t>@刘敬思</t>
          </r>
          <r>
            <t xml:space="preserve"> </t>
          </r>
          <r>
            <t>进度表接7个api，模块表5个api写待实车测试，确认后更新</t>
          </r>
          <r>
            <t>？-0526实车254不支持后排吸顶屏，待复测更新</t>
          </r>
        </is>
      </c>
      <c r="AU14" s="2" t="str">
        <v>周二</v>
      </c>
      <c r="AV14" s="4">
        <v>4</v>
      </c>
    </row>
    <row r="15" spans="1:44">
      <c r="A15" s="60"/>
      <c r="B15" s="15" t="str">
        <v>驾驶模式</v>
      </c>
      <c r="C15" s="12" t="str">
        <v>已完成</v>
      </c>
      <c r="D15" s="66">
        <v>11</v>
      </c>
      <c r="E15" s="66">
        <v>9</v>
      </c>
      <c r="F15" s="48">
        <f>G15/E15</f>
      </c>
      <c r="G15" s="75">
        <v>9</v>
      </c>
      <c r="H15" s="50">
        <f>E15-G15</f>
      </c>
      <c r="I15" s="19">
        <v>9</v>
      </c>
      <c r="J15" s="48">
        <f>I15/E15</f>
      </c>
      <c r="K15" s="92" t="str">
        <v>03.05：
1sdk没写调用哪个manager模块？2setEptTorqueCustMode对应参数值是啥？
setSteeringCustMode对应参数值值是啥？
setSuspensionSts对应参数值值是啥？
以下功能在SDK内没找到对应API：
退出驾驶模式
语音控制动力响应
语音控制转向手感
语音控制悬架阻尼
语音控制恢复标准
03.17：1驾驶模式切换为空时调用关闭驾驶模式是否正确2页面无响应
3.19：驾驶模式页面无响应，驾驶模式为“切换驾驶模式为空”时调用的是“退出驾驶模式”是否正确
3.20问题同上，抓日志给上汽排查
3.23tts播报问题3.26已解决完成
3.27 更新sdk之后，悬架阻尼sdk接口有问题
03.31：HMI无状态显示实际控制效果。
@刘敬思查一下悬架阻尼接口的参数，是否支持三种控制项。如果有问题，微信群求助。
驾驶模式（雪地）调用API入参返回值待排查@刘敬思
4.2
待自测，已删除切换退出驾驶模式需求，已删除多余驾驶模式，悬架阻尼待自测，，添加仅主驾可操作功能
04.02、4.27：字节：转向手感fc不支持，接口对接进行中
上汽：悬架阻尼只有智慧悬架，但实际prd及技术实现包含悬架阻尼设置为舒适/标准/运动
0413 @杨忠谕:上汽说没有退出功能只有切换功能，不做打开关闭功能,280\281
4.23动力响应设置为舒适/标准/运动返回值3010015待上汽排查4.27驾驶模式切换舒适模式UI跳转到晕动舒缓模式，悬架阻尼和动力响应UI无变化4.28悬架阻尼和动力响应UI无变化
0506:驾驶模式悬架阻尼切换到运动返回resultCode=3000005
0512:转向手感待自测，自测不通过
513 抓日志排查,自测不通过排查中
515，05.26：283“方向盘助力调节”FC下发参数error，待云端排查/0608https://bytedance.larkoffice.com/record/WtndrrGeye5iX2cyOPycM3nOnTh 敬思反馈待自测
0528 @刘敬思: 反馈 周怀君 说这个“语音控制悬架阻尼”api先不用管/0608 敬思反馈当时测的时候可能是车的版本问题，时通时不通，加上模块表里ep车备注“只有智慧模式”太久远了，敬思再去车上验证一下，如果当前版本是好的，就提测
0611fc下发value错误，转向手感切换到舒适下发的参数是标准，切换到运动下发的沉稳，切换到标准下发的标准，上汽语义协议和实车上的模式不一致的问题，需要左晨确认下是修改协议还是做映射关系，bug单recvjua8GBsmzg
recvm7pnoeeQw8/0618 左晨在bug里评论，请客户端同学做协议的参数值做适配。舒适=轻盈，运动=沉
稳，标准=标准。@刘敬思: / 0622 已开发完，真车排队自测
0615 除了上面转向手感，其他已提测，与测试郑永超确认测试进展
0622 275实车测试转向手感切换为运动/标准成功切换，切换为舒适，fc参数下发为标准切换失败/0629 recvjua8GBsmzg 服务端已修复，待敬思验证
0629验证已通过
0703 1个待测试 郑永超今晚发版点检的时候验
0706 永超反馈测试已通过，待更新表格</v>
      </c>
      <c r="N15" s="51" t="inlineStr">
        <is>
          <r>
            <t xml:space="preserve">03.05：
</t>
          </r>
          <r>
            <t>@刘敬思</t>
          </r>
          <r>
            <t xml:space="preserve">先找吴佳军反馈。
</t>
          </r>
          <r>
            <t xml:space="preserve">
</t>
          </r>
          <r>
            <t xml:space="preserve">03.17：待上汽排查
</t>
          </r>
          <r>
            <t xml:space="preserve">
</t>
          </r>
          <r>
            <t>03.18：</t>
          </r>
          <r>
            <t>@刘敬思</t>
          </r>
          <r>
            <t xml:space="preserve">修改代码再验证。
</t>
          </r>
          <r>
            <t xml:space="preserve">
</t>
          </r>
          <r>
            <t xml:space="preserve">3.19：
</t>
          </r>
          <r>
            <t xml:space="preserve">驾驶模式页面无响应，驾驶模式为“切换驾驶模式为空”时调用的是“退出驾驶模式”是否正确
</t>
          </r>
          <r>
            <t xml:space="preserve">
</t>
          </r>
          <r>
            <t>03.23：权限SDK群里要一下</t>
          </r>
          <r>
            <t>@刘敬思</t>
          </r>
          <r>
            <t xml:space="preserve">
</t>
          </r>
          <r>
            <t xml:space="preserve">
</t>
          </r>
          <r>
            <t>03.23：</t>
          </r>
          <r>
            <t>@周怀君</t>
          </r>
          <r>
            <t xml:space="preserve">提供权限SDK
</t>
          </r>
          <r>
            <t xml:space="preserve">
</t>
          </r>
          <r>
            <t>03.24：权限SDK提供后无效，待上汽继续支持。3.26已解决完成</t>
          </r>
        </is>
      </c>
      <c r="O15" s="48">
        <f>P15/E15</f>
      </c>
      <c r="P15" s="28">
        <v>9</v>
      </c>
      <c r="Q15" s="16">
        <f>E15-P15</f>
      </c>
      <c r="R15" s="81" t="inlineStr">
        <is>
          <r>
            <t xml:space="preserve">04.15：制动控制 - 自动驻车，HMI回弹。解决计划时间4.0.7
</t>
          </r>
          <r>
            <t xml:space="preserve">
</t>
          </r>
          <r>
            <t xml:space="preserve">04.16：需要拖回安亭做标定后，才能支持
</t>
          </r>
          <r>
            <t xml:space="preserve">
</t>
          </r>
          <r>
            <t xml:space="preserve">04.22:  岱一 4.0.7版本复测 </t>
          </r>
          <r>
            <t>@邴岱一</t>
          </r>
          <r>
            <t>（254测试通过，253FAIL）0422：新问题-电子稳定系统回弹</t>
          </r>
        </is>
      </c>
      <c r="S15" s="12" t="str">
        <v>253实车需拖回安亭待标定，此功能先用254车验证，不block工作。</v>
      </c>
      <c r="T15" s="71">
        <v>9</v>
      </c>
      <c r="U15" s="48">
        <f>T15/E15</f>
      </c>
      <c r="V15" s="11">
        <f>E15-T15</f>
      </c>
      <c r="W15" s="11" t="str">
        <v> P0</v>
      </c>
      <c r="X15" s="89" t="str">
        <v>✅</v>
      </c>
      <c r="Y15" s="91" t="str">
        <v>5月9号</v>
      </c>
      <c r="Z15" s="16" t="inlineStr">
        <is>
          <r>
            <t>@高宇新</t>
          </r>
        </is>
      </c>
      <c r="AA15" s="11" t="inlineStr">
        <is>
          <r>
            <t>@田高琳</t>
          </r>
        </is>
      </c>
      <c r="AB15" s="54">
        <f>AG15/AH15</f>
      </c>
      <c r="AC15" s="55">
        <f>AG15</f>
      </c>
      <c r="AD15" s="55">
        <f>E15-AC15</f>
      </c>
      <c r="AE15" s="54">
        <f>AF15/AG15</f>
      </c>
      <c r="AF15" s="16">
        <f>COUNTIFS('车控'!Q279:Q289,"✅")</f>
      </c>
      <c r="AG15" s="16">
        <f>COUNTIFS('车控'!Q279:Q289,"✅")+COUNTIFS('车控'!Q279:Q289,"❌")+COUNTIFS('车控'!Q279:Q289,"Block")</f>
      </c>
      <c r="AH15" s="28">
        <v>9</v>
      </c>
      <c r="AI15" s="57">
        <f>AF15</f>
      </c>
      <c r="AJ15" s="58">
        <f>AH15-AF15</f>
      </c>
      <c r="AK15" s="58">
        <f>AG15-AF15</f>
      </c>
      <c r="AL15" s="86" t="str">
        <v>上汽-FAIL
字节-郑永超 FAIL</v>
      </c>
      <c r="AM15" s="59" t="str">
        <v>https://bytedance.larkoffice.com/record/Bx45rDZv1eg1IOcKN2xci1b3nBd
https://bytedance.larkoffice.com/record/XTdSr1uKTeSfTHcqTcVcqiTRnfe</v>
      </c>
      <c r="AP15" s="11" t="str">
        <v>车控</v>
      </c>
      <c r="AQ15" s="2">
        <f>AH15-E15</f>
      </c>
      <c r="AR15" s="65" t="inlineStr">
        <is>
          <r>
            <rPr>
              <strike/>
              <sz val="10"/>
              <rFont val="Arial"/>
            </rPr>
            <t xml:space="preserve">
</t>
          </r>
          <r>
            <rPr>
              <strike/>
              <sz val="10"/>
              <color rgb="FFF54A45"/>
              <rFont val="Arial"/>
            </rPr>
            <t>@刘敬思</t>
          </r>
          <r>
            <rPr>
              <strike/>
              <sz val="10"/>
              <color rgb="FFF54A45"/>
              <rFont val="Arial"/>
            </rPr>
            <t xml:space="preserve">语音控制悬架阻尼api备注需双方需求对齐功能，具体进展？-
</t>
          </r>
          <r>
            <rPr>
              <strike/>
              <sz val="10"/>
              <rFont val="Arial"/>
            </rPr>
            <t>@郑永超</t>
          </r>
          <r>
            <rPr>
              <strike/>
              <sz val="10"/>
              <rFont val="Arial"/>
            </rPr>
            <t xml:space="preserve"> 进度表总case9完全通过，覆盖哪些api？更新模块表测试进展列-已完成</t>
          </r>
        </is>
      </c>
    </row>
    <row r="16" spans="1:43">
      <c r="A16" s="60"/>
      <c r="B16" s="11" t="str">
        <v>驾驶设置</v>
      </c>
      <c r="C16" s="12" t="str">
        <v>【火山】待测试</v>
      </c>
      <c r="D16" s="66">
        <v>8</v>
      </c>
      <c r="E16" s="66">
        <v>8</v>
      </c>
      <c r="F16" s="48">
        <f>G16/E16</f>
      </c>
      <c r="G16" s="75">
        <v>8</v>
      </c>
      <c r="H16" s="50">
        <f>E16-G16</f>
      </c>
      <c r="I16" s="19">
        <v>8</v>
      </c>
      <c r="J16" s="48">
        <f>I16/E16</f>
      </c>
      <c r="K16" s="84" t="inlineStr">
        <is>
          <r>
            <t>1.能量回收设置为高中低  @guixiang 反馈说权限问题 需加白名单</t>
          </r>
          <r>
            <t>@田高琳</t>
          </r>
          <r>
            <t xml:space="preserve">
03.31：</t>
          </r>
          <r>
            <t>@田高琳</t>
          </r>
          <r>
            <t xml:space="preserve">能量回收高中低控制问题，待提供log给guixiang排查。
04.02、4.10：剩余5功能，待FC支持。 (已补充至文档)
4.14 </t>
          </r>
          <r>
            <t>@田高琳</t>
          </r>
          <r>
            <t xml:space="preserve">今天补充在FC问题清单 已补充
4.21
能量回收设置为自适应，HMI也缺失
发动机维修模式（排放检测模式）开关，实车不支持
0504 </t>
          </r>
          <r>
            <t>@田高琳</t>
          </r>
          <r>
            <t xml:space="preserve"> :上汽桂祥反馈无该需求288
发动机维修模式、动力源模式FC还不支持 </t>
          </r>
          <r>
            <t>@左晨</t>
          </r>
          <r>
            <t xml:space="preserve">
5.9 能量回收设置为自适应 自行找产品确认好，不支持就TTS兜底；产业要求TTS兜底，等FC能下发之后兜底
0518：发动机维修模式FC不支持 </t>
          </r>
          <r>
            <t>@左晨</t>
          </r>
          <r>
            <t xml:space="preserve">
05.26：2个api 293、294 未收到FC
0527:待研发刷新。
0528 2个api 293、294  </t>
          </r>
          <r>
            <t>@尹泽陆</t>
          </r>
          <r>
            <t xml:space="preserve"> 确认接口是否可用/</t>
          </r>
          <r>
            <t>@尹泽陆</t>
          </r>
          <r>
            <t xml:space="preserve"> 288行“上汽桂祥反馈无该需求” 接兜底
0603 ”语音控制发动机维修模式-打开发动机维修模式、关闭发动机维修模式“FC无法下发，已反馈
0608 泽陆今日复验：FC无法下发，已反馈
0615 泽陆今天再试一下，如果没好就把原来的bug填进来；开发目前名下无bug，打开关闭某动力源模式测试❌与测试郑永超确认进展/0616 泽陆：等debug车回来/ fc已有，如果下发有问题找算法
0618 1个api（语音控制发动机维修模式），验证FC无法下发，已反馈云端
0622 研发名下bug今天可修复，真车排队验证
0706 再催泽民
7/7 泽民说添加个动态示例就能解决，会尽快解决
0708 泽民说已经好了，让他把meego单给泽陆，已通知泽陆0709发版后验一下
</t>
          </r>
          <r>
            <t>0720 meego票泽民已解决，待泽陆确认结果</t>
          </r>
        </is>
      </c>
      <c r="N16" s="97" t="inlineStr">
        <is>
          <r>
            <t>03.23：权限SDK群里要一下</t>
          </r>
          <r>
            <t>@田高琳</t>
          </r>
          <r>
            <t xml:space="preserve">
</t>
          </r>
          <r>
            <t xml:space="preserve">
</t>
          </r>
          <r>
            <t>03.23：</t>
          </r>
          <r>
            <t>@周怀君</t>
          </r>
          <r>
            <t xml:space="preserve">提供权限SDK
</t>
          </r>
          <r>
            <t xml:space="preserve">
</t>
          </r>
          <r>
            <t xml:space="preserve">03.24：权限SDK提供后无效，待上汽继续支持。
</t>
          </r>
          <r>
            <t xml:space="preserve">
</t>
          </r>
          <r>
            <t>03.30：集成上汽签名包后，整体验一下权限问题。</t>
          </r>
          <r>
            <t>@田高琳</t>
          </r>
        </is>
      </c>
      <c r="O16" s="48">
        <f>P16/E16</f>
      </c>
      <c r="P16" s="93">
        <v>8</v>
      </c>
      <c r="Q16" s="94">
        <f>E16-P16</f>
      </c>
      <c r="R16" s="98" t="inlineStr">
        <is>
          <r>
            <t xml:space="preserve">04.15：实车不支持发动机维修模式
</t>
          </r>
          <r>
            <t xml:space="preserve">04.16：IS4PR车-&gt;排放检测模式，按键置灰无法点击
</t>
          </r>
          <r>
            <t>---待反馈解决计划</t>
          </r>
          <r>
            <t>@董晓颖</t>
          </r>
          <r>
            <t xml:space="preserve">
</t>
          </r>
          <r>
            <t>04.21：</t>
          </r>
          <r>
            <t>@邴岱一</t>
          </r>
          <r>
            <t>上高压去验证。 - 已验证通过</t>
          </r>
        </is>
      </c>
      <c r="T16" s="47">
        <v>6</v>
      </c>
      <c r="U16" s="48">
        <f>T16/E16</f>
      </c>
      <c r="V16" s="19">
        <v>5</v>
      </c>
      <c r="W16" s="11" t="str">
        <v> P0</v>
      </c>
      <c r="X16" s="53" t="str">
        <v>✅</v>
      </c>
      <c r="Y16" s="96" t="str">
        <v>4.22
开发完毕待自测了</v>
      </c>
      <c r="Z16" s="11" t="inlineStr">
        <is>
          <r>
            <t>@尹泽陆</t>
          </r>
        </is>
      </c>
      <c r="AA16" s="11" t="inlineStr">
        <is>
          <r>
            <t>@谢一鸣</t>
          </r>
        </is>
      </c>
      <c r="AB16" s="54">
        <f>AG16/AH16</f>
      </c>
      <c r="AC16" s="55">
        <f>AG16</f>
      </c>
      <c r="AD16" s="55">
        <f>E16-AC16</f>
      </c>
      <c r="AE16" s="54">
        <f>AF16/AG16</f>
      </c>
      <c r="AF16" s="16">
        <f>COUNTIFS('车控'!Q290:Q297,"✅")</f>
      </c>
      <c r="AG16" s="16">
        <f>COUNTIFS('车控'!Q290:Q297,"✅")+COUNTIFS('车控'!Q290:Q297,"❌")+COUNTIFS('车控'!Q290:Q297,"Block")</f>
      </c>
      <c r="AH16" s="28">
        <v>5</v>
      </c>
      <c r="AI16" s="57">
        <f>AF16</f>
      </c>
      <c r="AJ16" s="58">
        <f>AH16-AF16</f>
      </c>
      <c r="AK16" s="58">
        <f>AG16-AF16</f>
      </c>
      <c r="AL16" s="74" t="str">
        <v>上汽
（待对接进度为100%，上汽在测试）
FAIL
字节-刘晓帝
</v>
      </c>
      <c r="AM16" s="59" t="str">
        <v>https://bytedance.larkoffice.com/record/ASFBrTYvXe7Zu1cYU5RcfcqcnVf
https://bytedance.larkoffice.com/record/KYCYrOrLXetbA6cuDf9cEN9bnpd
https://bytedance.larkoffice.com/record/DN8OrxDeOezpLDcWgSpcl5EynlS
https://bytedance.larkoffice.com/record/OR4KrHm0DefpaacoiyXcrtFQneh
https://bytedance.larkoffice.com/record/GcTVrAyDNewX0rc22L9c71ADnlg
https://bytedance.larkoffice.com/record/KnMWr4BtieGVDIcT8eTcIwmVnKc
https://bytedance.larkoffice.com/record/Qg0SrLgAwe2Du6cQSzQckGhennK
https://bytedance.larkoffice.com/record/KcEfrdl6He8y86c3yymczsl6nVe
https://bytedance.larkoffice.com/record/UgDRr5xMweJZnIcKKWFcfusIntf</v>
      </c>
      <c r="AP16" s="11" t="str">
        <v>车控</v>
      </c>
      <c r="AQ16" s="2">
        <f>AH16-E16</f>
      </c>
    </row>
    <row r="17" spans="1:45">
      <c r="A17" s="60"/>
      <c r="B17" s="14" t="str">
        <v>摄像头相关</v>
      </c>
      <c r="C17" s="12" t="str">
        <v>【火山】待问题修复</v>
      </c>
      <c r="D17" s="66">
        <v>43</v>
      </c>
      <c r="E17" s="66">
        <v>43</v>
      </c>
      <c r="F17" s="48">
        <f>G17/E17</f>
      </c>
      <c r="G17" s="49">
        <v>43</v>
      </c>
      <c r="H17" s="50">
        <f>E17-G17</f>
      </c>
      <c r="I17" s="19">
        <v>43</v>
      </c>
      <c r="J17" s="48">
        <f>I17/E17</f>
      </c>
      <c r="K17" s="79" t="inlineStr">
        <is>
          <r>
            <t xml:space="preserve">1、打开 Carlog 应用使用原生跳转需要提供包名
2、打开相册使用原生跳转提供相关action
3、OMS摄像查看开关不下发FC（字节内部）
4、哨兵模式接口调用失败
5、驾驶员疲劳监测打开失败
</t>
          </r>
          <r>
            <t xml:space="preserve">03.27 摄像头OMS预览页面之类的没有
04.02：PP 4.0.3版本可测试验证。
04.16: 行车影像设置页面跳转无反应
04.20：除了以上三项都已经解决完毕
0422：</t>
          </r>
          <r>
            <t>@赵明珠</t>
          </r>
          <r>
            <t xml:space="preserve">刷新好最新状态
04.22:今天 253实车摄像头有问题，没有画面
 04.24:释放新接口待接入
0506：dvr信号不稳定
0506：carlog拍照录像提示需要插入U盘
0507：dvr端状态拿不到信号
字节：缺FC 
</t>
          </r>
          <r>
            <t xml:space="preserve">0519：端状态信号不稳定，包含下述3类 ~ 上汽 余良德
一般录像开关信号：onNormalRecordSwitchStatus
录音开关信号：onAudioRecordStatus
OMS信号：onSwitchStatusChange
05.26：问题同05.19，推进上汽反馈排查。
05.27：接口使用问题：微信群搜索“就是用enum转int就行”
</t>
          </r>
          <r>
            <t xml:space="preserve">0603 u盘（c口128g）测试阻碍的问题暂时挂起，等p基线上了之后再验证（2个api，录像 - 短视频录像、控制 DVR - 设置录制时长）
</t>
          </r>
          <r>
            <t>0528 313、316两行api，fc不下发 请产品</t>
          </r>
          <r>
            <t>@廖婉婷</t>
          </r>
          <r>
            <t>支持/</t>
          </r>
          <r>
            <t xml:space="preserve">0602 张王成已清除313、316fc不下发的备注，316已接
</t>
          </r>
          <r>
            <t xml:space="preserve">还差用U盘验证的2个接口
06.16 忠谕:摄像头有三个新增的需求但是相对应的接口还没提供已在微信群中沟通。/0622 接口问题已问怀君等反馈
</t>
          </r>
          <r>
            <t>0706已自测通过待更新表格提测</t>
          </r>
        </is>
      </c>
      <c r="N17" s="51" t="inlineStr">
        <is>
          <r>
            <t>1&amp;2待上汽定点；待上汽反馈</t>
          </r>
          <r>
            <t>@周怀君</t>
          </r>
          <r>
            <t xml:space="preserve">
</t>
          </r>
          <r>
            <t>4&amp;5.</t>
          </r>
          <r>
            <t>@赵明珠</t>
          </r>
          <r>
            <t xml:space="preserve">在微信群和上汽接口同事「guixiang」沟通预期表现。
</t>
          </r>
          <r>
            <t xml:space="preserve">
</t>
          </r>
          <r>
            <t xml:space="preserve">03.11：
</t>
          </r>
          <r>
            <t>4&amp;5待有控制页面提供后再验证。0312 上汽预计本周提供</t>
          </r>
          <r>
            <t>@赵明珠</t>
          </r>
          <r>
            <t xml:space="preserve">
</t>
          </r>
          <r>
            <t xml:space="preserve">
</t>
          </r>
          <r>
            <t xml:space="preserve">03.16：
</t>
          </r>
          <r>
            <t xml:space="preserve">摄像头HMI出图问题，预计下周版本解决。
</t>
          </r>
          <r>
            <t xml:space="preserve">
</t>
          </r>
          <r>
            <t xml:space="preserve">03.23：PP 4.0.X版本解决，待「guixiang」跟进争取本周解决。
</t>
          </r>
          <r>
            <t xml:space="preserve">
</t>
          </r>
          <r>
            <t xml:space="preserve">03:26：
</t>
          </r>
          <r>
            <t xml:space="preserve">在台架4.0.2版本接入OMS/DMS尝试推apk验证；@桂祥&amp;周毅
</t>
          </r>
          <r>
            <t xml:space="preserve">
</t>
          </r>
          <r>
            <t xml:space="preserve">
</t>
          </r>
          <r>
            <t>Carlog功能8条，排期4/30交付</t>
          </r>
          <r>
            <t xml:space="preserve">
</t>
          </r>
          <r>
            <t>非接口需求：6条</t>
          </r>
          <r>
            <t xml:space="preserve">
</t>
          </r>
          <r>
            <t>打开页面2条已提供跳转能力接口</t>
          </r>
          <r>
            <t xml:space="preserve">
</t>
          </r>
          <r>
            <t>关闭页面2条预计4/16和字节沟通开发方案，4/30完成交付</t>
          </r>
        </is>
      </c>
      <c r="O17" s="62">
        <f>P17/E17</f>
      </c>
      <c r="P17" s="71">
        <v>43</v>
      </c>
      <c r="Q17" s="16">
        <f>E17-P17</f>
      </c>
      <c r="R17" s="81" t="inlineStr">
        <is>
          <r>
            <rPr>
              <strike/>
              <sz val="10"/>
              <color rgb="FF1F2329"/>
              <rFont val="Arial"/>
            </rPr>
            <t xml:space="preserve">04.09：PPV1实车摄像头相关控制及取图失效。
</t>
          </r>
          <r>
            <rPr>
              <sz val="10"/>
              <color rgb="FFF54A45"/>
              <rFont val="Arial"/>
            </rPr>
            <t xml:space="preserve">04.13：舱内OMS*2 + 舱外AVCamr_F3（前120度周视） + </t>
          </r>
          <r>
            <rPr>
              <b/>
              <sz val="10"/>
              <color rgb="FFF54A45"/>
              <rFont val="Arial"/>
            </rPr>
            <t xml:space="preserve">舱外 AVCamr_R（后周视）---04.25提供
</t>
          </r>
          <r>
            <rPr>
              <sz val="10"/>
              <color rgb="FFF54A45"/>
              <rFont val="Arial"/>
            </rPr>
            <t xml:space="preserve">04.15：只支持前排查看。HMI 后排查看等控制，无响应。
04.16: 开发排期4.22开发完成
</t>
          </r>
          <r>
            <rPr>
              <sz val="10"/>
              <color rgb="FFF54A45"/>
              <rFont val="Arial"/>
            </rPr>
            <t xml:space="preserve">04.28：VQA功能依赖摄像头取图能力，经常出现问题周毅让我们重启车机试一试~反馈是暂时不会推动解决稳定性的问题。---请上汽内部推动解决。
04.30：OMS概率取黑白图，非持续彩色图。</t>
          </r>
        </is>
      </c>
      <c r="S17" s="88">
        <v>46134</v>
      </c>
      <c r="T17" s="19">
        <v>43</v>
      </c>
      <c r="U17" s="48">
        <f>T17/E17</f>
      </c>
      <c r="V17" s="11">
        <f>E17-T17</f>
      </c>
      <c r="W17" s="11" t="str">
        <v> P0</v>
      </c>
      <c r="X17" s="53" t="str">
        <v>✅</v>
      </c>
      <c r="Y17" s="53" t="str">
        <v>05.09</v>
      </c>
      <c r="Z17" s="11" t="inlineStr">
        <is>
          <r>
            <t>@杨忠谕</t>
          </r>
        </is>
      </c>
      <c r="AA17" s="11" t="inlineStr">
        <is>
          <r>
            <t>@赵明珠</t>
          </r>
        </is>
      </c>
      <c r="AB17" s="54">
        <f>AG17/AH17</f>
      </c>
      <c r="AC17" s="55">
        <f>AG17</f>
      </c>
      <c r="AD17" s="55">
        <f>E17-AC17</f>
      </c>
      <c r="AE17" s="54">
        <f>AF17/AG17</f>
      </c>
      <c r="AF17" s="16">
        <f>COUNTIFS('车控'!Q300:Q342,"✅")</f>
      </c>
      <c r="AG17" s="16">
        <f>COUNTIFS('车控'!Q300:Q342,"✅")+COUNTIFS('车控'!Q300:Q342,"❌")+COUNTIFS('车控'!Q300:Q342,"Block")</f>
      </c>
      <c r="AH17" s="28">
        <v>37</v>
      </c>
      <c r="AI17" s="57">
        <f>AF17</f>
      </c>
      <c r="AJ17" s="58">
        <f>AH17-AF17</f>
      </c>
      <c r="AK17" s="58">
        <f>AG17-AF17</f>
      </c>
      <c r="AL17" s="86" t="str">
        <v>上汽
FAIL
字节-郑永超 FAIl</v>
      </c>
      <c r="AM17" s="59" t="str">
        <v>https://bytedance.larkoffice.com/record/KUAHrWiGfedqLFcpJCKcFrjen9g
https://bytedance.larkoffice.com/record/RBnvrSFwNeLkNPc6qq0cOPe7nfb
https://bytedance.larkoffice.com/record/UhDrrZyHGenZjQcUaY3ciiHkngb
https://bytedance.larkoffice.com/record/QhimrMdH4elYrQcOtAscuECTncc
https://bytedance.larkoffice.com/record/Qvzjr1p6xetzHDcusklceEj7nrd
</v>
      </c>
      <c r="AP17" s="11" t="str">
        <v>车控</v>
      </c>
      <c r="AQ17" s="2">
        <f>AH17-E17</f>
      </c>
      <c r="AR17" s="65" t="inlineStr">
        <is>
          <r>
            <rPr>
              <strike/>
              <sz val="10"/>
              <rFont val="Arial"/>
            </rPr>
            <t xml:space="preserve">
</t>
          </r>
          <r>
            <rPr>
              <strike/>
              <sz val="10"/>
              <rFont val="Arial"/>
            </rPr>
            <t>@张王成</t>
          </r>
          <r>
            <rPr>
              <strike/>
              <sz val="10"/>
              <rFont val="Arial"/>
            </rPr>
            <t xml:space="preserve">进度表接api41，模块表研发进展只有40✅，请确认并更新？- 已更新，只有40
</t>
          </r>
          <r>
            <rPr>
              <sz val="10"/>
              <rFont val="Arial"/>
            </rPr>
            <t>@张王成</t>
          </r>
          <r>
            <rPr>
              <sz val="10"/>
              <rFont val="Arial"/>
            </rPr>
            <t xml:space="preserve"> </t>
          </r>
          <r>
            <rPr>
              <strike/>
              <sz val="10"/>
              <rFont val="Arial"/>
            </rPr>
            <t>两个fc不下发313、316，下一步做什么？</t>
          </r>
          <r>
            <rPr>
              <sz val="10"/>
              <rFont val="Arial"/>
            </rPr>
            <t>1个</t>
          </r>
          <r>
            <rPr>
              <strike/>
              <sz val="10"/>
              <rFont val="Arial"/>
            </rPr>
            <t>302备注需要U盘，其他有的也备注了需要u盘但是也接了，这一条按照之前的做法接</t>
          </r>
        </is>
      </c>
      <c r="AS17" s="99">
        <v>1</v>
      </c>
    </row>
    <row r="18" spans="1:44">
      <c r="A18" s="60"/>
      <c r="B18" s="14" t="str">
        <v>维保</v>
      </c>
      <c r="C18" s="24" t="str">
        <v>已完成</v>
      </c>
      <c r="D18" s="49">
        <v>2</v>
      </c>
      <c r="E18" s="49">
        <v>2</v>
      </c>
      <c r="F18" s="48">
        <f>G18/E18</f>
      </c>
      <c r="G18" s="49">
        <v>2</v>
      </c>
      <c r="H18" s="50">
        <f>E18-G18</f>
      </c>
      <c r="I18" s="19">
        <v>2</v>
      </c>
      <c r="J18" s="48">
        <f>I18/E18</f>
      </c>
      <c r="K18" s="79" t="str">
        <v>从端状态信号对接获取
左晨0415：研发把 维保的信息收集到上报即可。整体需求与车况随心问相同，纳入到车况随心问中。
4.16待西钺提供端状态信息。
4.17待左晨找上汽产品对齐，因上汽反馈维保信息获取不到
4.20:左晨答复上汽的产品了，  查询类功能，要打开页面我们做不了。 上汽还没回复
05.26：上汽已提供ZoneAPI，待开发验证接口状态。
05.27: 0527确认API，0529完成开发；
06.01:需上汽侧把实车数据录入云端后才可查看数据，已反馈，待回复解决时间。 上汽怀君
0602 已追怀君，等反馈/怀君：云端在确认中，下午给反馈
0603 追怀君，暂未反馈
0614 与周怀君确认，他还在推动解决/ 0616 依旧
7/7 jira bug单更新，上汽侧评论7/6提交代码，6.0.1（7/7）版本可修复，已通知忠谕7/8验一下
0708 忠谕反馈今晚验
0710 忠谕验证上汽端有问题</v>
      </c>
      <c r="N18" s="81" t="inlineStr">
        <is>
          <r>
            <rPr>
              <strike/>
              <sz val="10"/>
              <color rgb="FF1F2329"/>
              <rFont val="Arial"/>
            </rPr>
            <t xml:space="preserve">维保信息在云端，需要云云对接
</t>
          </r>
          <r>
            <rPr>
              <sz val="10"/>
              <color rgb="FFF54A45"/>
              <rFont val="Arial"/>
            </rPr>
            <t xml:space="preserve">1. 维保页面显示IP5PM项目开发未完成，DM负责开发 -- IP5PM 项目需要DM 确认
2. 接口需要DM提供云端接口</t>
          </r>
        </is>
      </c>
      <c r="O18" s="62">
        <f>P18/E18</f>
      </c>
      <c r="P18" s="71">
        <v>2</v>
      </c>
      <c r="Q18" s="100">
        <f>E18-P18</f>
      </c>
      <c r="R18" s="100" t="str">
        <v>维保，不涉及实车验证。</v>
      </c>
      <c r="T18" s="71">
        <v>2</v>
      </c>
      <c r="U18" s="48">
        <f>T18/E18</f>
      </c>
      <c r="V18" s="11">
        <f>E18-T18</f>
      </c>
      <c r="W18" s="11" t="str">
        <v>P2</v>
      </c>
      <c r="Y18" s="53" t="str">
        <v>06.15</v>
      </c>
      <c r="Z18" s="11" t="inlineStr">
        <is>
          <r>
            <t>@杨忠谕</t>
          </r>
        </is>
      </c>
      <c r="AA18" s="11" t="inlineStr">
        <is>
          <r>
            <t>@余明明</t>
          </r>
        </is>
      </c>
      <c r="AB18" s="54">
        <f>AG18/AH18</f>
      </c>
      <c r="AC18" s="55">
        <f>AG18</f>
      </c>
      <c r="AD18" s="55">
        <f>E18-AC18</f>
      </c>
      <c r="AE18" s="54">
        <f>AF18/AG18</f>
      </c>
      <c r="AF18" s="16">
        <f>COUNTIFS('车控'!Q343:Q344,"✅")</f>
      </c>
      <c r="AG18" s="16">
        <f>COUNTIFS('车控'!Q343:Q344,"✅")+COUNTIFS('车控'!Q343:Q344,"❌")+COUNTIFS('车控'!Q343:Q344,"Block")</f>
      </c>
      <c r="AH18" s="28">
        <v>2</v>
      </c>
      <c r="AI18" s="57">
        <f>AF18</f>
      </c>
      <c r="AJ18" s="58">
        <f>AH18-AF18</f>
      </c>
      <c r="AK18" s="58">
        <f>AG18-AF18</f>
      </c>
      <c r="AL18" s="36" t="str">
        <v>字节-刘晓帝</v>
      </c>
      <c r="AP18" s="11" t="str">
        <v>车控</v>
      </c>
      <c r="AQ18" s="2">
        <f>AH18-E18</f>
      </c>
      <c r="AR18" s="65" t="inlineStr">
        <is>
          <r>
            <t>@杨忠谕</t>
          </r>
          <r>
            <t xml:space="preserve"> 进度表备注api已确认，请更新模块表L列接口识别-</t>
          </r>
        </is>
      </c>
    </row>
    <row r="19" spans="1:44">
      <c r="A19" s="60"/>
      <c r="B19" s="11" t="str">
        <v>制动</v>
      </c>
      <c r="C19" s="24" t="str">
        <v>【火山】待问题修复</v>
      </c>
      <c r="D19" s="66">
        <v>8</v>
      </c>
      <c r="E19" s="66">
        <v>8</v>
      </c>
      <c r="F19" s="48">
        <f>G19/E19</f>
      </c>
      <c r="G19" s="49">
        <v>8</v>
      </c>
      <c r="H19" s="50">
        <f>E19-G19</f>
      </c>
      <c r="I19" s="19">
        <v>8</v>
      </c>
      <c r="J19" s="48">
        <f>I19/E19</f>
      </c>
      <c r="K19" s="67" t="inlineStr">
        <is>
          <r>
            <rPr>
              <strike/>
              <sz val="10"/>
              <rFont val="Arial"/>
            </rPr>
            <t xml:space="preserve">03.05：
sdk未找到调用哪个manager？
</t>
          </r>
          <r>
            <rPr>
              <strike/>
              <sz val="10"/>
              <color rgb="FF1F2329"/>
              <rFont val="Arial"/>
            </rPr>
            <t xml:space="preserve">03.12：
①状态 制动页面无响应；
②自动驻车所有接口调用之后设置页面没响应。3.19制动页面无响应
3.20问题同上，抓日志给上汽排查
3.27 问题同上，上汽排查中
03.30：HMI上无法识别是否生效。
03.31 </t>
          </r>
          <r>
            <rPr>
              <strike/>
              <sz val="10"/>
              <color rgb="FF1F2329"/>
              <rFont val="Arial"/>
            </rPr>
            <t>@刘敬思</t>
          </r>
          <r>
            <rPr>
              <strike/>
              <sz val="10"/>
              <color rgb="FF1F2329"/>
              <rFont val="Arial"/>
            </rPr>
            <t xml:space="preserve">「舒适制动」提供log给guixiang分析设置是否成功。HMI待后续支持。
4.3、4.10
“自动驻车”待左晨确认“深踩”模式及“传统”模式需求；添加仅主驾可操作功能
4.14 上汽说有这个需求，左晨说没有这个需求，待产品确认
4.16待上汽需求更新prd,打开关闭自动驻车及深踩模式的需求prd =》04.20：prd未更新
4.21上汽：待上汽更新prd4.27UI关闭制动全部无响应4.28制动253车置灰无法点击
05.26：待guixiang反馈更新SDK
05.27：如微信群沟通，语音打开需要设置last模式 请开发</t>
          </r>
          <r>
            <rPr>
              <strike/>
              <sz val="10"/>
              <color rgb="FF1F2329"/>
              <rFont val="Arial"/>
            </rPr>
            <t>@刘敬思</t>
          </r>
          <r>
            <rPr>
              <strike/>
              <sz val="10"/>
              <color rgb="FF1F2329"/>
              <rFont val="Arial"/>
            </rPr>
            <t xml:space="preserve">用此方式确认
0601接口调用返回值没拿到，待微信群和开发沟通
0602待自测
</t>
          </r>
          <r>
            <rPr>
              <b/>
              <strike/>
              <sz val="10"/>
              <color rgb="FF1F2329"/>
              <rFont val="Arial"/>
            </rPr>
            <t xml:space="preserve">0604:接口返回值无法使用，需要再跟客户沟通
0608 车控-制动-自动驻车开关 - 打开，敬思反馈待自测/0611 敬思验证通过，提测
</t>
          </r>
          <r>
            <rPr>
              <sz val="10"/>
              <color rgb="FFF54A45"/>
              <rFont val="Arial"/>
            </rPr>
            <t>0615、0622 开发已都提测，开发名下没有bug，追测试谢军军进展</t>
          </r>
        </is>
      </c>
      <c r="N19" s="101" t="inlineStr">
        <is>
          <r>
            <t xml:space="preserve">03.05：
</t>
          </r>
          <r>
            <t>@刘敬思</t>
          </r>
          <r>
            <t xml:space="preserve">先找吴佳军反馈。
</t>
          </r>
          <r>
            <t xml:space="preserve">
</t>
          </r>
          <r>
            <t xml:space="preserve">03.12：
</t>
          </r>
          <r>
            <t>①&amp;②确认返回值，分析是API问题 or HMI问题。</t>
          </r>
          <r>
            <t>@刘敬思</t>
          </r>
          <r>
            <t xml:space="preserve">提供log包。
</t>
          </r>
          <r>
            <t xml:space="preserve">
</t>
          </r>
          <r>
            <t xml:space="preserve">03.17：
</t>
          </r>
          <r>
            <t>@周怀君</t>
          </r>
          <r>
            <t xml:space="preserve">找jiajun协调支持。
</t>
          </r>
          <r>
            <t xml:space="preserve">
</t>
          </r>
          <r>
            <t>03.18：</t>
          </r>
          <r>
            <t>@刘敬思</t>
          </r>
          <r>
            <t xml:space="preserve">修改代码再验证。
</t>
          </r>
          <r>
            <t xml:space="preserve">
</t>
          </r>
          <r>
            <t xml:space="preserve">3.19：制动页面无响应
</t>
          </r>
          <r>
            <t xml:space="preserve">
</t>
          </r>
          <r>
            <t>03.23：权限SDK群里要一下</t>
          </r>
          <r>
            <t>@刘敬思</t>
          </r>
          <r>
            <t xml:space="preserve">
</t>
          </r>
          <r>
            <t xml:space="preserve">
</t>
          </r>
          <r>
            <t>03.23：</t>
          </r>
          <r>
            <t>@周怀君</t>
          </r>
          <r>
            <t>提供权限SDK</t>
          </r>
        </is>
      </c>
      <c r="O19" s="48">
        <f>P19/E19</f>
      </c>
      <c r="P19" s="102">
        <v>7</v>
      </c>
      <c r="Q19" s="16">
        <f>E19-P19</f>
      </c>
      <c r="R19" s="81" t="inlineStr">
        <is>
          <r>
            <t xml:space="preserve">04.09：PPV1实车HMI制动控制不可用。
</t>
          </r>
          <r>
            <t xml:space="preserve">04.16： 需要实车进行标定
</t>
          </r>
          <r>
            <t xml:space="preserve">04.21：编号254标定完成，待验证是否HMI可控制， 验证有按钮回弹， 测试开票跟进 - </t>
          </r>
          <r>
            <t>@董晓颖</t>
          </r>
          <r>
            <t xml:space="preserve">
</t>
          </r>
          <r>
            <t>04.22：预计4.0.8版本修复</t>
          </r>
        </is>
      </c>
      <c r="S19" s="88">
        <v>46141</v>
      </c>
      <c r="T19" s="71">
        <v>8</v>
      </c>
      <c r="U19" s="48">
        <f>T19/E19</f>
      </c>
      <c r="V19" s="11">
        <f>E19-T19</f>
      </c>
      <c r="W19" s="11" t="str">
        <v> P0</v>
      </c>
      <c r="X19" s="53" t="str">
        <v>✅</v>
      </c>
      <c r="Y19" s="53" t="str">
        <v>2026/5/7</v>
      </c>
      <c r="Z19" s="16" t="inlineStr">
        <is>
          <r>
            <t>@高宇新</t>
          </r>
        </is>
      </c>
      <c r="AA19" s="11" t="inlineStr">
        <is>
          <r>
            <t>@余明明</t>
          </r>
        </is>
      </c>
      <c r="AB19" s="54">
        <f>AG19/AH19</f>
      </c>
      <c r="AC19" s="55">
        <f>AG19</f>
      </c>
      <c r="AD19" s="55">
        <f>E19-AC19</f>
      </c>
      <c r="AE19" s="54">
        <f>AF19/AG19</f>
      </c>
      <c r="AF19" s="16">
        <f>COUNTIFS('车控'!Q345:Q352,"✅")</f>
      </c>
      <c r="AG19" s="16">
        <f>COUNTIFS('车控'!Q345:Q352,"✅")+COUNTIFS('车控'!Q345:Q352,"❌")+COUNTIFS('车控'!Q345:Q352,"Block")</f>
      </c>
      <c r="AH19" s="28">
        <v>8</v>
      </c>
      <c r="AI19" s="57">
        <f>AF19</f>
      </c>
      <c r="AJ19" s="58">
        <f>AH19-AF19</f>
      </c>
      <c r="AK19" s="58">
        <f>AG19-AF19</f>
      </c>
      <c r="AL19" s="86" t="str">
        <v>上汽-FAIL
字节-王东旭-FAIL</v>
      </c>
      <c r="AM19" s="59" t="str">
        <v>https://bytedance.larkoffice.com/record/V9xGreDHke2mECcNdOycFZu4nhn
</v>
      </c>
      <c r="AP19" s="11" t="str">
        <v>车控</v>
      </c>
      <c r="AQ19" s="2">
        <f>AH19-E19</f>
      </c>
      <c r="AR19" s="65" t="inlineStr">
        <is>
          <r>
            <t>@刘敬思</t>
          </r>
          <r>
            <t xml:space="preserve"> 模块表“自动驻车开关 - 打开研发进展”为空是否因为“如微信群沟通，语音打开需要设置last模式”？后续解决人是谁？-待复测</t>
          </r>
        </is>
      </c>
    </row>
    <row r="20" spans="1:43">
      <c r="A20" s="60"/>
      <c r="B20" s="14" t="str">
        <v>仪表及其他</v>
      </c>
      <c r="C20" s="12" t="str">
        <v>【火山】待问题修复</v>
      </c>
      <c r="D20" s="66">
        <v>12</v>
      </c>
      <c r="E20" s="66">
        <v>12</v>
      </c>
      <c r="F20" s="48">
        <f>G20/E20</f>
      </c>
      <c r="G20" s="75">
        <v>12</v>
      </c>
      <c r="H20" s="50">
        <f>E20-G20</f>
      </c>
      <c r="I20" s="19">
        <v>12</v>
      </c>
      <c r="J20" s="48">
        <f>I20/E20</f>
      </c>
      <c r="K20" s="51" t="inlineStr">
        <is>
          <r>
            <rPr>
              <strike/>
              <sz val="10"/>
              <color rgb="FF1F2329"/>
              <rFont val="Arial"/>
            </rPr>
            <t xml:space="preserve">1.查询剩余电量与屏幕上的不一致
查询车辆最大电量: int getBmsPackSocKWh(@NonNull FloatResult result); 看状态O P标记的N
查询最大续航里程:主动查询值 端状态缺失</t>
          </r>
          <r>
            <rPr>
              <strike/>
              <sz val="10"/>
              <color rgb="FF1F2329"/>
              <rFont val="Arial"/>
            </rPr>
            <t>@陈西钺</t>
          </r>
          <r>
            <rPr>
              <strike/>
              <sz val="10"/>
              <color rgb="FF1F2329"/>
              <rFont val="Arial"/>
            </rPr>
            <t xml:space="preserve">（没有该需求）
03.31：</t>
          </r>
          <r>
            <rPr>
              <strike/>
              <sz val="10"/>
              <color rgb="FF1F2329"/>
              <rFont val="Arial"/>
            </rPr>
            <t>@田高琳</t>
          </r>
          <r>
            <rPr>
              <strike/>
              <sz val="10"/>
              <color rgb="FF1F2329"/>
              <rFont val="Arial"/>
            </rPr>
            <t xml:space="preserve">「查询剩余电量与屏幕上的不一致」提供log微信群给guixiang分析。
</t>
          </r>
          <r>
            <rPr>
              <sz val="10"/>
              <color rgb="FF1F2329"/>
              <rFont val="Arial"/>
            </rPr>
            <t xml:space="preserve">4.3  、4.10
</t>
          </r>
          <r>
            <rPr>
              <strike/>
              <sz val="10"/>
              <color rgb="FF1F2329"/>
              <rFont val="Arial"/>
            </rPr>
            <t xml:space="preserve">1.设置了切换仪表视图2012无反应 已抓日志给@guixiang  已提供给guixiang
</t>
          </r>
          <r>
            <rPr>
              <sz val="10"/>
              <color rgb="FFF54A45"/>
              <rFont val="Arial"/>
            </rPr>
            <t>0615 、0622开发均已提测且名下无bug，与测试军军确认bug</t>
          </r>
        </is>
      </c>
      <c r="N20" s="92" t="str">
        <v>根据DNA1.0：场景感知状态信号库v2.5 文档O、P列状态对接。
03.05：
@田高琳:在上述2.5版本上，补充需要的端状态信息。
@周怀君:协调回调接口的状态。
03.11：
查询剩余电量、查询剩余油量(混动)。回调接口已提供@田高琳:验证反馈。
查询车辆最大电量、查询最大续航里程。其他都按主动获取方式实现。
0324：缺一个仪表视图切换接口
0326：
已提供</v>
      </c>
      <c r="O20" s="48">
        <f>P20/E20</f>
      </c>
      <c r="P20" s="103">
        <v>12</v>
      </c>
      <c r="Q20" s="94">
        <f>E20-P20</f>
      </c>
      <c r="R20" s="98" t="str">
        <v>端状态信号，不涉及前置实车状态验证。</v>
      </c>
      <c r="T20" s="47">
        <v>12</v>
      </c>
      <c r="U20" s="48">
        <f>T20/E20</f>
      </c>
      <c r="V20" s="11">
        <f>E20-T20</f>
      </c>
      <c r="W20" s="11" t="str">
        <v> P0</v>
      </c>
      <c r="X20" s="53" t="str">
        <v>✅</v>
      </c>
      <c r="Y20" s="53" t="str">
        <v>03.06</v>
      </c>
      <c r="Z20" s="16" t="inlineStr">
        <is>
          <r>
            <t>@高宇新</t>
          </r>
        </is>
      </c>
      <c r="AA20" s="11" t="inlineStr">
        <is>
          <r>
            <t>@田高琳</t>
          </r>
        </is>
      </c>
      <c r="AB20" s="54">
        <f>AG20/AH20</f>
      </c>
      <c r="AC20" s="55">
        <f>AG20</f>
      </c>
      <c r="AD20" s="55">
        <f>E20-AC20</f>
      </c>
      <c r="AE20" s="54">
        <f>AF20/AG20</f>
      </c>
      <c r="AF20" s="16">
        <f>COUNTIFS('车控'!Q353:Q364,"✅")</f>
      </c>
      <c r="AG20" s="16">
        <f>COUNTIFS('车控'!Q353:Q364,"✅")+COUNTIFS('车控'!Q353:Q364,"❌")+COUNTIFS('车控'!Q353:Q364,"Block")</f>
      </c>
      <c r="AH20" s="85">
        <v>12</v>
      </c>
      <c r="AI20" s="57">
        <f>AF20</f>
      </c>
      <c r="AJ20" s="58">
        <f>AH20-AF20</f>
      </c>
      <c r="AK20" s="58">
        <f>AG20-AF20</f>
      </c>
      <c r="AL20" s="104" t="str">
        <v>字节-郑永超
FAIL
</v>
      </c>
      <c r="AM20" s="59" t="str">
        <v>https://bytedance.larkoffice.com/record/ZO7prbGb4e3tCVcBd4acBIY8n4d
https://bytedance.larkoffice.com/record/CIb1rhN5wejVkGcg7VFcjmxUnkF
https://bytedance.larkoffice.com/record/GhXVrH3tjeEPnycA4N8cl3A3n9i
https://bytedance.larkoffice.com/record/JqFqrqo9XeVAq2cc28Scw9Yknbg
https://bytedance.larkoffice.com/record/EDP2rGY7Re4uftcgFsmc87XXnLg
https://bytedance.larkoffice.com/record/YmcYrm0ape8GgBc2Q8mcApEsnyh</v>
      </c>
      <c r="AP20" s="11" t="str">
        <v>车控</v>
      </c>
      <c r="AQ20" s="2">
        <f>AH20-E20</f>
      </c>
    </row>
    <row r="21" spans="1:48">
      <c r="A21" s="60"/>
      <c r="B21" s="14" t="str">
        <v>内灯</v>
      </c>
      <c r="C21" s="12" t="str">
        <v>【火山】待问题修复</v>
      </c>
      <c r="D21" s="66">
        <v>25</v>
      </c>
      <c r="E21" s="66">
        <v>25</v>
      </c>
      <c r="F21" s="48">
        <f>G21/E21</f>
      </c>
      <c r="G21" s="49">
        <v>25</v>
      </c>
      <c r="H21" s="50">
        <f>E21-G21</f>
      </c>
      <c r="I21" s="19">
        <v>25</v>
      </c>
      <c r="J21" s="48">
        <f>I21/E21</f>
      </c>
      <c r="K21" s="79" t="inlineStr">
        <is>
          <r>
            <rPr>
              <strike/>
              <sz val="10"/>
              <color rgb="FF1F2329"/>
              <rFont val="Arial"/>
            </rPr>
            <t xml:space="preserve">1. 氛围灯颜色调节，仅支持主题色的调节，不支持单色的调节，且仅支持预制的6种颜色
2.API已集成验证，待实车自测。
3. 氛围灯颜色不支持白色和灰色的调节
4.4.22 
字节：氛围灯律动调节，mode返回不对，已提给算法
05.26：ZoneAPI已提供，但实车不可用（实车可用时间待上汽反馈-）。
待客户确认实车解决时间；
05.28：预估P基线的实车才有内灯功能；
0602 p基线预计0607之前（2个api，语音控制打开关闭阅读灯、语音控制阅读灯亮度调节），开发名下无bug，但有10个❌，与测试谢军军确认bug
0622 真车排队
0624 测试不通过，接口调用成功，实际阅读灯未执行，已同步上汽研发谭忠洲 
0706 果果反馈语音与车机是通了，但是车上的灯有问题看不到物理效果，已拉群问汪帅、晓健、令平
</t>
          </r>
          <r>
            <rPr>
              <strike/>
              <sz val="10"/>
              <color rgb="FFF54A45"/>
              <rFont val="Arial"/>
            </rPr>
            <t>7/7 hmi控灯有问题，我们与hmi一致即可提测，上汽2个bug是fixed和verifying，灯开关的问题上汽备注sop基线同步更新，让果果找上海同事车上试一下，</t>
          </r>
          <r>
            <rPr>
              <sz val="10"/>
              <color rgb="FFF54A45"/>
              <rFont val="Arial"/>
            </rPr>
            <t xml:space="preserve">1个api（语音打开关闭阅读灯）dna-1475 晓颖说明天问她，她找方俊确认日期
0708 已追晓颖等反馈/0709 晓颖反馈：等车基线升级到SOP基线</t>
          </r>
        </is>
      </c>
      <c r="N21" s="70" t="inlineStr">
        <is>
          <r>
            <rPr>
              <strike/>
              <sz val="10"/>
              <color rgb="FF1F2329"/>
              <rFont val="Arial"/>
            </rPr>
            <t xml:space="preserve">03.10：
</t>
          </r>
          <r>
            <rPr>
              <strike/>
              <sz val="10"/>
              <color rgb="FF1F2329"/>
              <rFont val="Arial"/>
            </rPr>
            <t>@田高琳</t>
          </r>
          <r>
            <rPr>
              <strike/>
              <sz val="10"/>
              <color rgb="FF1F2329"/>
              <rFont val="Arial"/>
            </rPr>
            <t xml:space="preserve">先在微信群找「guixiang」沟通确认。
03.12：
SDK内API和表格中接口描述内容不一致。「guixiang」协调确认。
03.17：先按照SDK内容识别，</t>
          </r>
          <r>
            <rPr>
              <strike/>
              <sz val="10"/>
              <color rgb="FF1F2329"/>
              <rFont val="Arial"/>
            </rPr>
            <t>@田高琳</t>
          </r>
          <r>
            <rPr>
              <strike/>
              <sz val="10"/>
              <color rgb="FF1F2329"/>
              <rFont val="Arial"/>
            </rPr>
            <t xml:space="preserve">发微信群找guixiang确认。
</t>
          </r>
          <r>
            <rPr>
              <sz val="10"/>
              <color rgb="FFF54A45"/>
              <rFont val="Arial"/>
            </rPr>
            <t xml:space="preserve">P基线新增阅读灯条目2条，排期5/17
IS4PR-4163 D01_P05_M07_F05_内部灯光控制（全车型）_阅读灯开关_P基线
5/15:P基线SOA信号延期释放，推迟到5/21提供给字节</t>
          </r>
        </is>
      </c>
      <c r="O21" s="48">
        <f>P21/E21</f>
      </c>
      <c r="P21" s="71">
        <v>25</v>
      </c>
      <c r="Q21" s="16">
        <f>E21-P21</f>
      </c>
      <c r="T21" s="71">
        <v>25</v>
      </c>
      <c r="U21" s="48">
        <f>T21/E21</f>
      </c>
      <c r="V21" s="11">
        <f>E21-T21</f>
      </c>
      <c r="W21" s="11" t="str">
        <v> P0</v>
      </c>
      <c r="X21" s="53" t="str">
        <v>✅</v>
      </c>
      <c r="Y21" s="53" t="str">
        <v>05.19</v>
      </c>
      <c r="Z21" s="11" t="inlineStr">
        <is>
          <r>
            <t>@陈果果</t>
          </r>
        </is>
      </c>
      <c r="AA21" s="11" t="inlineStr">
        <is>
          <r>
            <t>@杨忠谕</t>
          </r>
        </is>
      </c>
      <c r="AB21" s="54">
        <f>AG21/AH21</f>
      </c>
      <c r="AC21" s="55">
        <f>AG21</f>
      </c>
      <c r="AD21" s="55">
        <f>E21-AC21</f>
      </c>
      <c r="AE21" s="54">
        <f>AF21/AG21</f>
      </c>
      <c r="AF21" s="16">
        <f>COUNTIFS('车控'!Q365:Q389,"✅")</f>
      </c>
      <c r="AG21" s="16">
        <f>COUNTIFS('车控'!Q365:Q389,"✅")+COUNTIFS('车控'!Q365:Q389,"❌")+COUNTIFS('车控'!Q365:Q389,"Block")</f>
      </c>
      <c r="AH21" s="28">
        <v>23</v>
      </c>
      <c r="AI21" s="57">
        <f>AF21</f>
      </c>
      <c r="AJ21" s="58">
        <f>AH21-AF21</f>
      </c>
      <c r="AK21" s="58">
        <f>AG21-AF21</f>
      </c>
      <c r="AL21" s="104" t="str">
        <v>字节-郑永超 
FAIL
</v>
      </c>
      <c r="AM21" s="59" t="str">
        <v>https://bytedance.larkoffice.com/record/CksOrbqp7e6T44cIddfc4jevnIc
https://bytedance.larkoffice.com/record/DQCfr7teLeHFOycHwQxcUZ6cnAe
https://bytedance.larkoffice.com/record/J3rDrUbjKeMm4CcISQAc3XM7n2e
</v>
      </c>
      <c r="AP21" s="11" t="str">
        <v>车控</v>
      </c>
      <c r="AQ21" s="2">
        <f>AH21-E21</f>
      </c>
      <c r="AU21" s="2" t="str">
        <v>周二</v>
      </c>
      <c r="AV21" s="4">
        <v>6</v>
      </c>
    </row>
    <row r="22" spans="1:43">
      <c r="A22" s="60"/>
      <c r="B22" s="14" t="str">
        <v>外灯</v>
      </c>
      <c r="C22" s="12" t="str">
        <v>已完成</v>
      </c>
      <c r="D22" s="66">
        <v>22</v>
      </c>
      <c r="E22" s="66">
        <v>22</v>
      </c>
      <c r="F22" s="48">
        <f>G22/E22</f>
      </c>
      <c r="G22" s="75">
        <v>22</v>
      </c>
      <c r="H22" s="50">
        <f>E22-G22</f>
      </c>
      <c r="I22" s="19">
        <v>22</v>
      </c>
      <c r="J22" s="48">
        <f>I22/E22</f>
      </c>
      <c r="K22" s="79" t="str">
        <v>1.设置主灯模式setMasterLightMode方法和接口实际参数文档上的值对不上
0x0=OFF
0X1=SidePositionLight ON
0X2=DippedBeamLight ON  
0X3=AUTO
实际的如右图
04.24：远光灯没有接口需求，语音兜底
屏控验证迎宾灯语通过</v>
      </c>
      <c r="N22" s="70" t="inlineStr">
        <is>
          <r>
            <t xml:space="preserve">03.10：
</t>
          </r>
          <r>
            <t>@田高琳</t>
          </r>
          <r>
            <t xml:space="preserve">先在微信群找「guixiang」沟通确认。
03.12：
SDK内API和表格中接口描述内容不一致。「guixiang」协调确认。
</t>
          </r>
          <r>
            <t xml:space="preserve">04.22：迎宾语开关，接口已支持，待释放版本验证 
远光灯开关：语音兜底，引导手动操作
04.23：待0423 daily版本验证测试
04.24：屏控验证迎宾灯语通过</t>
          </r>
        </is>
      </c>
      <c r="O22" s="48">
        <f>P22/E22</f>
      </c>
      <c r="P22" s="105">
        <v>22</v>
      </c>
      <c r="Q22" s="16">
        <f>E22-P22</f>
      </c>
      <c r="R22" s="84" t="str">
        <v>04.08：大灯控制HMI回弹。
04.09：白天上车验证又正常。</v>
      </c>
      <c r="T22" s="71">
        <v>22</v>
      </c>
      <c r="U22" s="48">
        <f>T22/E22</f>
      </c>
      <c r="V22" s="11">
        <f>E22-T22</f>
      </c>
      <c r="W22" s="11" t="str">
        <v> P0</v>
      </c>
      <c r="X22" s="53" t="str">
        <v>✅</v>
      </c>
      <c r="Y22" s="53" t="str">
        <v>04.28</v>
      </c>
      <c r="Z22" s="11" t="inlineStr">
        <is>
          <r>
            <t>@陈果果</t>
          </r>
        </is>
      </c>
      <c r="AA22" s="11" t="inlineStr">
        <is>
          <r>
            <t>@杨忠谕</t>
          </r>
        </is>
      </c>
      <c r="AB22" s="54">
        <f>AG22/AH22</f>
      </c>
      <c r="AC22" s="55">
        <f>AG22</f>
      </c>
      <c r="AD22" s="55">
        <f>E22-AC22</f>
      </c>
      <c r="AE22" s="54">
        <f>AF22/AG22</f>
      </c>
      <c r="AF22" s="16">
        <f>COUNTIFS('车控'!Q390:Q411,"✅")</f>
      </c>
      <c r="AG22" s="16">
        <f>COUNTIFS('车控'!Q390:Q411,"✅")+COUNTIFS('车控'!Q390:Q411,"❌")+COUNTIFS('车控'!Q390:Q411,"Block")</f>
      </c>
      <c r="AH22" s="85">
        <v>22</v>
      </c>
      <c r="AI22" s="57">
        <f>AF22</f>
      </c>
      <c r="AJ22" s="58">
        <f>AH22-AF22</f>
      </c>
      <c r="AK22" s="58">
        <f>AG22-AF22</f>
      </c>
      <c r="AL22" s="86" t="str">
        <v>上汽
FAIL
字节-郑永超 FAIL
 </v>
      </c>
      <c r="AM22" s="59" t="str">
        <v>https://bytedance.larkoffice.com/record/AVjmrT1x0e54YTcimwccMXgXnAh
https://bytedance.larkoffice.com/record/XGForV0woeHNlScCLGYc1HIhnfh
https://bytedance.larkoffice.com/record/NQkprBiDOe0BAxcuOAMcJRimnxK
https://bytedance.larkoffice.com/record/E2KrrVPzRejKiocCITEcP5OonBc
https://bytedance.larkoffice.com/record/CWXsrATm8eKEnDchg9xcEzganhb
https://bytedance.larkoffice.com/record/RgtUrsNFoeOKIrcYXiZcvcqOn4f
https://bytedance.larkoffice.com/record/DaYprgBAAeaCbXcXz99cJ2f2ngf
https://bytedance.larkoffice.com/record/MJegrQllBeojuVcsyEpckmCynne
https://bytedance.larkoffice.com/record/LtDdrptMxeeX5oc5SbYcoZ5pnGb
https://bytedance.larkoffice.com/record/I1kNriL8te16QScNLcOcmvSRnUh
https://bytedance.larkoffice.com/record/FT4GrvwLIeUzGJcLKRvcEkognIg
https://bytedance.larkoffice.com/record/GbcuraHCweLtZ4cFFKLcAmdwntd
https://bytedance.larkoffice.com/record/ABUkrOuGfeqwmBcIpOZc9c9unzC
https://bytedance.larkoffice.com/record/GNiurc3TVeJoqgc8FdpcsZAOncb
https://bytedance.larkoffice.com/record/P22rruNyEejDVbc8E9OcrEzPn8e
</v>
      </c>
      <c r="AP22" s="11" t="str">
        <v>车控</v>
      </c>
      <c r="AQ22" s="2">
        <f>AH22-E22</f>
      </c>
    </row>
    <row r="23" spans="1:43">
      <c r="A23" s="60"/>
      <c r="B23" s="11" t="str">
        <v>智能场景</v>
      </c>
      <c r="C23" s="12" t="str">
        <v>已完成</v>
      </c>
      <c r="D23" s="49">
        <v>1</v>
      </c>
      <c r="E23" s="49">
        <v>1</v>
      </c>
      <c r="F23" s="48">
        <f>G23/E23</f>
      </c>
      <c r="G23" s="75">
        <v>1</v>
      </c>
      <c r="H23" s="50">
        <f>E23-G23</f>
      </c>
      <c r="I23" s="19">
        <v>1</v>
      </c>
      <c r="J23" s="48">
        <f>I23/E23</f>
      </c>
      <c r="K23" s="51" t="str">
        <v>左晨0416：需要planner先区分下哪些能自己做，哪些要系统做。 依赖上汽提供knowhow。
智能场景中的打开关闭功能，Daniel反馈，不要用固定的控制执行。 这些给到豆包Planner去推理，当然场景提供给用户什么最好
因此智能场景部分的控制，我们就不对接了。</v>
      </c>
      <c r="O23" s="48">
        <f>P23/E23</f>
      </c>
      <c r="P23" s="106">
        <v>1</v>
      </c>
      <c r="Q23" s="100">
        <f>E23-P23</f>
      </c>
      <c r="T23" s="71">
        <v>1</v>
      </c>
      <c r="U23" s="48">
        <f>T23/E23</f>
      </c>
      <c r="V23" s="11">
        <f>E23-T23</f>
      </c>
      <c r="W23" s="11" t="str">
        <v>P2</v>
      </c>
      <c r="Y23" s="91" t="inlineStr">
        <is>
          <r>
            <t xml:space="preserve">待产品澄清
</t>
          </r>
          <r>
            <t>@左晨</t>
          </r>
        </is>
      </c>
      <c r="Z23" s="11" t="inlineStr">
        <is>
          <r>
            <t>@杨忠谕</t>
          </r>
        </is>
      </c>
      <c r="AA23" s="11" t="inlineStr">
        <is>
          <r>
            <t>@田高琳</t>
          </r>
        </is>
      </c>
      <c r="AB23" s="54">
        <f>AG23/AH23</f>
      </c>
      <c r="AC23" s="55">
        <f>AG23</f>
      </c>
      <c r="AD23" s="55">
        <f>E23-AC23</f>
      </c>
      <c r="AE23" s="54">
        <f>AF23/AG23</f>
      </c>
      <c r="AF23" s="16">
        <f>COUNTIFS('车控'!Q412,"✅")</f>
      </c>
      <c r="AG23" s="16">
        <f>COUNTIFS('车控'!Q412,"✅")+COUNTIFS('车控'!Q412,"❌")+COUNTIFS('车控'!Q412,"Block")</f>
      </c>
      <c r="AH23" s="85">
        <v>1</v>
      </c>
      <c r="AI23" s="57">
        <f>AF23</f>
      </c>
      <c r="AJ23" s="58">
        <f>AH23-AF23</f>
      </c>
      <c r="AK23" s="58">
        <f>AG23-AF23</f>
      </c>
      <c r="AL23" s="36" t="str">
        <v>字节-郑永超</v>
      </c>
      <c r="AP23" s="11" t="str">
        <v>车控</v>
      </c>
      <c r="AQ23" s="2">
        <f>AH23-E23</f>
      </c>
    </row>
    <row r="24" spans="1:44">
      <c r="A24" s="60"/>
      <c r="B24" s="11" t="str">
        <v>个人中心</v>
      </c>
      <c r="C24" s="12" t="str">
        <v>【火山】待开发</v>
      </c>
      <c r="D24" s="49">
        <v>6</v>
      </c>
      <c r="E24" s="49">
        <v>6</v>
      </c>
      <c r="F24" s="48">
        <f>G24/E24</f>
      </c>
      <c r="G24" s="75">
        <v>6</v>
      </c>
      <c r="H24" s="50">
        <f>E24-G24</f>
      </c>
      <c r="I24" s="19">
        <v>6</v>
      </c>
      <c r="J24" s="48">
        <f>I24/E24</f>
      </c>
      <c r="K24" s="79" t="inlineStr">
        <is>
          <r>
            <rPr>
              <strike/>
              <sz val="10"/>
              <color rgb="FF1F2329"/>
              <rFont val="Arial"/>
            </rPr>
            <t xml:space="preserve">4.14 
开发需要自测完成，需大众提供账号才能自测现在扫描二维码显示“扫描的授权码未经过认证哦～”
4.18：
字节：导航账号登录、导航账号退出、人脸识别登录开关，fc不支持
0706 待忠谕验证fc是否已解决
0528 2个api</t>
          </r>
          <r>
            <rPr>
              <strike/>
              <sz val="10"/>
              <color rgb="FF1F2329"/>
              <rFont val="Arial"/>
            </rPr>
            <t>@左晨</t>
          </r>
          <r>
            <rPr>
              <strike/>
              <sz val="10"/>
              <color rgb="FF1F2329"/>
              <rFont val="Arial"/>
            </rPr>
            <t xml:space="preserve">：fc不支持的“语音控制导航账号切、换人脸识别登录账号”/ 0608 左晨说低优功能，他记下来再看。 不支持的，可以在功能 列表里， 标注为FC不支持。
</t>
          </r>
          <r>
            <rPr>
              <sz val="10"/>
              <color rgb="FFF54A45"/>
              <rFont val="Arial"/>
            </rPr>
            <t>0528 2个api（录入人脸识别信息、删除人脸识别信息） sop+3</t>
          </r>
          <r>
            <rPr>
              <strike/>
              <sz val="10"/>
              <color rgb="FFF54A45"/>
              <rFont val="Arial"/>
            </rPr>
            <t xml:space="preserve">/ 7/7待忠谕建jira bug票（已告知）
</t>
          </r>
          <r>
            <rPr>
              <strike/>
              <sz val="10"/>
              <color rgb="FF1F2329"/>
              <rFont val="Arial"/>
            </rPr>
            <t xml:space="preserve">7/6 2个api（语音控制导航账号切换、人脸识别登录账号开关）fc问题待忠谕7/7复验
0708 忠谕今晚验 
</t>
          </r>
          <r>
            <rPr>
              <sz val="10"/>
              <color rgb="FFF54A45"/>
              <rFont val="Arial"/>
            </rPr>
            <t>0723 待忠谕验证/ 忠谕 0731 给结论</t>
          </r>
        </is>
      </c>
      <c r="L24" s="107" t="inlineStr">
        <is>
          <r>
            <t>@杨忠谕</t>
          </r>
        </is>
      </c>
      <c r="M24" s="108" t="str">
        <v>http://jira.z-onesoftware.com:8080/browse/DNA-2973
上汽票里反馈【pp基线已上限oms FaceId功能，目前版本均可验证】</v>
      </c>
      <c r="N24" s="51" t="str">
        <v>【语音控制导航账号切换】需求1条，P基线需求，排期4/30</v>
      </c>
      <c r="O24" s="48">
        <f>P24/E24</f>
      </c>
      <c r="P24" s="1">
        <v>0</v>
      </c>
      <c r="Q24" s="16">
        <f>E24-P24</f>
      </c>
      <c r="R24" s="81" t="str">
        <v>04.15：个人中心版本待升级，结合FaceID的个人中心APP，支持计划04.30。</v>
      </c>
      <c r="S24" s="88">
        <v>46141</v>
      </c>
      <c r="T24" s="109">
        <v>4</v>
      </c>
      <c r="U24" s="48">
        <f>T24/E24</f>
      </c>
      <c r="V24" s="11">
        <f>E24-T24</f>
      </c>
      <c r="W24" s="11" t="str">
        <v>P2</v>
      </c>
      <c r="Y24" s="53" t="str">
        <v>05.04</v>
      </c>
      <c r="Z24" s="11" t="inlineStr">
        <is>
          <r>
            <t>@杨忠谕</t>
          </r>
        </is>
      </c>
      <c r="AA24" s="11" t="inlineStr">
        <is>
          <r>
            <t>@谢一鸣</t>
          </r>
        </is>
      </c>
      <c r="AB24" s="54">
        <f>AG24/AH24</f>
      </c>
      <c r="AC24" s="55">
        <f>AG24</f>
      </c>
      <c r="AD24" s="55">
        <f>E24-AC24</f>
      </c>
      <c r="AE24" s="54">
        <f>AF24/AG24</f>
      </c>
      <c r="AF24" s="16">
        <f>COUNTIFS('车控'!Q413:Q418,"✅")</f>
      </c>
      <c r="AG24" s="16">
        <f>COUNTIFS('车控'!Q413:Q418,"✅")+COUNTIFS('车控'!Q413:Q418,"❌")+COUNTIFS('车控'!Q413:Q418,"Block")</f>
      </c>
      <c r="AH24" s="85">
        <v>6</v>
      </c>
      <c r="AI24" s="57">
        <f>AF24</f>
      </c>
      <c r="AJ24" s="58">
        <f>AH24-AF24</f>
      </c>
      <c r="AK24" s="58">
        <f>AG24-AF24</f>
      </c>
      <c r="AL24" s="36" t="str">
        <v>字节-郑永超
</v>
      </c>
      <c r="AM24" s="59" t="str">
        <v>https://meego.larkoffice.com/telematics/issue/detail/7282835850
https://meego.larkoffice.com/telematics/issue/detail/7282835850</v>
      </c>
      <c r="AP24" s="11" t="str">
        <v>车控</v>
      </c>
      <c r="AQ24" s="2">
        <f>AH24-E24</f>
      </c>
      <c r="AR24" s="65" t="inlineStr">
        <is>
          <r>
            <t>@杨忠谕</t>
          </r>
          <r>
            <t xml:space="preserve"> 2个人脸不支持无法自测，下一步怎么办？2个FC不支持，现在是谁在解决啊？- 左晨</t>
          </r>
        </is>
      </c>
    </row>
    <row r="25" spans="1:44">
      <c r="A25" s="110"/>
      <c r="B25" s="11" t="str">
        <v>智能能量池</v>
      </c>
      <c r="C25" s="12" t="str">
        <v>已完成</v>
      </c>
      <c r="D25" s="49">
        <v>2</v>
      </c>
      <c r="E25" s="49">
        <v>2</v>
      </c>
      <c r="F25" s="48">
        <f>G25/E25</f>
      </c>
      <c r="G25" s="75">
        <v>2</v>
      </c>
      <c r="H25" s="50">
        <f>E25-G25</f>
      </c>
      <c r="I25" s="19">
        <v>2</v>
      </c>
      <c r="J25" s="48">
        <f>I25/E25</f>
      </c>
      <c r="K25" s="111" t="str">
        <v>04.27：调用无线充电和手机遗忘提醒接口，返回权限异常，重启试试（上汽已知问题，已起票）</v>
      </c>
      <c r="O25" s="62">
        <f>P25/E25</f>
      </c>
      <c r="P25" s="1">
        <v>0</v>
      </c>
      <c r="Q25" s="16">
        <f>E25-P25</f>
      </c>
      <c r="T25" s="71">
        <v>2</v>
      </c>
      <c r="U25" s="48">
        <f>T25/E25</f>
      </c>
      <c r="V25" s="11">
        <f>E25-T25</f>
      </c>
      <c r="W25" s="11" t="str">
        <v> P0</v>
      </c>
      <c r="Y25" s="53" t="str">
        <v>04.25</v>
      </c>
      <c r="Z25" s="16" t="inlineStr">
        <is>
          <r>
            <t>@高宇新</t>
          </r>
        </is>
      </c>
      <c r="AA25" s="11" t="inlineStr">
        <is>
          <r>
            <t>@余明明</t>
          </r>
        </is>
      </c>
      <c r="AB25" s="54">
        <f>AG25/AH25</f>
      </c>
      <c r="AC25" s="55">
        <f>AG25</f>
      </c>
      <c r="AD25" s="55">
        <f>E25-AC25</f>
      </c>
      <c r="AE25" s="54">
        <f>AF25/AG25</f>
      </c>
      <c r="AF25" s="16">
        <f>COUNTIFS('车控'!Q419:Q420,"✅")</f>
      </c>
      <c r="AG25" s="16">
        <f>COUNTIFS('车控'!Q419:Q420,"✅")+COUNTIFS('车控'!Q419:Q420,"❌")+COUNTIFS('车控'!Q419:Q420,"Block")</f>
      </c>
      <c r="AH25" s="85">
        <v>2</v>
      </c>
      <c r="AI25" s="57">
        <f>AF25</f>
      </c>
      <c r="AJ25" s="58">
        <f>AH25-AF25</f>
      </c>
      <c r="AK25" s="58">
        <f>AG25-AF25</f>
      </c>
      <c r="AL25" s="36" t="str">
        <v>字节-刘晓帝
PASS</v>
      </c>
      <c r="AP25" s="11" t="str">
        <v>车控</v>
      </c>
      <c r="AQ25" s="2">
        <f>AH25-E25</f>
      </c>
      <c r="AR25" s="65" t="inlineStr">
        <is>
          <r>
            <t>@张王成</t>
          </r>
          <r>
            <t>进度表已接是2，模块表研发进展为空，请确认并更新-已更新（0528）</t>
          </r>
        </is>
      </c>
    </row>
    <row r="26" spans="1:48">
      <c r="A26" s="46" t="str">
        <v>系统设置</v>
      </c>
      <c r="B26" s="14" t="str">
        <v>声音</v>
      </c>
      <c r="C26" s="12" t="str">
        <v>【上汽】SDK文档接口实车卡点,【火山】待开发</v>
      </c>
      <c r="D26" s="47">
        <v>63</v>
      </c>
      <c r="E26" s="47">
        <v>50</v>
      </c>
      <c r="F26" s="48">
        <f>G26/E26</f>
      </c>
      <c r="G26" s="49">
        <v>45</v>
      </c>
      <c r="H26" s="50">
        <f>E26-G26</f>
      </c>
      <c r="I26" s="19">
        <v>45</v>
      </c>
      <c r="J26" s="48">
        <f>I26/E26</f>
      </c>
      <c r="K26" s="14" t="inlineStr">
        <is>
          <r>
            <rPr>
              <strike/>
              <sz val="10"/>
              <rFont val="Arial"/>
            </rPr>
            <t xml:space="preserve">1、jar目前存在问题，需要提供新的jar包（已在微信群中提出问题，等待反馈）
2、音量方法是否支持具体数值和百分比调节
3、接口文档没有头枕音响模式接口，SDK是否支持，支持的话请提供一下接口
4、没有找到低速行人提示音开关接口
</t>
          </r>
          <r>
            <rPr>
              <sz val="10"/>
              <rFont val="Arial"/>
            </rPr>
            <t xml:space="preserve">5、没有K歌相关操作接口
</t>
          </r>
          <r>
            <rPr>
              <strike/>
              <sz val="10"/>
              <rFont val="Arial"/>
            </rPr>
            <t xml:space="preserve">6、语音控制蓝牙耳机音量，无法识别分区。
</t>
          </r>
          <r>
            <rPr>
              <strike/>
              <sz val="10"/>
              <color rgb="FF1F2329"/>
              <rFont val="Arial"/>
            </rPr>
            <t>3.27：定义P0部分已接入完成。权限包已更新功能还是不行，待排查功能异常的其他原因</t>
          </r>
          <r>
            <rPr>
              <strike/>
              <sz val="10"/>
              <color rgb="FF1F2329"/>
              <rFont val="Arial"/>
            </rPr>
            <t>@赵明珠</t>
          </r>
          <r>
            <rPr>
              <strike/>
              <sz val="10"/>
              <color rgb="FF1F2329"/>
              <rFont val="Arial"/>
            </rPr>
            <t xml:space="preserve">
04.08、4.10：导航静音失败已在微信群反馈日志</t>
          </r>
          <r>
            <rPr>
              <strike/>
              <sz val="10"/>
              <color rgb="FF1F2329"/>
              <rFont val="Arial"/>
            </rPr>
            <t>@赵明珠</t>
          </r>
          <r>
            <rPr>
              <strike/>
              <sz val="10"/>
              <color rgb="FF1F2329"/>
              <rFont val="Arial"/>
            </rPr>
            <t xml:space="preserve">
4.14 开始对接剩余的非标绿的部分
04.20:导航禁音问题未反馈
04.22：导航静音问题，票已经到延峰手里，问题还在分析
04.24：问题还未回复
04.24：部分功能未给接口
04.28:未找到接口说的pdf文档（应用中间件Audio使用规范V1.0.pdf）
0507：车外喊话没声音
确认要调节耳机音量到总音量的 70% 么——5.9 自行找产品确认好有没有这个能力
找云端：首次下发、二次确认下发的FC和参数的区别
05.19：二次确认， </t>
          </r>
          <r>
            <rPr>
              <strike/>
              <sz val="10"/>
              <color rgb="FF1F2329"/>
              <rFont val="Arial"/>
            </rPr>
            <t>@赵明珠</t>
          </r>
          <r>
            <rPr>
              <strike/>
              <sz val="10"/>
              <color rgb="FF1F2329"/>
              <rFont val="Arial"/>
            </rPr>
            <t xml:space="preserve">验证反馈
头枕环绕调节，接口执行失败。
05.19：</t>
          </r>
          <r>
            <rPr>
              <strike/>
              <sz val="10"/>
              <color rgb="FF1F2329"/>
              <rFont val="Arial"/>
            </rPr>
            <t>@赵明珠</t>
          </r>
          <r>
            <rPr>
              <strike/>
              <sz val="10"/>
              <color rgb="FF1F2329"/>
              <rFont val="Arial"/>
            </rPr>
            <t xml:space="preserve">提供log给上汽分析
05.22:HMI页面未找到功能
0526 部分功能有接口调用异常问题，部分功能有FC 未下发问题，都以bug 票形式流转/0608 fc不下发的工单
</t>
          </r>
          <r>
            <rPr>
              <sz val="10"/>
              <color rgb="FFF54A45"/>
              <rFont val="Arial"/>
            </rPr>
            <t>0528 5个api“语音控制车外喊话 - 无麦 K 歌”  设置功能排期推迟到SOP+3</t>
          </r>
          <r>
            <rPr>
              <strike/>
              <sz val="10"/>
              <color rgb="FFF54A45"/>
              <rFont val="Arial"/>
            </rPr>
            <t xml:space="preserve">/ 0707 告知泽陆尽快建jira bug票
</t>
          </r>
          <r>
            <rPr>
              <strike/>
              <sz val="10"/>
              <color rgb="FF1F2329"/>
              <rFont val="Arial"/>
            </rPr>
            <t xml:space="preserve">0603 上汽给了新的接口文档，部分功能需要修改
0608 泽陆，预计剩余本周完成开发
0615 泽陆更新剩余接口开发进度
0618 K 歌功能开发中，其他功能待整理提测
0630 泽陆反馈走兜底，预计0703完成
</t>
          </r>
          <r>
            <rPr>
              <sz val="10"/>
              <color rgb="FFF54A45"/>
              <rFont val="Arial"/>
            </rPr>
            <t xml:space="preserve">0706 走兜底的5个已完成，待泽陆更新表格
0707 剩1个泽陆预计0709完成，还有一个在泽陆备注左晨反馈这个功能无需开发，在与左晨确认无需开发是否还需要测试
0707 整车声场模式与音量调节 - 整车声场模式与音量调节，左晨会删除这一行/泽陆还剩一个接口预计0709完成
0710 1个api（语音控制音量调节 -语音控制蓝牙耳机音量 - 蓝牙耳机音量保护功能）云端bug
0730 meego票已解决，待泽陆反馈</t>
          </r>
        </is>
      </c>
      <c r="L26" s="112" t="inlineStr">
        <is>
          <r>
            <t>@李强</t>
          </r>
          <r>
            <t xml:space="preserve">
</t>
          </r>
          <r>
            <t>@尹泽陆</t>
          </r>
        </is>
      </c>
      <c r="M26" s="113" t="str">
        <v>https://meego.larkoffice.com/telematics/issue/detail/7344391775?parentUrl=%2Ftelematics%2Fissue%2Fhomepage&amp;openScene=4&amp;tabKey=comment#comment</v>
      </c>
      <c r="N26" s="114" t="str">
        <v>03.10：
上汽已提供“声音设置补充的sdk包（补充接口）”sound-1.0.8.jar 。待@赵明珠:验证。
03.11：
「guixiang」提供接口使用文档
03.12：
第4，未找到API；@guixiang
第5，待上汽排期 @guixiang。--- 无麦K歌计划04.20提供；车外喊话04.10提供。
第6，待上汽内部确认实车标配是否1个蓝牙芯片不分区。@ guixiang -- 调后排蓝牙耳机音量即可。
无麦K歌5条，排期4/24  -  设置功能排期推迟到SOP+3， 产品需求未拉齐
非接口需求：1条
打开页面需求6.5条，已提供能力
【语音控制声音设置项】有7条需求确认不支持语音控制，
【语音控制多媒体外放模式】需求确认不支持语音控制，语音话术兜底。
关闭页面需求0.5条，预计4/16和字节沟通开发方案，4/30完成交付
--0519：导航静音问题延锋已修复，待版本释放验证 </v>
      </c>
      <c r="O26" s="48">
        <f>P26/E26</f>
      </c>
      <c r="P26" s="105">
        <v>29</v>
      </c>
      <c r="Q26" s="16">
        <f>E26-P26</f>
      </c>
      <c r="R26" s="115" t="inlineStr">
        <is>
          <r>
            <rPr>
              <sz val="10"/>
              <color rgb="FFF54A45"/>
              <rFont val="Arial"/>
            </rPr>
            <t xml:space="preserve">04.15：
不支持蓝牙耳机音量控制、车内声浪、安全带提示音、AudioPilot 噪声补偿、倒车自动降音开关、bose音效、车外喊话、多媒体外放、无麦 K 歌。
04.16：需要连接蓝牙耳机（仅后排）才支持音量控制；
无麦 K 歌</t>
          </r>
          <r>
            <rPr>
              <strike/>
              <sz val="10"/>
              <color rgb="FFF54A45"/>
              <rFont val="Arial"/>
            </rPr>
            <t xml:space="preserve"> 排期-4/24</t>
          </r>
          <r>
            <rPr>
              <sz val="10"/>
              <color rgb="FFF54A45"/>
              <rFont val="Arial"/>
            </rPr>
            <t xml:space="preserve"> -- 功能开发推迟到SOP +3 
0421： 
车内声浪 --  整车不支持
安全带提示音 --  整车不支持
AudioPilot 噪声补偿--   整车不支持
倒车自动降音开关 --   整车不支持
bose音效 --   整车不支持
车外喊话 -- 接口已提供
多媒体外放--   整车不支持</t>
          </r>
        </is>
      </c>
      <c r="S26" s="16" t="str">
        <v>IS4PR实车不支持语音控制，请上汽产品更新PRD。</v>
      </c>
      <c r="T26" s="19">
        <v>45</v>
      </c>
      <c r="U26" s="48">
        <f>T26/E26</f>
      </c>
      <c r="V26" s="11">
        <f>E26-T26</f>
      </c>
      <c r="W26" s="11" t="str">
        <v> P0</v>
      </c>
      <c r="X26" s="53" t="str">
        <v>✅</v>
      </c>
      <c r="Y26" s="53" t="str">
        <v>05.15</v>
      </c>
      <c r="Z26" s="11" t="inlineStr">
        <is>
          <r>
            <t>@尹泽陆</t>
          </r>
        </is>
      </c>
      <c r="AA26" s="11" t="inlineStr">
        <is>
          <r>
            <t>@赵明珠</t>
          </r>
        </is>
      </c>
      <c r="AB26" s="54">
        <f>AG26/AH26</f>
      </c>
      <c r="AC26" s="55">
        <f>AG26</f>
      </c>
      <c r="AD26" s="55">
        <f>E26-AC26</f>
      </c>
      <c r="AE26" s="54">
        <f>AF26/AG26</f>
      </c>
      <c r="AF26" s="16">
        <f>COUNTIFS('系统设置'!Q67:Q129,"✅")</f>
      </c>
      <c r="AG26" s="16">
        <f>COUNTIFS('系统设置'!Q67:Q129,"✅")+COUNTIFS('系统设置'!Q67:Q129,"❌")+COUNTIFS('系统设置'!Q67:Q129,"Block")</f>
      </c>
      <c r="AH26" s="19">
        <v>63</v>
      </c>
      <c r="AI26" s="57">
        <f>AF26</f>
      </c>
      <c r="AJ26" s="58">
        <f>AH26-AF26</f>
      </c>
      <c r="AK26" s="58">
        <f>AG26-AF26</f>
      </c>
      <c r="AL26" s="104" t="str">
        <v>字节-刘晓帝
</v>
      </c>
      <c r="AM26" s="59" t="str">
        <v>https://bytedance.larkoffice.com/record/SuwKra2WIemt0ncCrjvckCZBnPe
https://bytedance.larkoffice.com/record/GUokrBw8FeM5GTckVr4cEQUan0e
https://bytedance.larkoffice.com/record/FpVarjQL1etK2wcuvyvcII72nWe
https://bytedance.larkoffice.com/record/SA2BrppIfeFDG8cFrAfc7ttvnUg
https://bytedance.larkoffice.com/record/QmOQrFhNoesB1scYlDTcHZg2n2b
https://bytedance.larkoffice.com/record/VzgXrHJ28e7aDpcA00GcTF2mnld
https://bytedance.larkoffice.com/record/VwPirxnh8eRnihc4XrScBbcun3g
https://bytedance.larkoffice.com/record/VtAdrUG7DeQT12cVK28cYJEyn2P
https://bytedance.larkoffice.com/record/Kuejre0LFejN2WcXXePcQ8rVntc
https://bytedance.larkoffice.com/record/Tg97rhktlet3uOcsBo5cWzjynhf
</v>
      </c>
      <c r="AP26" s="11" t="str">
        <v>系统设置</v>
      </c>
      <c r="AQ26" s="2">
        <f>AH26-E26</f>
      </c>
      <c r="AR26" s="87" t="inlineStr">
        <is>
          <r>
            <t>@尹泽陆</t>
          </r>
          <r>
            <t xml:space="preserve"> 模块表研发进展数据与进度表对不上，请确认并更新-</t>
          </r>
          <r>
            <t xml:space="preserve">
</t>
          </r>
          <r>
            <t xml:space="preserve">
</t>
          </r>
          <r>
            <t>已更新</t>
          </r>
        </is>
      </c>
      <c r="AU26" s="2" t="str">
        <v>周二</v>
      </c>
      <c r="AV26" s="4">
        <v>8</v>
      </c>
    </row>
    <row r="27" spans="1:43">
      <c r="A27" s="60"/>
      <c r="B27" s="11" t="str">
        <v>系统设置开关</v>
      </c>
      <c r="C27" s="12" t="str">
        <v>已完成</v>
      </c>
      <c r="D27" s="47">
        <v>8</v>
      </c>
      <c r="E27" s="47">
        <v>6</v>
      </c>
      <c r="F27" s="48">
        <f>G27/E27</f>
      </c>
      <c r="G27" s="49">
        <v>6</v>
      </c>
      <c r="H27" s="50">
        <f>E27-G27</f>
      </c>
      <c r="I27" s="19">
        <v>6</v>
      </c>
      <c r="J27" s="48">
        <f>I27/E27</f>
      </c>
      <c r="K27" s="51" t="str">
        <v>0601 敬思遇到bug已在微信群找了上汽 桂祥，等反馈
0603上汽反馈不需要我们新增intent，原有接口可直接弹出二次确认弹框/0608 进度表写接8个，模块表有2个“无此需求”已问敬思什么情况
0608:2个api上汽研发反馈“打开蓝牙耳机开关”当前没有API接口，需与上汽产品确认
0622 A票问题已修复可复测
0702 问邹泽文上述情况如何推进，他说需要与上汽产品同事确认一下
0708 已追邹泽文，他已问上汽内部沟通，等反馈/泽文说问了，有这个功能，等泽文拉上汽研发进群沟通
0709 泽文拉了群，在与上汽研发确认
0710 宇新在确认上汽的反馈是否可用，今晚前给结论
0713 上汽产品邹泽文最终决定【开发反馈没有蓝牙耳机开关，先不做】</v>
      </c>
      <c r="N27" s="84" t="str">
        <v>3.17 
目前只剩WiFi开关待验证3.18已跑通</v>
      </c>
      <c r="O27" s="48">
        <f>P27/E27</f>
      </c>
      <c r="P27" s="28">
        <v>6</v>
      </c>
      <c r="Q27" s="16">
        <f>E27-P27</f>
      </c>
      <c r="T27" s="71">
        <v>6</v>
      </c>
      <c r="U27" s="48">
        <f>T27/E27</f>
      </c>
      <c r="V27" s="11">
        <f>E27-T27</f>
      </c>
      <c r="W27" s="11" t="str">
        <v> P0</v>
      </c>
      <c r="X27" s="53" t="str">
        <v>✅</v>
      </c>
      <c r="Y27" s="53" t="str">
        <v>03.13</v>
      </c>
      <c r="Z27" s="16" t="inlineStr">
        <is>
          <r>
            <t>@高宇新</t>
          </r>
        </is>
      </c>
      <c r="AA27" s="11" t="inlineStr">
        <is>
          <r>
            <t>@余明明</t>
          </r>
        </is>
      </c>
      <c r="AB27" s="54">
        <f>AG27/AH27</f>
      </c>
      <c r="AC27" s="55">
        <f>AG27</f>
      </c>
      <c r="AD27" s="55">
        <f>E27-AC27</f>
      </c>
      <c r="AE27" s="54">
        <f>AF27/AG27</f>
      </c>
      <c r="AF27" s="16">
        <f>COUNTIFS('系统设置'!Q2:Q9,"✅")</f>
      </c>
      <c r="AG27" s="16">
        <f>COUNTIFS('系统设置'!Q2:Q9,"✅")+COUNTIFS('系统设置'!Q2:Q9,"❌")+COUNTIFS('系统设置'!Q2:Q9,"Block")</f>
      </c>
      <c r="AH27" s="20">
        <v>6</v>
      </c>
      <c r="AI27" s="57">
        <f>AF27</f>
      </c>
      <c r="AJ27" s="1">
        <v>0</v>
      </c>
      <c r="AK27" s="58">
        <f>AG27-AF27</f>
      </c>
      <c r="AL27" s="86" t="str">
        <v>字节-刘晓帝
PASS</v>
      </c>
      <c r="AP27" s="11" t="str">
        <v>系统设置</v>
      </c>
      <c r="AQ27" s="2">
        <f>AH27-E27</f>
      </c>
    </row>
    <row r="28" spans="1:44">
      <c r="A28" s="60"/>
      <c r="B28" s="13" t="str">
        <v>屏幕亮度</v>
      </c>
      <c r="C28" s="12" t="str">
        <v>已完成</v>
      </c>
      <c r="D28" s="47">
        <v>11</v>
      </c>
      <c r="E28" s="47">
        <v>11</v>
      </c>
      <c r="F28" s="48">
        <f>G28/E28</f>
      </c>
      <c r="G28" s="49">
        <v>11</v>
      </c>
      <c r="H28" s="50">
        <f>E28-G28</f>
      </c>
      <c r="I28" s="19">
        <v>11</v>
      </c>
      <c r="J28" s="48">
        <f>I28/E28</f>
      </c>
      <c r="K28" s="67" t="inlineStr">
        <is>
          <r>
            <rPr>
              <strike/>
              <sz val="10"/>
              <rFont val="Arial"/>
            </rPr>
            <t xml:space="preserve">1、getBackLightBrightness 获取屏幕亮度始终为0
</t>
          </r>
          <r>
            <rPr>
              <sz val="10"/>
              <color rgb="FFF54A45"/>
              <rFont val="Arial"/>
            </rPr>
            <t>0615、0622 开发名下无bug，测试有1个case没过，与测试刘晓帝确认bug</t>
          </r>
        </is>
      </c>
      <c r="O28" s="48">
        <f>P28/E28</f>
      </c>
      <c r="P28" s="28">
        <v>11</v>
      </c>
      <c r="Q28" s="16">
        <f>E28-P28</f>
      </c>
      <c r="T28" s="19">
        <v>11</v>
      </c>
      <c r="U28" s="48">
        <f>T28/E28</f>
      </c>
      <c r="V28" s="11">
        <f>E28-T28</f>
      </c>
      <c r="W28" s="11" t="str">
        <v> P0</v>
      </c>
      <c r="X28" s="53" t="str">
        <v>✅</v>
      </c>
      <c r="Y28" s="53" t="str">
        <v>03.13</v>
      </c>
      <c r="Z28" s="11" t="inlineStr">
        <is>
          <r>
            <t>@谢一鸣</t>
          </r>
        </is>
      </c>
      <c r="AA28" s="11" t="inlineStr">
        <is>
          <r>
            <t>@尹泽陆</t>
          </r>
        </is>
      </c>
      <c r="AB28" s="54">
        <f>AG28/AH28</f>
      </c>
      <c r="AC28" s="55">
        <f>AG28</f>
      </c>
      <c r="AD28" s="55">
        <f>E28-AC28</f>
      </c>
      <c r="AE28" s="54">
        <f>AF28/AG28</f>
      </c>
      <c r="AF28" s="16">
        <f>COUNTIFS('系统设置'!Q10:Q20,"✅")</f>
      </c>
      <c r="AG28" s="16">
        <f>COUNTIFS('系统设置'!Q10:Q20,"✅")+COUNTIFS('系统设置'!Q10:Q20,"❌")+COUNTIFS('系统设置'!Q10:Q20,"Block")</f>
      </c>
      <c r="AH28" s="20">
        <v>11</v>
      </c>
      <c r="AI28" s="57">
        <f>AF28</f>
      </c>
      <c r="AJ28" s="58">
        <f>AH28-AF28</f>
      </c>
      <c r="AK28" s="58">
        <f>AG28-AF28</f>
      </c>
      <c r="AL28" s="86" t="str">
        <v>上汽
FAIL
字节-刘晓帝 FAIL</v>
      </c>
      <c r="AM28" s="59" t="str">
        <v>https://bytedance.larkoffice.com/record/InxIryuKneOrkEc7gXxc8Ftvnzb
https://bytedance.larkoffice.com/record/Yki8raciieLBemcU9DMcffK0nqd</v>
      </c>
      <c r="AP28" s="11" t="str">
        <v>系统设置</v>
      </c>
      <c r="AQ28" s="2">
        <f>AH28-E28</f>
      </c>
      <c r="AR28" s="65" t="inlineStr">
        <is>
          <r>
            <t>@刘晓帝</t>
          </r>
          <r>
            <t xml:space="preserve"> 进度表100%，模块表测试状态还有❌，请确认并更新-已完成</t>
          </r>
        </is>
      </c>
    </row>
    <row r="29" spans="1:44">
      <c r="A29" s="60"/>
      <c r="B29" s="11" t="str">
        <v>屏保</v>
      </c>
      <c r="C29" s="12" t="str">
        <v>已完成</v>
      </c>
      <c r="D29" s="47">
        <v>6</v>
      </c>
      <c r="E29" s="47">
        <v>6</v>
      </c>
      <c r="F29" s="48">
        <f>G29/E29</f>
      </c>
      <c r="G29" s="49">
        <v>6</v>
      </c>
      <c r="H29" s="50">
        <f>E29-G29</f>
      </c>
      <c r="I29" s="19">
        <v>6</v>
      </c>
      <c r="J29" s="48">
        <f>I29/E29</f>
      </c>
      <c r="K29" s="51" t="inlineStr">
        <is>
          <r>
            <rPr>
              <strike/>
              <sz val="10"/>
              <color rgb="FF1F2329"/>
              <rFont val="Arial"/>
            </rPr>
            <t xml:space="preserve">4.16：
6个功能控制接口返回值异常，已收集待上汽排查问题。
04.20：</t>
          </r>
          <r>
            <rPr>
              <strike/>
              <sz val="10"/>
              <color rgb="FF1F2329"/>
              <rFont val="Arial"/>
            </rPr>
            <t>@刘敬思</t>
          </r>
          <r>
            <rPr>
              <strike/>
              <sz val="10"/>
              <color rgb="FF1F2329"/>
              <rFont val="Arial"/>
            </rPr>
            <t xml:space="preserve">更新最新进展4.21待上汽分析bug
04.21：</t>
          </r>
          <r>
            <rPr>
              <strike/>
              <sz val="10"/>
              <color rgb="FF1F2329"/>
              <rFont val="Arial"/>
            </rPr>
            <t>@刘敬思</t>
          </r>
          <r>
            <rPr>
              <strike/>
              <sz val="10"/>
              <color rgb="FF1F2329"/>
              <rFont val="Arial"/>
            </rPr>
            <t xml:space="preserve">调整使用逻辑后自测
4.22 打开退出屏保仍有bug待上汽排查，切换屏保功能正常4.22屏保打开关闭，样式切换都已修复，但是253的车打开屏保始终进入黑色屏保样式
</t>
          </r>
          <r>
            <rPr>
              <b/>
              <strike/>
              <sz val="10"/>
              <color rgb="FF1F2329"/>
              <rFont val="Arial"/>
            </rPr>
            <t>0527:</t>
          </r>
          <r>
            <rPr>
              <b/>
              <strike/>
              <sz val="10"/>
              <color rgb="FF1F2329"/>
              <rFont val="Arial"/>
            </rPr>
            <t>@赵晓健</t>
          </r>
          <r>
            <rPr>
              <b/>
              <strike/>
              <sz val="10"/>
              <color rgb="FF1F2329"/>
              <rFont val="Arial"/>
            </rPr>
            <t>@刘晓帝</t>
          </r>
          <r>
            <rPr>
              <b/>
              <strike/>
              <sz val="10"/>
              <color rgb="FF1F2329"/>
              <rFont val="Arial"/>
            </rPr>
            <t xml:space="preserve"> 确认完成测试时间
</t>
          </r>
          <r>
            <rPr>
              <sz val="10"/>
              <color rgb="FFF54A45"/>
              <rFont val="Arial"/>
            </rPr>
            <t>0615、0622 开发名下无bug，测试有2个case没过，与测试刘晓帝确认bug</t>
          </r>
        </is>
      </c>
      <c r="O29" s="48">
        <f>P29/E29</f>
      </c>
      <c r="P29" s="105">
        <v>6</v>
      </c>
      <c r="Q29" s="16">
        <f>E29-P29</f>
      </c>
      <c r="T29" s="71">
        <v>6</v>
      </c>
      <c r="U29" s="48">
        <f>T29/E29</f>
      </c>
      <c r="V29" s="11">
        <f>E29-T29</f>
      </c>
      <c r="W29" s="11" t="str">
        <v>P2</v>
      </c>
      <c r="Y29" s="53" t="str">
        <v>4.22</v>
      </c>
      <c r="Z29" s="16" t="inlineStr">
        <is>
          <r>
            <t>@高宇新</t>
          </r>
        </is>
      </c>
      <c r="AA29" s="11" t="inlineStr">
        <is>
          <r>
            <t>@余明明</t>
          </r>
        </is>
      </c>
      <c r="AB29" s="54">
        <f>AG29/AH29</f>
      </c>
      <c r="AC29" s="55">
        <f>AG29</f>
      </c>
      <c r="AD29" s="55">
        <f>E29-AC29</f>
      </c>
      <c r="AE29" s="54">
        <f>AF29/AG29</f>
      </c>
      <c r="AF29" s="16">
        <f>COUNTIFS('系统设置'!Q21:Q26,"✅")</f>
      </c>
      <c r="AG29" s="16">
        <f>COUNTIFS('系统设置'!Q21:Q26,"✅")+COUNTIFS('系统设置'!Q21:Q26,"❌")+COUNTIFS('系统设置'!Q21:Q26,"Block")</f>
      </c>
      <c r="AH29" s="20">
        <v>6</v>
      </c>
      <c r="AI29" s="57">
        <f>AF29</f>
      </c>
      <c r="AJ29" s="58">
        <f>AH29-AF29</f>
      </c>
      <c r="AK29" s="58">
        <f>AG29-AF29</f>
      </c>
      <c r="AL29" s="86" t="str">
        <v>字节-郑永超
FAIL</v>
      </c>
      <c r="AM29" s="59" t="str">
        <v>https://bytedance.larkoffice.com/record/RyfqrxP9jer9k0c4gkqcsjhSndb
https://bytedance.larkoffice.com/record/WcAorFpQueI7lqcIZadcwbknnCd
https://bytedance.larkoffice.com/record/G7xSrn6Bfe8crUcp8YAcV28rniH</v>
      </c>
      <c r="AP29" s="11" t="str">
        <v>系统设置</v>
      </c>
      <c r="AQ29" s="2">
        <f>AH29-E29</f>
      </c>
      <c r="AR29" s="65" t="inlineStr">
        <is>
          <r>
            <t>@刘晓帝</t>
          </r>
          <r>
            <t xml:space="preserve"> 2条无此功能是否需要兜底测试？- 我也没看到研发备注走兜底回复呀 </t>
          </r>
        </is>
      </c>
    </row>
    <row r="30" spans="1:44">
      <c r="A30" s="60"/>
      <c r="B30" s="11" t="str">
        <v>主题切换</v>
      </c>
      <c r="C30" s="12" t="str">
        <v>已完成</v>
      </c>
      <c r="D30" s="47">
        <v>5</v>
      </c>
      <c r="E30" s="47">
        <v>5</v>
      </c>
      <c r="F30" s="48">
        <f>G30/E30</f>
      </c>
      <c r="G30" s="49">
        <v>5</v>
      </c>
      <c r="H30" s="50">
        <f>E30-G30</f>
      </c>
      <c r="I30" s="19">
        <v>5</v>
      </c>
      <c r="J30" s="48">
        <f>I30/E30</f>
      </c>
      <c r="K30" s="116" t="inlineStr">
        <is>
          <r>
            <rPr>
              <strike/>
              <sz val="10"/>
              <color rgb="FF1F2329"/>
              <rFont val="Arial"/>
            </rPr>
            <t xml:space="preserve">4.20缺jar包待上汽提供4.21待上汽分析bug
04.21：</t>
          </r>
          <r>
            <rPr>
              <strike/>
              <sz val="10"/>
              <color rgb="FF1F2329"/>
              <rFont val="Arial"/>
            </rPr>
            <t>@刘敬思</t>
          </r>
          <r>
            <rPr>
              <strike/>
              <sz val="10"/>
              <color rgb="FF1F2329"/>
              <rFont val="Arial"/>
            </rPr>
            <t xml:space="preserve">调整使用逻辑后自测4.22主题切换不生效待上汽排查
4.22字节：主题切换逻辑bug待排查修复4.23已修复bug
</t>
          </r>
          <r>
            <rPr>
              <strike/>
              <sz val="10"/>
              <color rgb="FF373C43"/>
              <rFont val="Arial"/>
            </rPr>
            <t xml:space="preserve">4.24UI切换到黑夜模式bug
</t>
          </r>
          <r>
            <rPr>
              <sz val="10"/>
              <color rgb="FFF54A45"/>
              <rFont val="Arial"/>
            </rPr>
            <t>0615、0622 开发名下无bug，测试有1个case没过，与测试刘晓帝确认bug</t>
          </r>
        </is>
      </c>
      <c r="O30" s="48">
        <f>P30/E30</f>
      </c>
      <c r="P30" s="105">
        <v>5</v>
      </c>
      <c r="Q30" s="16">
        <f>E30-P30</f>
      </c>
      <c r="T30" s="71">
        <v>5</v>
      </c>
      <c r="U30" s="48">
        <f>T30/E30</f>
      </c>
      <c r="V30" s="11">
        <f>E30-T30</f>
      </c>
      <c r="W30" s="11" t="str">
        <v>P2</v>
      </c>
      <c r="Y30" s="53" t="str">
        <v>04.24</v>
      </c>
      <c r="Z30" s="16" t="inlineStr">
        <is>
          <r>
            <t>@高宇新</t>
          </r>
        </is>
      </c>
      <c r="AA30" s="11" t="inlineStr">
        <is>
          <r>
            <t>@余明明</t>
          </r>
        </is>
      </c>
      <c r="AB30" s="54">
        <f>AG30/AH30</f>
      </c>
      <c r="AC30" s="55">
        <f>AG30</f>
      </c>
      <c r="AD30" s="55">
        <f>E30-AC30</f>
      </c>
      <c r="AE30" s="54">
        <f>AF30/AG30</f>
      </c>
      <c r="AF30" s="16">
        <f>COUNTIFS('系统设置'!Q27:Q31,"✅")</f>
      </c>
      <c r="AG30" s="16">
        <f>COUNTIFS('系统设置'!Q27:Q31,"✅")+COUNTIFS('系统设置'!Q27:Q31,"❌")+COUNTIFS('系统设置'!Q27:Q31,"Block")</f>
      </c>
      <c r="AH30" s="20">
        <v>5</v>
      </c>
      <c r="AI30" s="57">
        <f>AF30</f>
      </c>
      <c r="AJ30" s="58">
        <f>AH30-AF30</f>
      </c>
      <c r="AK30" s="58">
        <f>AG30-AF30</f>
      </c>
      <c r="AL30" s="36" t="str">
        <v>字节-刘晓帝
FAIL</v>
      </c>
      <c r="AM30" s="59" t="str">
        <v>https://bytedance.larkoffice.com/record/CfbTrbouhei7IGcLZficQk1TnPc
https://bytedance.larkoffice.com/record/U5PmrChWJekPLRcK4zXcJuk8nIf</v>
      </c>
      <c r="AP30" s="11" t="str">
        <v>系统设置</v>
      </c>
      <c r="AQ30" s="2">
        <f>AH30-E30</f>
      </c>
      <c r="AR30" s="65" t="inlineStr">
        <is>
          <r>
            <t>@刘敬思</t>
          </r>
          <r>
            <t xml:space="preserve"> </t>
          </r>
          <r>
            <t>进度表已接5，模块表研发进展“进行中”，请确认并更新-</t>
          </r>
        </is>
      </c>
    </row>
    <row r="31" spans="1:43">
      <c r="A31" s="60"/>
      <c r="B31" s="15" t="str">
        <v>壁纸切换</v>
      </c>
      <c r="C31" s="12" t="str">
        <v>已完成</v>
      </c>
      <c r="D31" s="47">
        <v>4</v>
      </c>
      <c r="E31" s="47">
        <v>4</v>
      </c>
      <c r="F31" s="48">
        <f>G31/E31</f>
      </c>
      <c r="G31" s="49">
        <v>4</v>
      </c>
      <c r="H31" s="50">
        <f>E31-G31</f>
      </c>
      <c r="I31" s="19">
        <v>4</v>
      </c>
      <c r="J31" s="48">
        <f>I31/E31</f>
      </c>
      <c r="K31" s="67" t="inlineStr">
        <is>
          <r>
            <rPr>
              <strike/>
              <sz val="10"/>
              <color rgb="FF1F2329"/>
              <rFont val="Arial"/>
            </rPr>
            <t xml:space="preserve">已具备
04.22 左晨：功能一重新打开，需要再确认接口，如有继续开发，如无则标记block
04.22  05.05 05.15 功能1 缺少 FC 
05.26：验证“壁纸设置”FC函数
</t>
          </r>
          <r>
            <rPr>
              <strike/>
              <sz val="10"/>
              <rFont val="Arial"/>
            </rPr>
            <t xml:space="preserve">06.01   “壁纸设置”FC函数验证通过，功能开发完毕
</t>
          </r>
          <r>
            <rPr>
              <sz val="10"/>
              <color rgb="FFF54A45"/>
              <rFont val="Arial"/>
            </rPr>
            <t>0615、0622 开发名下无bug，测试有1个case没过，与测试刘晓帝确认bug</t>
          </r>
        </is>
      </c>
      <c r="O31" s="48">
        <f>P31/E31</f>
      </c>
      <c r="P31" s="105">
        <v>4</v>
      </c>
      <c r="Q31" s="16">
        <f>E31-P31</f>
      </c>
      <c r="T31" s="105">
        <v>4</v>
      </c>
      <c r="U31" s="48">
        <f>T31/E31</f>
      </c>
      <c r="V31" s="11">
        <f>E31-T31</f>
      </c>
      <c r="W31" s="11" t="str">
        <v>P2</v>
      </c>
      <c r="Z31" s="11" t="inlineStr">
        <is>
          <r>
            <t>@尹泽陆</t>
          </r>
        </is>
      </c>
      <c r="AA31" s="14" t="inlineStr">
        <is>
          <r>
            <t>@樊晓天</t>
          </r>
        </is>
      </c>
      <c r="AB31" s="54">
        <f>AG31/AH31</f>
      </c>
      <c r="AC31" s="55">
        <f>AG31</f>
      </c>
      <c r="AD31" s="55">
        <f>E31-AC31</f>
      </c>
      <c r="AE31" s="54">
        <f>AF31/AG31</f>
      </c>
      <c r="AF31" s="16">
        <f>COUNTIFS('系统设置'!Q32:Q35,"✅")</f>
      </c>
      <c r="AG31" s="16">
        <f>COUNTIFS('系统设置'!Q32:Q35,"✅")+COUNTIFS('系统设置'!Q32:Q35,"❌")+COUNTIFS('系统设置'!Q32:Q35,"Block")</f>
      </c>
      <c r="AH31" s="20">
        <v>4</v>
      </c>
      <c r="AI31" s="57">
        <f>AF31</f>
      </c>
      <c r="AJ31" s="58">
        <f>AH31-AF31</f>
      </c>
      <c r="AK31" s="58">
        <f>AG31-AF31</f>
      </c>
      <c r="AL31" s="86" t="str">
        <v>字节-郑永超
FAIL</v>
      </c>
      <c r="AP31" s="11" t="str">
        <v>系统设置</v>
      </c>
      <c r="AQ31" s="2">
        <f>AH31-E31</f>
      </c>
    </row>
    <row r="32" spans="1:44">
      <c r="A32" s="60"/>
      <c r="B32" s="26" t="str">
        <v>分屏</v>
      </c>
      <c r="C32" s="12" t="str">
        <v>已完成</v>
      </c>
      <c r="D32" s="47">
        <v>3</v>
      </c>
      <c r="E32" s="47">
        <v>2</v>
      </c>
      <c r="F32" s="48">
        <f>G32/E32</f>
      </c>
      <c r="G32" s="117">
        <v>2</v>
      </c>
      <c r="H32" s="50">
        <f>E32-G32</f>
      </c>
      <c r="I32" s="19">
        <v>2</v>
      </c>
      <c r="J32" s="48">
        <f>I32/E32</f>
      </c>
      <c r="K32" s="51" t="str">
        <v>4.21：已在微信群沟通。 上汽产品侧反馈有需求，研发反馈没有需求。 已经让他们做信息拉齐了。
上汽接口block---上汽SRS反馈无此需求，待上汽产品澄清。
05.19：变更内容按新逻辑排期。本范围已完成。</v>
      </c>
      <c r="O32" s="48">
        <f>P32/E32</f>
      </c>
      <c r="P32" s="28">
        <v>3</v>
      </c>
      <c r="Q32" s="16">
        <f>E32-P32</f>
      </c>
      <c r="T32" s="71">
        <v>2</v>
      </c>
      <c r="U32" s="48">
        <f>T32/E32</f>
      </c>
      <c r="V32" s="11">
        <f>E32-T32</f>
      </c>
      <c r="W32" s="11" t="str">
        <v>P2</v>
      </c>
      <c r="Y32" s="53" t="str">
        <v>05.05</v>
      </c>
      <c r="Z32" s="11" t="inlineStr">
        <is>
          <r>
            <t>@杨忠谕</t>
          </r>
        </is>
      </c>
      <c r="AA32" s="11" t="inlineStr">
        <is>
          <r>
            <t>@高宇新</t>
          </r>
        </is>
      </c>
      <c r="AB32" s="54">
        <f>AG32/AH32</f>
      </c>
      <c r="AC32" s="55">
        <f>AG32</f>
      </c>
      <c r="AD32" s="55">
        <f>E32-AC32</f>
      </c>
      <c r="AE32" s="54">
        <f>AF32/AG32</f>
      </c>
      <c r="AF32" s="16">
        <f>COUNTIFS('系统设置'!Q38:Q39,"✅")</f>
      </c>
      <c r="AG32" s="16">
        <f>COUNTIFS('系统设置'!Q38:Q39,"✅")+COUNTIFS('系统设置'!Q38:Q39,"❌")+COUNTIFS('系统设置'!Q38:Q39,"Block")</f>
      </c>
      <c r="AH32" s="19">
        <v>2</v>
      </c>
      <c r="AI32" s="57">
        <f>AF32</f>
      </c>
      <c r="AJ32" s="58">
        <f>AH32-AF32</f>
      </c>
      <c r="AK32" s="58">
        <f>AG32-AF32</f>
      </c>
      <c r="AL32" s="86" t="str">
        <v>字节-郑永超
FAIL</v>
      </c>
      <c r="AM32" s="59" t="str">
        <v>https://bytedance.larkoffice.com/record/S1CprG4p4e8Ko7ct8tFcOSzQnZf</v>
      </c>
      <c r="AP32" s="11" t="str">
        <v>系统设置</v>
      </c>
      <c r="AQ32" s="2">
        <f>AH32-E32</f>
      </c>
      <c r="AR32" s="65" t="inlineStr">
        <is>
          <r>
            <t>@王东旭</t>
          </r>
          <r>
            <t>1条无此功能是否需要兜底测试？-已完成</t>
          </r>
        </is>
      </c>
    </row>
    <row r="33" spans="1:44">
      <c r="A33" s="60"/>
      <c r="B33" s="13" t="str">
        <v>热点</v>
      </c>
      <c r="C33" s="12" t="str">
        <v>【火山】待问题修复</v>
      </c>
      <c r="D33" s="66">
        <v>4</v>
      </c>
      <c r="E33" s="66">
        <v>4</v>
      </c>
      <c r="F33" s="48">
        <f>G33/E33</f>
      </c>
      <c r="G33" s="75">
        <v>4</v>
      </c>
      <c r="H33" s="50">
        <f>E33-G33</f>
      </c>
      <c r="I33" s="19">
        <v>4</v>
      </c>
      <c r="J33" s="48">
        <f>I33/E33</f>
      </c>
      <c r="K33" s="51" t="inlineStr">
        <is>
          <r>
            <rPr>
              <strike/>
              <sz val="10"/>
              <color rgb="FF1F2329"/>
              <rFont val="Arial"/>
            </rPr>
            <t xml:space="preserve">接口int参数对应几，切换频段为2.4或5hz
03.12：
热点接口奔溃3.18已解决
3.23：
API返回值问题，导致tts播报异常。3.27已解决
4.2二级判断添加，已完成
</t>
          </r>
          <r>
            <rPr>
              <sz val="10"/>
              <color rgb="FFF54A45"/>
              <rFont val="Arial"/>
            </rPr>
            <t>0615、0622 开发名下无bug，测试有1个case没过，与测试王东旭确认bug</t>
          </r>
        </is>
      </c>
      <c r="N33" s="51" t="inlineStr">
        <is>
          <r>
            <t xml:space="preserve">03.05：
int型对应频段映射关系说明。</t>
          </r>
          <r>
            <t>@刘敬思</t>
          </r>
          <r>
            <t xml:space="preserve">按常量传值。
03.12:
调整使用方式后尝试
3.17 sdk执行异常，待抓日志让上汽分析</t>
          </r>
          <r>
            <t>@刘敬思</t>
          </r>
          <r>
            <t xml:space="preserve">
待guixiang协助分析反馈。
</t>
          </r>
          <r>
            <t xml:space="preserve">03.23：待「guixiang」分析反馈。
03.24：</t>
          </r>
          <r>
            <t>@刘敬思</t>
          </r>
          <r>
            <t>debug再分析</t>
          </r>
        </is>
      </c>
      <c r="O33" s="48">
        <f>P33/E33</f>
      </c>
      <c r="P33" s="28">
        <v>4</v>
      </c>
      <c r="Q33" s="16">
        <f>E33-P33</f>
      </c>
      <c r="T33" s="71">
        <v>4</v>
      </c>
      <c r="U33" s="48">
        <f>T33/E33</f>
      </c>
      <c r="V33" s="11">
        <f>E33-T33</f>
      </c>
      <c r="W33" s="11" t="str">
        <v> P0</v>
      </c>
      <c r="X33" s="53" t="str">
        <v>✅</v>
      </c>
      <c r="Y33" s="53" t="str">
        <v>03.06</v>
      </c>
      <c r="Z33" s="16" t="inlineStr">
        <is>
          <r>
            <t>@高宇新</t>
          </r>
        </is>
      </c>
      <c r="AA33" s="11" t="inlineStr">
        <is>
          <r>
            <t>@尹泽陆</t>
          </r>
        </is>
      </c>
      <c r="AB33" s="54">
        <f>AG33/AH33</f>
      </c>
      <c r="AC33" s="55">
        <f>AG33</f>
      </c>
      <c r="AD33" s="55">
        <f>E33-AC33</f>
      </c>
      <c r="AE33" s="54">
        <f>AF33/AG33</f>
      </c>
      <c r="AF33" s="16">
        <f>COUNTIFS('系统设置'!Q41:Q44,"✅")</f>
      </c>
      <c r="AG33" s="16">
        <f>COUNTIFS('系统设置'!Q41:Q44,"✅")+COUNTIFS('系统设置'!Q41:Q44,"❌")+COUNTIFS('系统设置'!Q41:Q44,"Block")</f>
      </c>
      <c r="AH33" s="118">
        <v>4</v>
      </c>
      <c r="AI33" s="57">
        <f>AF33</f>
      </c>
      <c r="AJ33" s="58">
        <f>AH33-AF33</f>
      </c>
      <c r="AK33" s="58">
        <f>AG33-AF33</f>
      </c>
      <c r="AL33" s="86" t="str">
        <v>上汽
FAIL
字节-王东旭 FAIL</v>
      </c>
      <c r="AM33" s="59" t="str">
        <v>https://bytedance.larkoffice.com/record/McRSr2rVBeIG93cOKO0cmSnKnjM
</v>
      </c>
      <c r="AP33" s="11" t="str">
        <v>系统设置</v>
      </c>
      <c r="AQ33" s="2">
        <f>AH33-E33</f>
      </c>
      <c r="AR33" s="2" t="str">
        <v> </v>
      </c>
    </row>
    <row r="34" spans="1:44">
      <c r="A34" s="60"/>
      <c r="B34" s="13" t="str">
        <v>蓝牙</v>
      </c>
      <c r="C34" s="12" t="str">
        <v>已完成</v>
      </c>
      <c r="D34" s="66">
        <v>4</v>
      </c>
      <c r="E34" s="66">
        <v>4</v>
      </c>
      <c r="F34" s="48">
        <f>G34/E34</f>
      </c>
      <c r="G34" s="75">
        <v>4</v>
      </c>
      <c r="H34" s="50">
        <f>E34-G34</f>
      </c>
      <c r="I34" s="19">
        <v>4</v>
      </c>
      <c r="J34" s="48">
        <f>I34/E34</f>
      </c>
      <c r="K34" s="51" t="str">
        <v>03.12：
1始终播放音频有bug
2打开蓝牙可被发现开关是否同时开启打开蓝牙开关？关闭蓝牙可被发现开关是否同时关闭蓝牙开关？
3.关闭蓝牙可被发现开关，调用之后不生效，有时候会把蓝牙开关关闭
3.19蓝牙耳机需求  待确认
3.20同上需求待左晨确认
3.23：
API返回值问题，导致tts播报异常。3.26已解决完成
4.2二级判断添加，已完成</v>
      </c>
      <c r="N34" s="51" t="inlineStr">
        <is>
          <r>
            <t xml:space="preserve">1左图缺接口，蓝牙耳机音量接口支持，1和3非zoneapi需求
2始终播放手机音频开关Settings.Global.BT_PLAY_PHONE_MEDIA_SWITCH解决中
03.12:
调整使用方式后尝试
3.17 耳机开关的逻辑待产品确认，上汽反馈只有开关，后排只有连接
</t>
          </r>
          <r>
            <t>@刘敬思</t>
          </r>
          <r>
            <t xml:space="preserve">
</t>
          </r>
          <r>
            <t xml:space="preserve">03.17：
蓝牙耳机开关需求，待PO反馈双方沟通结果。
03.18：明天17:00对PRD变更内容澄清会。3.19蓝牙耳机需求  待确认
03.23：待「guixiang」分析反馈。
03.24：</t>
          </r>
          <r>
            <t>@刘敬思</t>
          </r>
          <r>
            <t>debug再分析</t>
          </r>
        </is>
      </c>
      <c r="O34" s="48">
        <f>P34/E34</f>
      </c>
      <c r="P34" s="71">
        <v>4</v>
      </c>
      <c r="Q34" s="16">
        <f>E34-P34</f>
      </c>
      <c r="T34" s="71">
        <v>4</v>
      </c>
      <c r="U34" s="48">
        <f>T34/E34</f>
      </c>
      <c r="V34" s="11">
        <f>E34-T34</f>
      </c>
      <c r="W34" s="11" t="str">
        <v> P0</v>
      </c>
      <c r="X34" s="53" t="str">
        <v>✅</v>
      </c>
      <c r="Y34" s="53" t="str">
        <v>03.06</v>
      </c>
      <c r="Z34" s="16" t="inlineStr">
        <is>
          <r>
            <t>@高宇新</t>
          </r>
        </is>
      </c>
      <c r="AA34" s="11" t="inlineStr">
        <is>
          <r>
            <t>@尹泽陆</t>
          </r>
        </is>
      </c>
      <c r="AB34" s="54">
        <f>AG34/AH34</f>
      </c>
      <c r="AC34" s="55">
        <f>AG34</f>
      </c>
      <c r="AD34" s="55">
        <f>E34-AC34</f>
      </c>
      <c r="AE34" s="54">
        <f>AF34/AG34</f>
      </c>
      <c r="AF34" s="16">
        <f>COUNTIFS('系统设置'!Q45:Q48,"✅")</f>
      </c>
      <c r="AG34" s="63">
        <f>COUNTIFS('系统设置'!Q45:Q48,"✅")+COUNTIFS('系统设置'!Q45:Q48,"❌")+COUNTIFS('系统设置'!Q45:Q48,"Block")</f>
      </c>
      <c r="AH34" s="19">
        <v>4</v>
      </c>
      <c r="AI34" s="58">
        <f>AF34</f>
      </c>
      <c r="AJ34" s="119">
        <f>AH34-AF34</f>
      </c>
      <c r="AK34" s="58">
        <f>AG34-AF34</f>
      </c>
      <c r="AL34" s="86" t="str">
        <v>上汽
PASS
字节-王东旭 PASS
</v>
      </c>
      <c r="AP34" s="11" t="str">
        <v>系统设置</v>
      </c>
      <c r="AQ34" s="2">
        <f>AH34-E34</f>
      </c>
      <c r="AR34" s="65" t="inlineStr">
        <is>
          <r>
            <t>@王东旭</t>
          </r>
          <r>
            <t xml:space="preserve"> 进度表总case数1，未通过4，请确认并更新-已完成</t>
          </r>
        </is>
      </c>
    </row>
    <row r="35" spans="1:43">
      <c r="A35" s="60"/>
      <c r="B35" s="13" t="str">
        <v>时间格式</v>
      </c>
      <c r="C35" s="12" t="str">
        <v>已完成</v>
      </c>
      <c r="D35" s="47">
        <v>2</v>
      </c>
      <c r="E35" s="47">
        <v>2</v>
      </c>
      <c r="F35" s="48">
        <f>G35/E35</f>
      </c>
      <c r="G35" s="49">
        <v>2</v>
      </c>
      <c r="H35" s="50">
        <f>E35-G35</f>
      </c>
      <c r="I35" s="19">
        <v>2</v>
      </c>
      <c r="J35" s="48">
        <f>I35/E35</f>
      </c>
      <c r="O35" s="48">
        <f>P35/E35</f>
      </c>
      <c r="P35" s="28">
        <v>2</v>
      </c>
      <c r="Q35" s="16">
        <f>E35-P35</f>
      </c>
      <c r="T35" s="71">
        <v>2</v>
      </c>
      <c r="U35" s="48">
        <f>T35/E35</f>
      </c>
      <c r="V35" s="11">
        <f>E35-T35</f>
      </c>
      <c r="W35" s="11" t="str">
        <v>P1</v>
      </c>
      <c r="X35" s="89" t="str">
        <v>✅</v>
      </c>
      <c r="Z35" s="11" t="inlineStr">
        <is>
          <r>
            <t>@杨忠谕</t>
          </r>
        </is>
      </c>
      <c r="AA35" s="16" t="inlineStr">
        <is>
          <r>
            <t>@高宇新</t>
          </r>
        </is>
      </c>
      <c r="AB35" s="54">
        <f>AG35/AH35</f>
      </c>
      <c r="AC35" s="55">
        <f>AG35</f>
      </c>
      <c r="AD35" s="55">
        <f>E35-AC35</f>
      </c>
      <c r="AE35" s="54">
        <f>AF35/AG35</f>
      </c>
      <c r="AF35" s="16">
        <f>COUNTIFS('系统设置'!Q49:Q50,"✅")</f>
      </c>
      <c r="AG35" s="16">
        <f>COUNTIFS('系统设置'!Q49:Q50,"✅")+COUNTIFS('系统设置'!Q49:Q50,"❌")+COUNTIFS('系统设置'!Q49:Q50,"Block")</f>
      </c>
      <c r="AH35" s="120">
        <v>2</v>
      </c>
      <c r="AI35" s="121">
        <f>AF35</f>
      </c>
      <c r="AJ35" s="58">
        <f>AH35-AF35</f>
      </c>
      <c r="AK35" s="58">
        <f>AG35-AF35</f>
      </c>
      <c r="AL35" s="36" t="str">
        <v>字节-刘晓帝
PASS</v>
      </c>
      <c r="AP35" s="11" t="str">
        <v>系统设置</v>
      </c>
      <c r="AQ35" s="2">
        <f>AH35-E35</f>
      </c>
    </row>
    <row r="36" spans="1:43">
      <c r="A36" s="60"/>
      <c r="B36" s="11" t="str">
        <v>无线网络</v>
      </c>
      <c r="C36" s="12" t="str">
        <v>【火山】待问题修复</v>
      </c>
      <c r="D36" s="47">
        <v>1</v>
      </c>
      <c r="E36" s="47">
        <v>1</v>
      </c>
      <c r="F36" s="48">
        <f>G36/E36</f>
      </c>
      <c r="G36" s="75">
        <v>1</v>
      </c>
      <c r="H36" s="50">
        <f>E36-G36</f>
      </c>
      <c r="I36" s="19">
        <v>1</v>
      </c>
      <c r="J36" s="48">
        <f>I36/E36</f>
      </c>
      <c r="K36" s="92" t="str">
        <v>04.17 04.20 FC 目前不支持 需要婉婷确认时间
04.20 @廖婉婷FC不支持，排期中https://meego.larkoffice.com/telematics/story/detail/7163979318
05.05 05.15缺少 FC 
05.26，06.03 FC没下发 跟踪算法进度
0615 泽陆尽快起bug推进
0618 云端修复完成，完成开发
0622 研发名下无bug</v>
      </c>
      <c r="O36" s="48">
        <f>P36/E36</f>
      </c>
      <c r="P36" s="28">
        <v>1</v>
      </c>
      <c r="Q36" s="16">
        <f>E36-P36</f>
      </c>
      <c r="T36" s="105">
        <v>1</v>
      </c>
      <c r="U36" s="48">
        <f>T36/E36</f>
      </c>
      <c r="V36" s="19">
        <v>1</v>
      </c>
      <c r="W36" s="11" t="str">
        <v>P2</v>
      </c>
      <c r="Z36" s="11" t="inlineStr">
        <is>
          <r>
            <t>@尹泽陆</t>
          </r>
        </is>
      </c>
      <c r="AA36" s="11" t="inlineStr">
        <is>
          <r>
            <t>@樊晓天</t>
          </r>
        </is>
      </c>
      <c r="AB36" s="54">
        <f>AG36/AH36</f>
      </c>
      <c r="AC36" s="55">
        <f>AG36</f>
      </c>
      <c r="AD36" s="55">
        <f>E36-AC36</f>
      </c>
      <c r="AE36" s="54">
        <f>AF36/AG36</f>
      </c>
      <c r="AF36" s="16">
        <f>COUNTIFS('系统设置'!Q51,"✅")</f>
      </c>
      <c r="AG36" s="16">
        <f>COUNTIFS('系统设置'!Q51,"✅")+COUNTIFS('系统设置'!Q51,"❌")+COUNTIFS('系统设置'!Q51,"Block")</f>
      </c>
      <c r="AH36" s="19">
        <v>1</v>
      </c>
      <c r="AI36" s="57">
        <f>AF36</f>
      </c>
      <c r="AJ36" s="58">
        <f>AH36-AF36</f>
      </c>
      <c r="AK36" s="58">
        <f>AG36-AF36</f>
      </c>
      <c r="AL36" s="36" t="str">
        <v>字节-刘晓帝</v>
      </c>
      <c r="AP36" s="11" t="str">
        <v>系统设置</v>
      </c>
      <c r="AQ36" s="2">
        <f>AH36-E36</f>
      </c>
    </row>
    <row r="37" spans="1:44">
      <c r="A37" s="60"/>
      <c r="B37" s="11" t="str">
        <v>软件升级</v>
      </c>
      <c r="C37" s="12" t="str">
        <v>已完成</v>
      </c>
      <c r="D37" s="47">
        <v>3</v>
      </c>
      <c r="E37" s="47">
        <v>3</v>
      </c>
      <c r="F37" s="48">
        <f>G37/E37</f>
      </c>
      <c r="G37" s="49">
        <v>3</v>
      </c>
      <c r="H37" s="50">
        <f>E37-G37</f>
      </c>
      <c r="I37" s="19">
        <v>3</v>
      </c>
      <c r="J37" s="48">
        <f>I37/E37</f>
      </c>
      <c r="K37" s="51" t="inlineStr">
        <is>
          <r>
            <t xml:space="preserve">1.还未提供端状态的信息，待西钺确认
</t>
          </r>
          <r>
            <t xml:space="preserve">2.query:升级系统版本现在拒识/预约升级系统版本现在走车书
04.20：确认日期 西钺反馈；最快4月22日完成
05.19：上汽反馈OTA最新版本的状态目前还没有接口，需要确认方案
05.27：升级接口：adb shell am start -a com.zone.intent.tab.software -n  com.zone.hmi.settings/com.zone.hmi.settings.ui.MainFragmentActivity --es SUB_ACTION subAction_ota
0528 </t>
          </r>
          <r>
            <t>@杨忠谕</t>
          </r>
          <r>
            <t xml:space="preserve"> ：待上汽确认接口
0601 杨忠谕：待产品提供端状态信息</t>
          </r>
          <r>
            <t>@吴仁杰</t>
          </r>
          <r>
            <t>/0622 仁杰还未反馈/0624 吴仁杰未反馈/0629仍未提供/0701 找过吴仁杰，翻一下聊天记录进展/0701仁杰：这个</t>
          </r>
          <r>
            <t>@韩天亮</t>
          </r>
          <r>
            <t xml:space="preserve"> 已经提需求给到上汽了，等对方给反馈。
</t>
          </r>
          <r>
            <t xml:space="preserve">0707 1个api（版本检查）上汽0703给的接口有问题，待忠谕提票
0710 忠谕反馈接口有问题，在找上汽排查</t>
          </r>
        </is>
      </c>
      <c r="O37" s="48">
        <f>P37/E37</f>
      </c>
      <c r="P37" s="71">
        <v>2</v>
      </c>
      <c r="Q37" s="16">
        <f>E37-P37</f>
      </c>
      <c r="R37" s="51" t="str">
        <v>04.15：实车不支持软件升级控制
04.16：前置要求账号登录（当前账号登录失败）
04.19：已解决账号登录。</v>
      </c>
      <c r="T37" s="71">
        <v>2</v>
      </c>
      <c r="U37" s="48">
        <f>T37/E37</f>
      </c>
      <c r="V37" s="11">
        <f>E37-T37</f>
      </c>
      <c r="W37" s="11" t="str">
        <v>P2</v>
      </c>
      <c r="Y37" s="53" t="str">
        <v>05.05</v>
      </c>
      <c r="Z37" s="11" t="inlineStr">
        <is>
          <r>
            <t>@杨忠谕</t>
          </r>
        </is>
      </c>
      <c r="AA37" s="11" t="inlineStr">
        <is>
          <r>
            <t>@樊晓天</t>
          </r>
        </is>
      </c>
      <c r="AB37" s="54">
        <f>AG37/AH37</f>
      </c>
      <c r="AC37" s="55">
        <f>AG37</f>
      </c>
      <c r="AD37" s="55">
        <f>E37-AC37</f>
      </c>
      <c r="AE37" s="54">
        <f>AF37/AG37</f>
      </c>
      <c r="AF37" s="16">
        <f>COUNTIFS('系统设置'!Q52:Q54,"✅")</f>
      </c>
      <c r="AG37" s="16">
        <f>COUNTIFS('系统设置'!Q52:Q54,"✅")+COUNTIFS('系统设置'!Q52:Q54,"❌")+COUNTIFS('系统设置'!Q52:Q54,"Block")</f>
      </c>
      <c r="AH37" s="19">
        <v>3</v>
      </c>
      <c r="AI37" s="57">
        <f>AF37</f>
      </c>
      <c r="AJ37" s="58">
        <f>AH37-AF37</f>
      </c>
      <c r="AK37" s="58">
        <f>AG37-AF37</f>
      </c>
      <c r="AL37" s="86" t="str">
        <v>字节-郑永超
FAIL</v>
      </c>
      <c r="AP37" s="11" t="str">
        <v>系统设置</v>
      </c>
      <c r="AQ37" s="2">
        <f>AH37-E37</f>
      </c>
      <c r="AR37" s="65" t="inlineStr">
        <is>
          <r>
            <t>@杨忠谕</t>
          </r>
          <r>
            <t xml:space="preserve"> 0527接口升级后下一步动作？- 待上汽确认接口
</t>
          </r>
          <r>
            <t>@王东旭</t>
          </r>
          <r>
            <t xml:space="preserve"> 模块表2条测试进展✅，进度表测试数据对不上，请确认并更新-已完成</t>
          </r>
        </is>
      </c>
    </row>
    <row r="38" spans="1:43">
      <c r="A38" s="60"/>
      <c r="B38" s="13" t="str">
        <v>车机快速启动</v>
      </c>
      <c r="C38" s="12" t="str">
        <v>已完成</v>
      </c>
      <c r="D38" s="47">
        <v>2</v>
      </c>
      <c r="E38" s="47">
        <v>2</v>
      </c>
      <c r="F38" s="48">
        <f>G38/E38</f>
      </c>
      <c r="G38" s="49">
        <v>2</v>
      </c>
      <c r="H38" s="50">
        <f>E38-G38</f>
      </c>
      <c r="I38" s="19">
        <v>2</v>
      </c>
      <c r="J38" s="48">
        <f>I38/E38</f>
      </c>
      <c r="O38" s="48">
        <f>P38/E38</f>
      </c>
      <c r="P38" s="71">
        <v>2</v>
      </c>
      <c r="Q38" s="16">
        <f>E38-P38</f>
      </c>
      <c r="T38" s="71">
        <v>2</v>
      </c>
      <c r="U38" s="48">
        <f>T38/E38</f>
      </c>
      <c r="V38" s="11">
        <f>E38-T38</f>
      </c>
      <c r="W38" s="11" t="str">
        <v>P2</v>
      </c>
      <c r="Z38" s="11" t="inlineStr">
        <is>
          <r>
            <t>@杨忠谕</t>
          </r>
        </is>
      </c>
      <c r="AA38" s="11" t="inlineStr">
        <is>
          <r>
            <t>@樊晓天</t>
          </r>
        </is>
      </c>
      <c r="AB38" s="54">
        <f>AG38/AH38</f>
      </c>
      <c r="AC38" s="55">
        <f>AG38</f>
      </c>
      <c r="AD38" s="55">
        <f>E38-AC38</f>
      </c>
      <c r="AE38" s="54">
        <f>AF38/AG38</f>
      </c>
      <c r="AF38" s="16">
        <f>COUNTIFS('系统设置'!Q55:Q56,"✅")</f>
      </c>
      <c r="AG38" s="16">
        <f>COUNTIFS('系统设置'!Q55:Q56,"✅")+COUNTIFS('系统设置'!Q55:Q56,"❌")+COUNTIFS('系统设置'!Q55:Q56,"Block")</f>
      </c>
      <c r="AH38" s="20">
        <v>2</v>
      </c>
      <c r="AI38" s="57">
        <f>AF38</f>
      </c>
      <c r="AJ38" s="58">
        <f>AH38-AF38</f>
      </c>
      <c r="AK38" s="58">
        <f>AG38-AF38</f>
      </c>
      <c r="AL38" s="86" t="str">
        <v>字节-刘晓帝
PASS</v>
      </c>
      <c r="AP38" s="11" t="str">
        <v>系统设置</v>
      </c>
      <c r="AQ38" s="2">
        <f>AH38-E38</f>
      </c>
    </row>
    <row r="39" spans="1:43">
      <c r="A39" s="60"/>
      <c r="B39" s="15" t="str">
        <v>权限管理</v>
      </c>
      <c r="C39" s="12" t="str">
        <v>【火山】待开发</v>
      </c>
      <c r="D39" s="66">
        <v>4</v>
      </c>
      <c r="E39" s="66">
        <v>4</v>
      </c>
      <c r="F39" s="48">
        <f>G39/E39</f>
      </c>
      <c r="G39" s="49">
        <v>4</v>
      </c>
      <c r="H39" s="50">
        <f>E39-G39</f>
      </c>
      <c r="I39" s="19">
        <v>4</v>
      </c>
      <c r="J39" s="48">
        <f>I39/E39</f>
      </c>
      <c r="K39" s="67" t="inlineStr">
        <is>
          <r>
            <rPr>
              <strike/>
              <sz val="10"/>
              <rFont val="Arial"/>
            </rPr>
            <t xml:space="preserve">setPermissionStatus（string,string,int）和setPermissionStatus（string,string,int,int,int）区别是？对应参数值传啥？
</t>
          </r>
          <r>
            <rPr>
              <sz val="10"/>
              <rFont val="Arial"/>
            </rPr>
            <t xml:space="preserve">4.10字节：缺fc4.27进行中
</t>
          </r>
          <r>
            <rPr>
              <sz val="10"/>
              <color rgb="FFF54A45"/>
              <rFont val="Arial"/>
            </rPr>
            <t xml:space="preserve">05.26：   4个api（向指定应用授予指定权限、向指定应用取消授权、指定权限指定权限授权、指定应用授权） 缺少FC下发 跟踪算法进度 </t>
          </r>
          <r>
            <rPr>
              <sz val="10"/>
              <color rgb="FFF54A45"/>
              <rFont val="Arial"/>
            </rPr>
            <t>@廖婉婷</t>
          </r>
          <r>
            <rPr>
              <sz val="10"/>
              <color rgb="FFF54A45"/>
              <rFont val="Arial"/>
            </rPr>
            <t>；</t>
          </r>
          <r>
            <rPr>
              <strike/>
              <sz val="10"/>
              <color rgb="FF1F2329"/>
              <rFont val="Arial"/>
            </rPr>
            <t>@刘敬思</t>
          </r>
          <r>
            <rPr>
              <strike/>
              <sz val="10"/>
              <color rgb="FF1F2329"/>
              <rFont val="Arial"/>
            </rPr>
            <t>需要应用列表（对应包名）找下</t>
          </r>
          <r>
            <rPr>
              <strike/>
              <sz val="10"/>
              <color rgb="FF1F2329"/>
              <rFont val="Arial"/>
            </rPr>
            <t>@左晨</t>
          </r>
          <r>
            <rPr>
              <strike/>
              <sz val="10"/>
              <color rgb="FF1F2329"/>
              <rFont val="Arial"/>
            </rPr>
            <t xml:space="preserve">，已拿到包名
</t>
          </r>
          <r>
            <rPr>
              <sz val="10"/>
              <color rgb="FFF54A45"/>
              <rFont val="Arial"/>
            </rPr>
            <t xml:space="preserve">0616:麦克风声音权限无fc参数下发，地图权限254实车不支持/0617 fc表已有，下发问题找算法/0629 敬思提jira bug给上汽 
0707 待高宇新确认实际进展/0708转给明珠继续
0730 明珠说已经处理了，等✅</t>
          </r>
        </is>
      </c>
      <c r="L39" s="112" t="inlineStr">
        <is>
          <r>
            <t>@赵明珠</t>
          </r>
        </is>
      </c>
      <c r="M39" s="113" t="str">
        <v>http://jira.z-onesoftware.com:8080/browse/DNA-2649</v>
      </c>
      <c r="O39" s="48">
        <f>P39/E39</f>
      </c>
      <c r="P39" s="28">
        <v>4</v>
      </c>
      <c r="Q39" s="16">
        <f>E39-P39</f>
      </c>
      <c r="T39" s="71">
        <v>4</v>
      </c>
      <c r="U39" s="48">
        <f>T39/E39</f>
      </c>
      <c r="V39" s="11">
        <f>E39-T39</f>
      </c>
      <c r="W39" s="11" t="str">
        <v>P2</v>
      </c>
      <c r="X39" s="89" t="str">
        <v>✅</v>
      </c>
      <c r="Y39" s="53" t="str">
        <v>5月15号</v>
      </c>
      <c r="Z39" s="16" t="inlineStr">
        <is>
          <r>
            <t>@赵明珠</t>
          </r>
        </is>
      </c>
      <c r="AA39" s="11" t="inlineStr">
        <is>
          <r>
            <t>@余明明</t>
          </r>
        </is>
      </c>
      <c r="AB39" s="54">
        <f>AG39/AH39</f>
      </c>
      <c r="AC39" s="55">
        <f>AG39</f>
      </c>
      <c r="AD39" s="55">
        <f>E39-AC39</f>
      </c>
      <c r="AE39" s="54">
        <f>AF39/AG39</f>
      </c>
      <c r="AF39" s="16">
        <f>COUNTIFS('系统设置'!Q57:Q60,"✅")</f>
      </c>
      <c r="AG39" s="16">
        <f>COUNTIFS('系统设置'!Q57:Q60,"✅")+COUNTIFS('系统设置'!Q57:Q60,"❌")+COUNTIFS('系统设置'!Q57:Q60,"Block")</f>
      </c>
      <c r="AH39" s="19">
        <v>4</v>
      </c>
      <c r="AI39" s="57">
        <f>AF39</f>
      </c>
      <c r="AJ39" s="58">
        <f>AH39-AF39</f>
      </c>
      <c r="AK39" s="58">
        <f>AG39-AF39</f>
      </c>
      <c r="AL39" s="36" t="str">
        <v>字节-刘晓帝</v>
      </c>
      <c r="AP39" s="11" t="str">
        <v>系统设置</v>
      </c>
      <c r="AQ39" s="2">
        <f>AH39-E39</f>
      </c>
    </row>
    <row r="40" spans="1:43">
      <c r="A40" s="60"/>
      <c r="B40" s="11" t="str">
        <v>系统重置</v>
      </c>
      <c r="C40" s="12" t="str">
        <v>已完成</v>
      </c>
      <c r="D40" s="47">
        <v>1</v>
      </c>
      <c r="E40" s="47">
        <v>1</v>
      </c>
      <c r="F40" s="48">
        <f>G40/E40</f>
      </c>
      <c r="G40" s="49">
        <v>1</v>
      </c>
      <c r="H40" s="50">
        <f>E40-G40</f>
      </c>
      <c r="I40" s="1">
        <v>0</v>
      </c>
      <c r="J40" s="48">
        <f>I40/E40</f>
      </c>
      <c r="K40" s="51" t="inlineStr">
        <is>
          <r>
            <t xml:space="preserve">恢复系统设置，整体的流程，有提前几个逻辑的判断，以及最终的控制也是打开页面让用户手动控制，整体风险还OK。 不需要删除。
</t>
          </r>
          <r>
            <t xml:space="preserve">04.15：实车不支持系统重置
</t>
          </r>
          <r>
            <t xml:space="preserve">04.16：前置要求账号登录（当前账号登录失败）
</t>
          </r>
          <r>
            <t xml:space="preserve">04.17  给了新方案，对接中
</t>
          </r>
          <r>
            <t xml:space="preserve">04.18 自测中，待上汽给出满足前置条件的测试方案
</t>
          </r>
          <r>
            <t xml:space="preserve">04. 20
</t>
          </r>
          <r>
            <t xml:space="preserve">1、上汽：前置条件的测试方案需要找产品，目前在联系左晨。
</t>
          </r>
          <r>
            <t xml:space="preserve">2、左晨：抓 log给上汽排查。
</t>
          </r>
          <r>
            <t xml:space="preserve">
</t>
          </r>
          <r>
            <t xml:space="preserve">04.21：
</t>
          </r>
          <r>
            <t xml:space="preserve">待上汽产品提供前置条件描述。 -- 微信群已反馈给左晨 
</t>
          </r>
          <r>
            <t xml:space="preserve">05.05 05.15 上汽产品未提供前置条件描述
</t>
          </r>
          <r>
            <t xml:space="preserve">0521 FC 无下发，已反馈
</t>
          </r>
          <r>
            <t>0527:</t>
          </r>
          <r>
            <t>@赵晓健</t>
          </r>
          <r>
            <t>@刘晓帝</t>
          </r>
          <r>
            <t xml:space="preserve">输出测试排期 上汽前置条件无法通过 无法给排期
</t>
          </r>
          <r>
            <t xml:space="preserve">0529上汽前置条件无法通过，已提票排查
</t>
          </r>
          <r>
            <t xml:space="preserve">0608 泽陆反馈上汽给的接口逻辑与实际不符，在与上汽确认（微信群），如果是逻辑正确，就让开发调查bug，如果逻辑对不起就让产品对齐逻辑
</t>
          </r>
          <r>
            <t xml:space="preserve">0610:待客户反馈
</t>
          </r>
          <r>
            <t xml:space="preserve">0611 找到上汽对接人雷畅，泽陆直接与雷畅对接此问题
</t>
          </r>
          <r>
            <t xml:space="preserve">0611  FC 失效 已提交云端排查 recvkIZQCdFqpL 左晨/0617 fc表已有，下发问题找算法
</t>
          </r>
          <r>
            <t xml:space="preserve">0618 FC未下发，已提云端修复/ 0622 仍未修复 /0701 内部bug
</t>
          </r>
          <r>
            <t>0707 泽陆反馈fc行了，但功能还不行，让他尽快提jira bug</t>
          </r>
        </is>
      </c>
      <c r="O40" s="48">
        <f>P40/E40</f>
      </c>
      <c r="P40" s="28">
        <v>1</v>
      </c>
      <c r="Q40" s="16">
        <f>E40-P40</f>
      </c>
      <c r="T40" s="105">
        <v>1</v>
      </c>
      <c r="U40" s="48">
        <f>T40/E40</f>
      </c>
      <c r="V40" s="19">
        <v>1</v>
      </c>
      <c r="W40" s="11" t="str">
        <v>P2</v>
      </c>
      <c r="Y40" s="53" t="str">
        <v>上汽前置条件无法通过，已提票排查</v>
      </c>
      <c r="Z40" s="11" t="inlineStr">
        <is>
          <r>
            <t>@尹泽陆</t>
          </r>
        </is>
      </c>
      <c r="AA40" s="11" t="inlineStr">
        <is>
          <r>
            <t>@樊晓天</t>
          </r>
        </is>
      </c>
      <c r="AB40" s="54">
        <f>AG40/AH40</f>
      </c>
      <c r="AC40" s="55">
        <f>AG40</f>
      </c>
      <c r="AD40" s="55">
        <f>E40-AC40</f>
      </c>
      <c r="AE40" s="54">
        <f>AF40/AG40</f>
      </c>
      <c r="AF40" s="16">
        <f>COUNTIFS('系统设置'!Q61,"✅")</f>
      </c>
      <c r="AG40" s="16">
        <f>COUNTIFS('系统设置'!Q61,"✅")+COUNTIFS('系统设置'!Q61,"❌")+COUNTIFS('系统设置'!Q61,"Block")</f>
      </c>
      <c r="AH40" s="19">
        <v>1</v>
      </c>
      <c r="AI40" s="57">
        <f>AF40</f>
      </c>
      <c r="AJ40" s="58">
        <f>AH40-AF40</f>
      </c>
      <c r="AK40" s="58">
        <f>AG40-AF40</f>
      </c>
      <c r="AL40" s="36" t="str">
        <v>字节-郑永超</v>
      </c>
      <c r="AP40" s="11" t="str">
        <v>系统设置</v>
      </c>
      <c r="AQ40" s="2">
        <f>AH40-E40</f>
      </c>
    </row>
    <row r="41" spans="1:43">
      <c r="A41" s="110"/>
      <c r="B41" s="27" t="str">
        <v>安全控制</v>
      </c>
      <c r="C41" s="12" t="str">
        <v>已完成</v>
      </c>
      <c r="D41" s="47">
        <v>5</v>
      </c>
      <c r="E41" s="47">
        <v>4</v>
      </c>
      <c r="F41" s="48">
        <f>G41/E41</f>
      </c>
      <c r="G41" s="117">
        <v>4</v>
      </c>
      <c r="H41" s="50">
        <f>E41-G41</f>
      </c>
      <c r="I41" s="19">
        <v>4</v>
      </c>
      <c r="J41" s="48">
        <f>I41/E41</f>
      </c>
      <c r="K41" s="51" t="inlineStr">
        <is>
          <r>
            <t xml:space="preserve">4.2： 1下电功能正常，但开关无线充电面板ui无响应，2允许行车播放视频开关ui无响应，fc下发相反
</t>
          </r>
          <r>
            <t>@刘敬思</t>
          </r>
          <r>
            <t xml:space="preserve">提供log及视频给guixiang分析4.3UI无反应待上汽排查问题,我这边按guixiang给的adb可以抓取到参数
4.10 上述问题依然存在4.13打开播放行车视频253车硬件有问题4.14：打开播放行车视频253车硬件有问题
4.16：无线充电开关UI无响应，行车播放视频bug待上汽修复
4.21：待上汽分析bug---已反馈待</t>
          </r>
          <r>
            <t>@刘敬思</t>
          </r>
          <r>
            <t xml:space="preserve">排查自测4.22行车播放视频bug待上汽排查
4.25上汽：安全控制UI无响应
4.27 补了关闭电源逻辑默认返回不支持;上汽确认不支持了，实际的api总数应为4个
4.27打开行车播放视频UI无响应待上汽修复
5.06 打开行车播放视频日志流程正确，豆包显示功能受限
车内电源 - 打开、关闭 涉及到驾驶安全，待产品澄清
5.09 语音关闭车内电源已修改成需要用户手动确认，已自测
与桂祥确认过，不能语音上电。
05.19：由</t>
          </r>
          <r>
            <t>@梁宇</t>
          </r>
          <r>
            <t>开发实现，</t>
          </r>
          <r>
            <t>@余明明</t>
          </r>
          <r>
            <t xml:space="preserve">关注更新状态。
0602.已自测，如果打开行车播放视频开关失败，请告诉豆包你现在是P档驻车/确认负责的测试人员是否建bug推进
0608 行车播放视频开关需要二次确认
0609 桂祥确认【行车播放视频开关】无【配置】和【禁用】需求。0618已反馈给左晨，待产品确认。
0610:找上汽产品确认是否有对应的功能；
0613:已自测ok
</t>
          </r>
          <r>
            <t xml:space="preserve">0707 明明在找上汽的人确认关电以后，豆包应该是不可用的，那开电的功能就没必要做了
0708 发现电源打开接口怀君标了【NA（车控接口）】，在与他确认是否看NA无此功能/怀君确认NA就是没这功能，这个接口不用做</t>
          </r>
        </is>
      </c>
      <c r="O41" s="48">
        <f>P41/E41</f>
      </c>
      <c r="P41" s="28">
        <v>4</v>
      </c>
      <c r="Q41" s="16">
        <f>E41-P41</f>
      </c>
      <c r="R41" s="81" t="str">
        <v>04.16：
行车播放视频开关UI无响应</v>
      </c>
      <c r="S41" s="88">
        <v>46172</v>
      </c>
      <c r="T41" s="71">
        <v>4</v>
      </c>
      <c r="U41" s="48">
        <f>T41/E41</f>
      </c>
      <c r="V41" s="11">
        <f>E41-T41</f>
      </c>
      <c r="W41" s="11" t="str">
        <v> P0</v>
      </c>
      <c r="X41" s="53" t="str">
        <v>✅</v>
      </c>
      <c r="Y41" s="73" t="str">
        <v>待上汽排期修复
4.30 打开行车播放视频日志流程正确，豆包话术显示功能受限</v>
      </c>
      <c r="Z41" s="11" t="inlineStr">
        <is>
          <r>
            <t>@余明明</t>
          </r>
        </is>
      </c>
      <c r="AA41" s="11" t="inlineStr">
        <is>
          <r>
            <t>@高宇新</t>
          </r>
        </is>
      </c>
      <c r="AB41" s="54">
        <f>AG41/AH41</f>
      </c>
      <c r="AC41" s="55">
        <f>AG41</f>
      </c>
      <c r="AD41" s="55">
        <f>E41-AC41</f>
      </c>
      <c r="AE41" s="54">
        <f>AF41/AG41</f>
      </c>
      <c r="AF41" s="16">
        <f>COUNTIFS('系统设置'!Q63:Q66,"✅")</f>
      </c>
      <c r="AG41" s="16">
        <f>COUNTIFS('系统设置'!Q63:Q66,"✅")+COUNTIFS('系统设置'!Q63:Q66,"❌")+COUNTIFS('系统设置'!Q63:Q66,"Block")</f>
      </c>
      <c r="AH41" s="19">
        <v>4</v>
      </c>
      <c r="AI41" s="57">
        <f>AF41</f>
      </c>
      <c r="AJ41" s="58">
        <f>AH41-AF41</f>
      </c>
      <c r="AK41" s="58">
        <f>AG41-AF41</f>
      </c>
      <c r="AL41" s="86" t="str">
        <v>字节-刘晓帝
FAIL</v>
      </c>
      <c r="AM41" s="59" t="str">
        <v>https://bytedance.larkoffice.com/record/QGV6rg2rmemOEJcTZKacf3mknmg
</v>
      </c>
      <c r="AP41" s="11" t="str">
        <v>系统设置</v>
      </c>
      <c r="AQ41" s="2">
        <f>AH41-E41</f>
      </c>
    </row>
    <row r="42" spans="1:44">
      <c r="A42" s="46" t="str">
        <v>通讯</v>
      </c>
      <c r="B42" s="14" t="str">
        <v>蓝牙电话</v>
      </c>
      <c r="C42" s="12" t="str">
        <v>已完成</v>
      </c>
      <c r="D42" s="47">
        <v>24</v>
      </c>
      <c r="E42" s="47">
        <v>24</v>
      </c>
      <c r="F42" s="48">
        <f>G42/E42</f>
      </c>
      <c r="G42" s="49">
        <v>24</v>
      </c>
      <c r="H42" s="50">
        <f>E42-G42</f>
      </c>
      <c r="I42" s="19">
        <v>24</v>
      </c>
      <c r="J42" s="48">
        <f>I42/E42</f>
      </c>
      <c r="K42" s="11" t="inlineStr">
        <is>
          <r>
            <rPr>
              <strike/>
              <sz val="10"/>
              <color rgb="FF1F2329"/>
              <rFont val="Arial"/>
            </rPr>
            <t xml:space="preserve">4.2进行中4.3进行中
4.22:
云端不下发：语音取消拨打电话、语音拒接电话、同步通讯录 / 通话记录、查看通讯录 / 通话记录、查找联系人电话/第二个FC问题待修复  -- 字节。
5.19:
连接蓝牙未同步通讯录，调用拨打即接口成功但实际未拨打，以提供日志给上汽。
0608 忠谕反馈偶发fc问题，忠谕再验一下看看频率，再看后续如何推进
</t>
          </r>
          <r>
            <rPr>
              <sz val="10"/>
              <color rgb="FFF54A45"/>
              <rFont val="Arial"/>
            </rPr>
            <t>0615、0622 开发已全提测且名下无bug，与测试郑永超确认bug</t>
          </r>
        </is>
      </c>
      <c r="O42" s="48">
        <f>P42/E42</f>
      </c>
      <c r="P42" s="28">
        <v>24</v>
      </c>
      <c r="Q42" s="16">
        <f>E42-P42</f>
      </c>
      <c r="T42" s="71">
        <v>24</v>
      </c>
      <c r="U42" s="48">
        <f>T42/E42</f>
      </c>
      <c r="V42" s="11">
        <f>E42-T42</f>
      </c>
      <c r="W42" s="11" t="str">
        <v>P1</v>
      </c>
      <c r="X42" s="53" t="str">
        <v>✅</v>
      </c>
      <c r="Y42" s="53" t="str">
        <v>05.05</v>
      </c>
      <c r="Z42" s="11" t="inlineStr">
        <is>
          <r>
            <t>@杨忠谕</t>
          </r>
        </is>
      </c>
      <c r="AA42" s="11" t="inlineStr">
        <is>
          <r>
            <t>@谢一鸣</t>
          </r>
        </is>
      </c>
      <c r="AB42" s="54">
        <f>AG42/AH42</f>
      </c>
      <c r="AC42" s="55">
        <f>AG42</f>
      </c>
      <c r="AD42" s="55">
        <f>E42-AC42</f>
      </c>
      <c r="AE42" s="54">
        <f>AF42/AG42</f>
      </c>
      <c r="AF42" s="16">
        <f>COUNTIFS('通讯'!P2:P25,"✅")</f>
      </c>
      <c r="AG42" s="16">
        <f>COUNTIFS('通讯'!P2:P25,"✅")+COUNTIFS('通讯'!P2:P25,"❌")+COUNTIFS('通讯'!P2:P25,"Block")</f>
      </c>
      <c r="AH42" s="19">
        <v>23</v>
      </c>
      <c r="AI42" s="57">
        <f>AF42</f>
      </c>
      <c r="AJ42" s="58">
        <f>AH42-AF42</f>
      </c>
      <c r="AK42" s="58">
        <f>AG42-AF42</f>
      </c>
      <c r="AL42" s="36" t="str">
        <v>字节-刘晓帝
FAIL</v>
      </c>
      <c r="AM42" s="59" t="str">
        <v>https://bytedance.larkoffice.com/record/TFBvrlifDeSMvicwjnkcdh02npf
https://bytedance.larkoffice.com/record/KIfDrBW5cevEG9cbtajcYy6Vnqh
https://bytedance.larkoffice.com/record/MHDArBFRBe5AAxcDo1rc6kfjnhf
https://bytedance.larkoffice.com/record/CJXhrOJYReOeVFcABBFc3mMXnPA
https://bytedance.larkoffice.com/record/TGW7rrcyMeAurucbLa9cQYd4nDe
https://bytedance.larkoffice.com/record/RmoVrj8naeIafWcaBJ0cGkTrn1N
https://bytedance.larkoffice.com/record/Vi4zr7QbtenoshcVpyic2gbxnKe
https://bytedance.larkoffice.com/record/Ivn6rF5JseDkBqcQgAfc0PVBnsg
https://bytedance.larkoffice.com/record/ZWJErmgqkeTjsLcFkaRcRyVInMd
https://bytedance.larkoffice.com/record/PG7frvlJoekJFCcUwQdccihSnsb
https://bytedance.larkoffice.com/record/NlZyrvRCreozNDcrnkNcIXa6nRd</v>
      </c>
      <c r="AP42" s="11" t="str">
        <v>通讯</v>
      </c>
      <c r="AQ42" s="2">
        <f>AH42-E42</f>
      </c>
      <c r="AR42" s="65" t="inlineStr">
        <is>
          <r>
            <t>@郑永超</t>
          </r>
          <r>
            <t xml:space="preserve"> 进度表总case31，但有34个api，请确认并更新-</t>
          </r>
        </is>
      </c>
    </row>
    <row r="43" spans="1:43">
      <c r="A43" s="110"/>
      <c r="B43" s="14" t="str">
        <v>车主直呼（视频通话）</v>
      </c>
      <c r="C43" s="12" t="str">
        <v>已完成</v>
      </c>
      <c r="D43" s="47">
        <v>2</v>
      </c>
      <c r="E43" s="47">
        <v>2</v>
      </c>
      <c r="F43" s="48">
        <f>G43/E43</f>
      </c>
      <c r="G43" s="49">
        <v>2</v>
      </c>
      <c r="H43" s="50">
        <f>E43-G43</f>
      </c>
      <c r="I43" s="19">
        <v>2</v>
      </c>
      <c r="J43" s="48">
        <f>I43/E43</f>
      </c>
      <c r="K43" s="12" t="inlineStr">
        <is>
          <r>
            <rPr>
              <strike/>
              <sz val="10"/>
              <color rgb="FF1F2329"/>
              <rFont val="Arial"/>
            </rPr>
            <t xml:space="preserve">0519：车主直呼（视频通话）延期了，而且还有需求追加，延期到5.0.5(6/21号)交付，接口排期6/16给字节
0622 怀君已提供给接口文档，已上传至模块表格那，</t>
          </r>
          <r>
            <rPr>
              <strike/>
              <sz val="10"/>
              <color rgb="FF1F2329"/>
              <rFont val="Arial"/>
            </rPr>
            <t>@杨忠谕</t>
          </r>
          <r>
            <rPr>
              <strike/>
              <sz val="10"/>
              <color rgb="FF1F2329"/>
              <rFont val="Arial"/>
            </rPr>
            <t xml:space="preserve">可以验证接口了
0622 提供接口文档仍缺少部分接口在微信群中反馈暂未回复，先验证已提供接口
</t>
          </r>
          <r>
            <rPr>
              <sz val="10"/>
              <color rgb="FFF54A45"/>
              <rFont val="Arial"/>
            </rPr>
            <t xml:space="preserve">0624 0429新需求做了变更，直接实现0429版本
0707 0429对应api，研发已提测，待测试验证</t>
          </r>
        </is>
      </c>
      <c r="N43" s="122" t="str">
        <v>0519：车主直呼（视频通话）延期了，而且还有需求追加，延期到5.0.5(6/21号)交付，接口排期6/16给字节</v>
      </c>
      <c r="P43" s="28">
        <v>2</v>
      </c>
      <c r="T43" s="71">
        <v>2</v>
      </c>
      <c r="U43" s="48">
        <f>T43/E43</f>
      </c>
      <c r="V43" s="11">
        <f>E43-T43</f>
      </c>
      <c r="W43" s="11" t="str">
        <v>P1</v>
      </c>
      <c r="Y43" s="53" t="str">
        <v>05.22</v>
      </c>
      <c r="Z43" s="11" t="inlineStr">
        <is>
          <r>
            <t>@杨忠谕</t>
          </r>
        </is>
      </c>
      <c r="AA43" s="11" t="inlineStr">
        <is>
          <r>
            <t>@谢一鸣</t>
          </r>
        </is>
      </c>
      <c r="AB43" s="54">
        <f>AG43/AH43</f>
      </c>
      <c r="AE43" s="54">
        <f>AF43/AG43</f>
      </c>
      <c r="AF43" s="16">
        <f>COUNTIFS('通讯'!P26:P27,"✅")</f>
      </c>
      <c r="AG43" s="16">
        <f>COUNTIFS('通讯'!P26:P27,"✅")+COUNTIFS('通讯'!P26:P27,"❌")+COUNTIFS('通讯'!P26:P27,"Block")</f>
      </c>
      <c r="AH43" s="19">
        <v>2</v>
      </c>
      <c r="AI43" s="57">
        <f>AF43</f>
      </c>
      <c r="AJ43" s="58">
        <f>AH43-AF43</f>
      </c>
      <c r="AK43" s="58">
        <f>AG43-AF43</f>
      </c>
      <c r="AP43" s="11" t="str">
        <v>通讯</v>
      </c>
      <c r="AQ43" s="2">
        <f>AH43-E43</f>
      </c>
    </row>
    <row r="44" spans="1:44">
      <c r="A44" s="46" t="str">
        <v>智能驾驶</v>
      </c>
      <c r="B44" s="14" t="str">
        <v>自动泊车</v>
      </c>
      <c r="C44" s="69" t="str">
        <v>【上汽】SDK文档接口实车卡点</v>
      </c>
      <c r="D44" s="47">
        <v>8</v>
      </c>
      <c r="E44" s="47">
        <v>3</v>
      </c>
      <c r="F44" s="48">
        <f>G44/E44</f>
      </c>
      <c r="G44" s="117">
        <v>3</v>
      </c>
      <c r="H44" s="50">
        <f>E44-G44</f>
      </c>
      <c r="I44" s="19">
        <v>1</v>
      </c>
      <c r="J44" s="48">
        <f>I44/E44</f>
      </c>
      <c r="K44" s="111" t="inlineStr">
        <is>
          <r>
            <rPr>
              <strike/>
              <sz val="10"/>
              <color rgb="FF373C43"/>
              <rFont val="Arial"/>
            </rPr>
            <t xml:space="preserve">03.31:未给到SDK
04.02：360的SDK包待提供</t>
          </r>
          <r>
            <rPr>
              <strike/>
              <sz val="10"/>
              <color rgb="FF373C43"/>
              <rFont val="Arial"/>
            </rPr>
            <t>@周怀君</t>
          </r>
          <r>
            <rPr>
              <sz val="10"/>
              <color rgb="FF373C43"/>
              <rFont val="Arial"/>
            </rPr>
            <t xml:space="preserve">                                            </t>
          </r>
          <r>
            <rPr>
              <sz val="10"/>
              <color rgb="FFF54A45"/>
              <rFont val="Arial"/>
            </rPr>
            <t xml:space="preserve">04.03、4.10：
1、记忆泊车缺接口（上汽反馈没有收到该需求）              
2、泊入和泊出功能缺少5个接口
04.21:实车PDC雷达静音开关不可用 =》上汽反馈明天弄好 =》 
04.22：实车测试PDC雷达静音开关还是不可用 =》上汽反馈未合入 =》 
04.23：实车还是不支持测试 =》 上汽反馈合并到下一个版本中 =&gt;
04.27：PDC雷达静音开关不可用 =&gt; 
04.28： 已抓取全量日志给上汽分析 =》上汽反馈需要给他们提票 =&gt; 
04.30:上汽工程师正在解决这个问题(api 接口改到8月底提供)
0528 </t>
          </r>
          <r>
            <rPr>
              <strike/>
              <sz val="10"/>
              <color rgb="FFF54A45"/>
              <rFont val="Arial"/>
            </rPr>
            <t>5个api等sop+3，</t>
          </r>
          <r>
            <rPr>
              <sz val="10"/>
              <color rgb="FFF54A45"/>
              <rFont val="Arial"/>
            </rPr>
            <t xml:space="preserve">2个 api上汽反馈0830才能好
</t>
          </r>
          <r>
            <rPr>
              <strike/>
              <sz val="10"/>
              <color rgb="FF373C43"/>
              <rFont val="Arial"/>
            </rPr>
            <t xml:space="preserve">0701 怀君NA掉了sop+3的几个
</t>
          </r>
          <r>
            <rPr>
              <sz val="10"/>
              <color rgb="FFF54A45"/>
              <rFont val="Arial"/>
            </rPr>
            <t xml:space="preserve">0422 2个api（控制 PDC 雷达静音开关 - 打开/关闭）上汽0830才能提供，待一鸣提jira bug
0709 与怀君确认是毛富龙负责，已将票指给毛富龙</t>
          </r>
        </is>
      </c>
      <c r="L44" s="107" t="inlineStr">
        <is>
          <r>
            <t>@谢一鸣</t>
          </r>
        </is>
      </c>
      <c r="M44" s="123" t="str">
        <v>上汽0830才能完成此功能http://jira.z-onesoftware.com:8080/browse/DNA-2898</v>
      </c>
      <c r="N44" s="124" t="inlineStr">
        <is>
          <r>
            <rPr>
              <strike/>
              <sz val="10"/>
              <rFont val="Arial"/>
            </rPr>
            <t xml:space="preserve">03.24：
</t>
          </r>
          <r>
            <rPr>
              <strike/>
              <sz val="10"/>
              <rFont val="Arial"/>
            </rPr>
            <t>@周怀君</t>
          </r>
          <r>
            <rPr>
              <strike/>
              <sz val="10"/>
              <rFont val="Arial"/>
            </rPr>
            <t xml:space="preserve">先确认下语音控制智能驾驶相关的API状态。
03.26、03.27: 
待释放SRS @张葵
</t>
          </r>
          <r>
            <rPr>
              <sz val="10"/>
              <color rgb="FFF54A45"/>
              <rFont val="Arial"/>
            </rPr>
            <t xml:space="preserve">泊车相关排期SOP+ @邱巧华
</t>
          </r>
          <r>
            <rPr>
              <strike/>
              <sz val="10"/>
              <rFont val="Arial"/>
            </rPr>
            <t xml:space="preserve">自动泊车产品变更，仅保留已有接口功能，待更新PRD - </t>
          </r>
          <r>
            <rPr>
              <strike/>
              <sz val="10"/>
              <rFont val="Arial"/>
            </rPr>
            <t>@陈振英</t>
          </r>
        </is>
      </c>
      <c r="O44" s="48">
        <f>P44/E44</f>
      </c>
      <c r="P44" s="28">
        <v>1</v>
      </c>
      <c r="Q44" s="16">
        <f>E44-P44</f>
      </c>
      <c r="T44" s="19">
        <v>1</v>
      </c>
      <c r="U44" s="48">
        <f>T44/E44</f>
      </c>
      <c r="V44" s="11">
        <f>E44-T44</f>
      </c>
      <c r="W44" s="11" t="str">
        <v> P0</v>
      </c>
      <c r="X44" s="53" t="str">
        <v>✅</v>
      </c>
      <c r="Y44" s="73" t="str">
        <v>09.11</v>
      </c>
      <c r="Z44" s="11" t="inlineStr">
        <is>
          <r>
            <t>@谢一鸣</t>
          </r>
        </is>
      </c>
      <c r="AA44" s="11" t="inlineStr">
        <is>
          <r>
            <t>@尹泽陆</t>
          </r>
        </is>
      </c>
      <c r="AB44" s="54">
        <f>AG44/AH44</f>
      </c>
      <c r="AC44" s="125">
        <v>1</v>
      </c>
      <c r="AD44" s="55">
        <f>E44-AC44</f>
      </c>
      <c r="AE44" s="54">
        <f>AF44/AG44</f>
      </c>
      <c r="AF44" s="16">
        <f>COUNTIFS('智能驾驶✅'!P2:P9,"✅")</f>
      </c>
      <c r="AG44" s="16">
        <f>COUNTIFS('智能驾驶✅'!P2:P9,"✅")+COUNTIFS('智能驾驶✅'!P2:P9,"❌")+COUNTIFS('智能驾驶✅'!P2:P9,"Block")</f>
      </c>
      <c r="AH44" s="19">
        <v>8</v>
      </c>
      <c r="AI44" s="57">
        <f>AF44</f>
      </c>
      <c r="AJ44" s="58">
        <f>AH44-AF44</f>
      </c>
      <c r="AK44" s="58">
        <f>AG44-AF44</f>
      </c>
      <c r="AL44" s="86" t="str">
        <v>字节-刘晓帝
FAIL</v>
      </c>
      <c r="AP44" s="11" t="str">
        <v>智能驾驶</v>
      </c>
      <c r="AQ44" s="2">
        <f>AH44-E44</f>
      </c>
      <c r="AR44" s="2" t="inlineStr">
        <is>
          <r>
            <rPr>
              <sz val="10"/>
              <rFont val="Arial"/>
            </rPr>
            <t>@方令平</t>
          </r>
          <r>
            <rPr>
              <sz val="10"/>
              <rFont val="Arial"/>
            </rPr>
            <t xml:space="preserve"> 排期SOP是否算当前车系使用？-
</t>
          </r>
          <r>
            <rPr>
              <strike/>
              <sz val="10"/>
              <rFont val="Arial"/>
            </rPr>
            <t>@谢一鸣</t>
          </r>
          <r>
            <rPr>
              <strike/>
              <sz val="10"/>
              <rFont val="Arial"/>
            </rPr>
            <t xml:space="preserve"> 模块表研发进展3✅，进度表已接1，请确认并更新-完成更新
</t>
          </r>
          <r>
            <rPr>
              <strike/>
              <sz val="10"/>
              <rFont val="Arial"/>
            </rPr>
            <t>@刘晓帝</t>
          </r>
          <r>
            <rPr>
              <strike/>
              <sz val="10"/>
              <rFont val="Arial"/>
            </rPr>
            <t xml:space="preserve"> 5个api是sop，另外3个研发已接，为何进度表总case数为空？-研发哪里接了3个？ 已完成</t>
          </r>
        </is>
      </c>
    </row>
    <row r="45" spans="1:43">
      <c r="A45" s="110"/>
      <c r="B45" s="14" t="str">
        <v>智驾行车</v>
      </c>
      <c r="C45" s="69" t="str">
        <v>【上汽】SDK文档接口实车卡点</v>
      </c>
      <c r="D45" s="47">
        <v>4</v>
      </c>
      <c r="E45" s="47">
        <v>4</v>
      </c>
      <c r="F45" s="48">
        <f>G45/E45</f>
      </c>
      <c r="G45" s="117">
        <v>4</v>
      </c>
      <c r="H45" s="1">
        <v>0</v>
      </c>
      <c r="I45" s="19">
        <v>4</v>
      </c>
      <c r="J45" s="48">
        <f>I45/E45</f>
      </c>
      <c r="K45" s="115" t="inlineStr">
        <is>
          <r>
            <t xml:space="preserve">03.31:智驾行程待上汽内部评估反馈API支持计划。
</t>
          </r>
          <r>
            <t xml:space="preserve">05.26：语音控制变道API待验证
</t>
          </r>
          <r>
            <t xml:space="preserve">05.27：验证api调用返回3000005
</t>
          </r>
          <r>
            <t>0528 12行api sop+/2个api研发进展备注0530，</t>
          </r>
          <r>
            <t>@张王成</t>
          </r>
          <r>
            <t xml:space="preserve">
</t>
          </r>
          <r>
            <t xml:space="preserve">0602：变道无法验证，需要上汽提供P基线进行验证，跟车时距自测通过，巡航时距和辅助驾驶风格待测试 ；
</t>
          </r>
          <r>
            <t xml:space="preserve">0610：辅助驾驶风格FC问题已经修复，依赖实车测试；
</t>
          </r>
          <r>
            <t xml:space="preserve">巡航速度：调用上汽api成功
</t>
          </r>
          <r>
            <t xml:space="preserve">巡航时距：调用上汽api成功
</t>
          </r>
          <r>
            <t xml:space="preserve">驾驶风格：调用上汽api成功
</t>
          </r>
          <r>
            <t xml:space="preserve">变道：调用上汽api成功，但是没有收到变道的回调，已提bug给上汽，找一下bug/ 0622 上汽还在排查中
</t>
          </r>
          <r>
            <t>/ 0624 上汽bug仍未fixed/0707 上汽修复时间0724（工程版本）{} --在0718与晓颖确认是否已刷版本</t>
          </r>
          <r>
            <t xml:space="preserve">
</t>
          </r>
          <r>
            <t>0720 已问董晓颖，等反馈</t>
          </r>
        </is>
      </c>
      <c r="L45" s="107" t="inlineStr">
        <is>
          <r>
            <t>@董晓颖</t>
          </r>
        </is>
      </c>
      <c r="M45" s="123" t="str">
        <v>http://jira.z-onesoftware.com:8080/browse/DNA-1891 </v>
      </c>
      <c r="N45" s="126" t="str">
        <v>【语音控制变道】是智驾SOP+需求
4个api，研发已接，1个自测通过，3个需要条，在约上汽司机和车</v>
      </c>
      <c r="O45" s="48">
        <f>P45/E45</f>
      </c>
      <c r="P45" s="1">
        <v>0</v>
      </c>
      <c r="Q45" s="16">
        <f>E45-P45</f>
      </c>
      <c r="T45" s="71">
        <v>3</v>
      </c>
      <c r="U45" s="48">
        <f>T45/E45</f>
      </c>
      <c r="V45" s="11">
        <f>E45-T45</f>
      </c>
      <c r="W45" s="11" t="str">
        <v> P0</v>
      </c>
      <c r="X45" s="53" t="str">
        <v>✅</v>
      </c>
      <c r="Y45" s="73" t="str">
        <v>2026/05/30</v>
      </c>
      <c r="Z45" s="11" t="inlineStr">
        <is>
          <r>
            <t>@谢一鸣</t>
          </r>
        </is>
      </c>
      <c r="AA45" s="11" t="inlineStr">
        <is>
          <r>
            <t>@尹泽陆</t>
          </r>
        </is>
      </c>
      <c r="AB45" s="54">
        <f>AG45/AH45</f>
      </c>
      <c r="AC45" s="1">
        <v>0</v>
      </c>
      <c r="AD45" s="55">
        <f>E45-AC45</f>
      </c>
      <c r="AE45" s="54">
        <f>AF45/AG45</f>
      </c>
      <c r="AF45" s="16">
        <f>COUNTIFS('智能驾驶✅'!P10:P13,"✅")</f>
      </c>
      <c r="AG45" s="16">
        <f>COUNTIFS('智能驾驶✅'!P10:P13,"✅")+COUNTIFS('智能驾驶✅'!P10:P13,"❌")+COUNTIFS('智能驾驶✅'!P10:P13,"Block")</f>
      </c>
      <c r="AH45" s="19">
        <v>4</v>
      </c>
      <c r="AI45" s="57">
        <f>AF45</f>
      </c>
      <c r="AJ45" s="58">
        <f>AH45-AF45</f>
      </c>
      <c r="AK45" s="58">
        <f>AG45-AF45</f>
      </c>
      <c r="AL45" s="36" t="str">
        <v>上汽——IPD 邓一名</v>
      </c>
      <c r="AP45" s="11" t="str">
        <v>智能驾驶</v>
      </c>
      <c r="AQ45" s="2">
        <f>AH45-E45</f>
      </c>
    </row>
    <row r="46" spans="1:48">
      <c r="A46" s="127" t="str">
        <v>多媒体</v>
      </c>
      <c r="B46" s="14" t="str">
        <v>通用控制</v>
      </c>
      <c r="C46" s="12" t="str">
        <v>【火山】产品功能待澄清,【火山】待问题修复</v>
      </c>
      <c r="D46" s="66">
        <v>27</v>
      </c>
      <c r="E46" s="66">
        <v>27</v>
      </c>
      <c r="F46" s="48">
        <f>G46/E46</f>
      </c>
      <c r="G46" s="117">
        <v>27</v>
      </c>
      <c r="H46" s="50">
        <f>E46-G46</f>
      </c>
      <c r="I46" s="19">
        <v>27</v>
      </c>
      <c r="J46" s="48">
        <f>I46/E46</f>
      </c>
      <c r="K46" s="81" t="inlineStr">
        <is>
          <r>
            <rPr>
              <strike/>
              <sz val="10"/>
              <color rgb="FF373C43"/>
              <rFont val="Arial"/>
            </rPr>
            <t xml:space="preserve">4.17
</t>
          </r>
          <r>
            <rPr>
              <strike/>
              <sz val="10"/>
              <color rgb="FF1F2329"/>
              <rFont val="Arial"/>
            </rPr>
            <t xml:space="preserve">1.通用控制播放存在播放失败情况  
2.打开/关闭歌单操作调用无反应  已提供log--上汽
3.不打开QQ音乐时  query="我要听音乐"  搜索未自动播放 已提供log--上汽 @罗文彬  需要上汽接力排查。
</t>
          </r>
          <r>
            <rPr>
              <sz val="10"/>
              <color rgb="FF373C43"/>
              <rFont val="Arial"/>
            </rPr>
            <t>4.</t>
          </r>
          <r>
            <rPr>
              <strike/>
              <sz val="10"/>
              <color rgb="FF373C43"/>
              <rFont val="Arial"/>
            </rPr>
            <t xml:space="preserve">歌词对接 音乐抢焦点 导致无法播放
</t>
          </r>
          <r>
            <rPr>
              <strike/>
              <sz val="10"/>
              <color rgb="FF1F2329"/>
              <rFont val="Arial"/>
            </rPr>
            <t xml:space="preserve">5.目前音乐不支持音质调节、倍速、快进快退  目前已兜底提示
6.播放端状态不回调  【上汽回复】4/24提供
7.视频端状态 返回的不全 --上汽 @罗文彬  </t>
          </r>
          <r>
            <rPr>
              <sz val="10"/>
              <color rgb="FF245BDB"/>
              <rFont val="Arial"/>
            </rPr>
            <t xml:space="preserve">05.19 双方产品标Y交集范围
</t>
          </r>
          <r>
            <rPr>
              <strike/>
              <sz val="10"/>
              <color rgb="FF1F2329"/>
              <rFont val="Arial"/>
            </rPr>
            <t xml:space="preserve">@guixiang  提供下多媒体HMI的包 04.28
0527:</t>
          </r>
          <r>
            <rPr>
              <strike/>
              <sz val="10"/>
              <color rgb="FF1F2329"/>
              <rFont val="Arial"/>
            </rPr>
            <t>@赵晓健</t>
          </r>
          <r>
            <rPr>
              <strike/>
              <sz val="10"/>
              <color rgb="FF1F2329"/>
              <rFont val="Arial"/>
            </rPr>
            <t>@刘晓帝</t>
          </r>
          <r>
            <rPr>
              <strike/>
              <sz val="10"/>
              <color rgb="FF1F2329"/>
              <rFont val="Arial"/>
            </rPr>
            <t xml:space="preserve">更新测试排期
0528:
AI手机融合需求没有需求
0529 </t>
          </r>
          <r>
            <rPr>
              <strike/>
              <sz val="10"/>
              <color rgb="FF1F2329"/>
              <rFont val="Arial"/>
            </rPr>
            <t>@田高琳</t>
          </r>
          <r>
            <rPr>
              <strike/>
              <sz val="10"/>
              <color rgb="FF1F2329"/>
              <rFont val="Arial"/>
            </rPr>
            <t xml:space="preserve"> ： 28行api研发备注“反馈无该需求” from 上汽罗工和字节产品吴仁杰？tbc
</t>
          </r>
          <r>
            <rPr>
              <sz val="10"/>
              <color rgb="FFF54A45"/>
              <rFont val="Arial"/>
            </rPr>
            <t xml:space="preserve">0615 开发有1个api产品需要重新出方案-左晨，剩余api都提测且名下无bug，与测试刘晓帝确认bug/ 、0622研发名下无bug
0708 与令平确认，与手车互联一起pending到9月5号</t>
          </r>
        </is>
      </c>
      <c r="L46" s="128" t="inlineStr">
        <is>
          <r>
            <t>@左晨</t>
          </r>
        </is>
      </c>
      <c r="N46" s="129" t="str">
        <v>5. base的乘用车项目没有此功能， 待确认需求后排期 - @罗文彬  4/21</v>
      </c>
      <c r="O46" s="48">
        <f>P46/E46</f>
      </c>
      <c r="P46" s="93">
        <v>27</v>
      </c>
      <c r="Q46" s="94">
        <f>E46-P46</f>
      </c>
      <c r="T46" s="47">
        <v>26</v>
      </c>
      <c r="U46" s="48">
        <f>T46/E46</f>
      </c>
      <c r="V46" s="11">
        <f>E46-T46</f>
      </c>
      <c r="W46" s="11" t="str">
        <v> P0</v>
      </c>
      <c r="X46" s="53" t="str">
        <v>✅</v>
      </c>
      <c r="Y46" s="88">
        <v>46140</v>
      </c>
      <c r="Z46" s="11" t="inlineStr">
        <is>
          <r>
            <t>@田高琳</t>
          </r>
        </is>
      </c>
      <c r="AA46" s="46" t="inlineStr">
        <is>
          <r>
            <t>@徐嘉</t>
          </r>
        </is>
      </c>
      <c r="AB46" s="54">
        <f>AG46/AH46</f>
      </c>
      <c r="AC46" s="125">
        <v>26</v>
      </c>
      <c r="AD46" s="125">
        <v>1</v>
      </c>
      <c r="AE46" s="54">
        <f>AF46/AG46</f>
      </c>
      <c r="AF46" s="16">
        <f>COUNTIFS('多媒体'!S2:S28,"✅")</f>
      </c>
      <c r="AG46" s="16">
        <f>COUNTIFS('多媒体'!S2:S28,"✅")+COUNTIFS('多媒体'!S2:S28,"❌")+COUNTIFS('多媒体'!S2:S28,"Block")</f>
      </c>
      <c r="AH46" s="19">
        <v>27</v>
      </c>
      <c r="AI46" s="57">
        <f>AF46</f>
      </c>
      <c r="AJ46" s="58">
        <f>AH46-AF46</f>
      </c>
      <c r="AK46" s="58">
        <f>AG46-AF46</f>
      </c>
      <c r="AL46" s="86" t="str">
        <v>字节-刘晓帝
FAIL</v>
      </c>
      <c r="AM46" s="59" t="str">
        <v>https://bytedance.larkoffice.com/record/WRFQrcGZqekMejcrbHHcen5Xn8d
https://bytedance.larkoffice.com/record/KyMNrpjxue2o9Pcc0fYck6OInUf
https://bytedance.larkoffice.com/record/CpqorzNDJeQH5zczdgjcXOlPnNg
https://bytedance.larkoffice.com/record/R4uqrvluyeFMSuc9SW5cPYxxnHd
https://bytedance.larkoffice.com/record/XQcxrgrIae14x5ceNtLcdiNGnFh
https://bytedance.larkoffice.com/record/INyDrM4ijeQtnxcOEh8cPGePnoh
https://bytedance.larkoffice.com/record/VcdlrLrnReGVYqccnCPcsFOLnrf
https://bytedance.larkoffice.com/record/K9Hbr2Qo3eefbGc4eqEcugXQnbe
https://bytedance.larkoffice.com/record/FxaErYPEHeAbGecUbh0c1irVnRd
https://bytedance.larkoffice.com/record/MQCDrapjRe4jnacyqxQc2gY3ntg
https://bytedance.larkoffice.com/record/V8S3rMqree35b1c9HdVcphennCc
https://bytedance.larkoffice.com/record/S2kXrUDmyeGyzwc4espc4E7Vnzd
https://bytedance.larkoffice.com/record/Qd3HrWvdQe7Y7MclTQvc52wbnWb
https://bytedance.larkoffice.com/record/RCdJrso1Gex2p3cRpUocCIVCn3R
https://bytedance.larkoffice.com/record/ZFgQrnJLXe8CLdcj6UkcpyGEnUe
https://bytedance.larkoffice.com/record/G2gyrlbksefUNHckUlocVZ0Anoc
https://bytedance.larkoffice.com/record/SGt2rF7OfefsiPc3dMocLBc7nRc
https://bytedance.larkoffice.com/record/AOazrBQX0e3rNJcuIP5cLhTen9f
https://bytedance.larkoffice.com/record/EPhZrHKC3eVNObcEb8pcMBvunnh</v>
      </c>
      <c r="AP46" s="14" t="str">
        <v>多媒体</v>
      </c>
      <c r="AQ46" s="2">
        <f>AH46-E46</f>
      </c>
      <c r="AR46" s="65" t="inlineStr">
        <is>
          <r>
            <t>@田高琳</t>
          </r>
          <r>
            <t xml:space="preserve"> 模块表27api，研发进展26✅1空无备注（什么情况），进度表接25，请确认并更新-</t>
          </r>
          <r>
            <t xml:space="preserve">
</t>
          </r>
          <r>
            <t xml:space="preserve">
</t>
          </r>
        </is>
      </c>
      <c r="AU46" s="2" t="str">
        <v>周二</v>
      </c>
      <c r="AV46" s="4">
        <v>9</v>
      </c>
    </row>
    <row r="47" spans="1:48">
      <c r="A47" s="130"/>
      <c r="B47" s="11" t="str">
        <v>语音控制音乐</v>
      </c>
      <c r="C47" s="12" t="str">
        <v>【火山】待测试,【火山】待问题修复</v>
      </c>
      <c r="D47" s="47">
        <v>18</v>
      </c>
      <c r="E47" s="47">
        <v>18</v>
      </c>
      <c r="F47" s="48">
        <f>G47/E47</f>
      </c>
      <c r="G47" s="117">
        <v>18</v>
      </c>
      <c r="H47" s="50">
        <f>E47-G47</f>
      </c>
      <c r="I47" s="19">
        <v>18</v>
      </c>
      <c r="J47" s="48">
        <f>I47/E47</f>
      </c>
      <c r="K47" s="116" t="inlineStr">
        <is>
          <r>
            <rPr>
              <strike/>
              <sz val="10"/>
              <color rgb="FF373C43"/>
              <rFont val="Arial"/>
            </rPr>
            <t xml:space="preserve">4.17
1.存在参数转换问题song_tag现在是聚合参数，映射为sdk需要的参数---字节</t>
          </r>
          <r>
            <rPr>
              <strike/>
              <sz val="10"/>
              <color rgb="FF373C43"/>
              <rFont val="Arial"/>
            </rPr>
            <t>@田高琳</t>
          </r>
          <r>
            <rPr>
              <strike/>
              <sz val="10"/>
              <color rgb="FF373C43"/>
              <rFont val="Arial"/>
            </rPr>
            <t xml:space="preserve">
</t>
          </r>
          <r>
            <rPr>
              <strike/>
              <sz val="10"/>
              <color rgb="FF1F2329"/>
              <rFont val="Arial"/>
            </rPr>
            <t xml:space="preserve">04.20：今天完成api接口对接
1.打开MV/关闭MV/播放基于条件的指定MV。上汽无接口-上汽@罗文彬  已兜底提示
4.22 
播放列表FC没有返回最近  返回的历史 已兜底提示
</t>
          </r>
          <r>
            <rPr>
              <b/>
              <strike/>
              <sz val="10"/>
              <color rgb="FF1F2329"/>
              <rFont val="Arial"/>
            </rPr>
            <t>0527:</t>
          </r>
          <r>
            <rPr>
              <b/>
              <strike/>
              <sz val="10"/>
              <color rgb="FF1F2329"/>
              <rFont val="Arial"/>
            </rPr>
            <t>@赵晓健</t>
          </r>
          <r>
            <rPr>
              <b/>
              <strike/>
              <sz val="10"/>
              <color rgb="FF1F2329"/>
              <rFont val="Arial"/>
            </rPr>
            <t>@刘晓帝</t>
          </r>
          <r>
            <rPr>
              <b/>
              <strike/>
              <sz val="10"/>
              <color rgb="FF1F2329"/>
              <rFont val="Arial"/>
            </rPr>
            <t xml:space="preserve">更新测试排期
</t>
          </r>
          <r>
            <rPr>
              <sz val="10"/>
              <color rgb="FFF54A45"/>
              <rFont val="Arial"/>
            </rPr>
            <t>0615、0622 开发名下无bug，与测试刘晓帝确认bug</t>
          </r>
        </is>
      </c>
      <c r="N47" s="131" t="str">
        <v>产品PRD有需求， 实车无此功能，需产品确认并更新PRD -- 陈振英
0422：0323版本PRD上打开/关闭/播放MV已删除</v>
      </c>
      <c r="O47" s="48">
        <f>P47/E47</f>
      </c>
      <c r="P47" s="93">
        <v>27</v>
      </c>
      <c r="Q47" s="94">
        <f>E47-P47</f>
      </c>
      <c r="T47" s="47">
        <v>18</v>
      </c>
      <c r="U47" s="48">
        <f>T47/E47</f>
      </c>
      <c r="V47" s="11">
        <f>E47-T47</f>
      </c>
      <c r="W47" s="11" t="str">
        <v> P0</v>
      </c>
      <c r="X47" s="53" t="str">
        <v>✅</v>
      </c>
      <c r="Y47" s="132">
        <v>46154</v>
      </c>
      <c r="Z47" s="11" t="inlineStr">
        <is>
          <r>
            <t>@田高琳</t>
          </r>
        </is>
      </c>
      <c r="AA47" s="60"/>
      <c r="AB47" s="54">
        <f>AG47/AH47</f>
      </c>
      <c r="AC47" s="125">
        <v>18</v>
      </c>
      <c r="AD47" s="1">
        <v>0</v>
      </c>
      <c r="AE47" s="54">
        <f>AF47/AG47</f>
      </c>
      <c r="AF47" s="16">
        <f>COUNTIFS('多媒体'!S29:S46,"✅")</f>
      </c>
      <c r="AG47" s="16">
        <f>COUNTIFS('多媒体'!S29:S46,"✅")+COUNTIFS('多媒体'!S29:S46,"❌")+COUNTIFS('多媒体'!S29:S46,"block")</f>
      </c>
      <c r="AH47" s="19">
        <v>16</v>
      </c>
      <c r="AI47" s="57">
        <f>AF47</f>
      </c>
      <c r="AJ47" s="58">
        <f>AH47-AF47</f>
      </c>
      <c r="AK47" s="58">
        <f>AG47-AF47</f>
      </c>
      <c r="AL47" s="36" t="str">
        <v>字节-郑永超
FAIL
</v>
      </c>
      <c r="AM47" s="59"/>
      <c r="AP47" s="14" t="str">
        <v>多媒体</v>
      </c>
      <c r="AQ47" s="2">
        <f>AH47-E47</f>
      </c>
      <c r="AU47" s="2" t="str">
        <v>周二</v>
      </c>
      <c r="AV47" s="4">
        <v>9</v>
      </c>
    </row>
    <row r="48" spans="1:43">
      <c r="A48" s="130"/>
      <c r="B48" s="11" t="str">
        <v>语音控制本地电台</v>
      </c>
      <c r="C48" s="12" t="str">
        <v>已完成</v>
      </c>
      <c r="D48" s="47">
        <v>5</v>
      </c>
      <c r="E48" s="47">
        <v>5</v>
      </c>
      <c r="F48" s="48">
        <f>G48/E48</f>
      </c>
      <c r="G48" s="117">
        <v>5</v>
      </c>
      <c r="H48" s="50">
        <f>E48-G48</f>
      </c>
      <c r="I48" s="19">
        <v>5</v>
      </c>
      <c r="J48" s="48">
        <f>I48/E48</f>
      </c>
      <c r="K48" s="51" t="str">
        <v>4.18
1.未打开应用情况下 “我要听FM”  无法播放FM-上汽@罗文彬
2.从FM88.9切换至  “我要听FM” 无法播放-上汽@罗文彬
3.电台不支持AM -上汽@罗文彬     目前AM走的兜底话术提示
4.播放FM存在sdk超时问题 -(电台播放切换) 
5.26
超时问题 罗工说已定位到 待修复
5.28 
罗工反馈已经修复 待新版本多媒体sdk验证
0529 罗工反馈当前车上的版本已支持，可直接验，已同步田高琳尽快验证
0601 田高琳反馈验证可用</v>
      </c>
      <c r="N48" s="133" t="str">
        <v>产品PRD有需求， 实车没有AM（没有屏控按钮），需产品确认并更新PRD -- 陈振英
0422：PRD无AM收音机需求，用户说AM答复不支持</v>
      </c>
      <c r="O48" s="48">
        <f>P48/E48</f>
      </c>
      <c r="P48" s="93">
        <v>5</v>
      </c>
      <c r="Q48" s="94">
        <f>E48-P48</f>
      </c>
      <c r="T48" s="47">
        <v>5</v>
      </c>
      <c r="U48" s="48">
        <f>T48/E48</f>
      </c>
      <c r="V48" s="11">
        <f>E48-T48</f>
      </c>
      <c r="W48" s="11" t="str">
        <v>P1</v>
      </c>
      <c r="Y48" s="132">
        <v>46148</v>
      </c>
      <c r="Z48" s="11" t="inlineStr">
        <is>
          <r>
            <t>@田高琳</t>
          </r>
        </is>
      </c>
      <c r="AA48" s="60"/>
      <c r="AB48" s="54">
        <f>AG48/AH48</f>
      </c>
      <c r="AC48" s="125">
        <v>5</v>
      </c>
      <c r="AD48" s="1">
        <v>0</v>
      </c>
      <c r="AE48" s="54">
        <f>AF48/AG48</f>
      </c>
      <c r="AF48" s="16">
        <f>COUNTIFS('多媒体'!S47:S51,"✅")</f>
      </c>
      <c r="AG48" s="16">
        <f>COUNTIFS('多媒体'!S47:S51,"✅")+COUNTIFS('多媒体'!S47:S51,"❌")+COUNTIFS('多媒体'!S47:S51,"block")</f>
      </c>
      <c r="AH48" s="19">
        <v>5</v>
      </c>
      <c r="AI48" s="57">
        <f>AF48</f>
      </c>
      <c r="AJ48" s="58">
        <f>AH48-AF48</f>
      </c>
      <c r="AK48" s="58">
        <f>AG48-AF48</f>
      </c>
      <c r="AL48" s="86" t="str">
        <v>字节-刘晓帝
FAIL</v>
      </c>
      <c r="AM48" s="59"/>
      <c r="AP48" s="14" t="str">
        <v>多媒体</v>
      </c>
      <c r="AQ48" s="2">
        <f>AH48-E48</f>
      </c>
    </row>
    <row r="49" spans="1:44">
      <c r="A49" s="130"/>
      <c r="B49" s="11" t="str">
        <v>语音控制在线广播</v>
      </c>
      <c r="C49" s="12" t="str">
        <v>【火山】待问题修复</v>
      </c>
      <c r="D49" s="47">
        <v>4</v>
      </c>
      <c r="E49" s="47">
        <v>4</v>
      </c>
      <c r="F49" s="48">
        <f>G49/E49</f>
      </c>
      <c r="G49" s="117">
        <v>4</v>
      </c>
      <c r="H49" s="50">
        <f>E49-G49</f>
      </c>
      <c r="I49" s="19">
        <v>4</v>
      </c>
      <c r="J49" s="48">
        <f>I49/E49</f>
      </c>
      <c r="K49" s="116" t="inlineStr">
        <is>
          <r>
            <rPr>
              <strike/>
              <sz val="10"/>
              <color rgb="FF1F2329"/>
              <rFont val="Arial"/>
            </rPr>
            <t xml:space="preserve">4.18
上汽@罗文彬反馈当前PRD比较旧 目前只支持喜马拉雅
待产品澄清 拉齐一下功能需求 
</t>
          </r>
          <r>
            <rPr>
              <strike/>
              <sz val="10"/>
              <color rgb="FF000000"/>
              <rFont val="Arial"/>
            </rPr>
            <t xml:space="preserve">04.27：字节产品正在更新NLG </t>
          </r>
          <r>
            <rPr>
              <strike/>
              <sz val="10"/>
              <color rgb="FF000000"/>
              <rFont val="Arial"/>
            </rPr>
            <t>@廖婉婷</t>
          </r>
          <r>
            <rPr>
              <strike/>
              <sz val="10"/>
              <color rgb="FF000000"/>
              <rFont val="Arial"/>
            </rPr>
            <t xml:space="preserve">
</t>
          </r>
          <r>
            <rPr>
              <strike/>
              <sz val="10"/>
              <color rgb="FF1F2329"/>
              <rFont val="Arial"/>
            </rPr>
            <t xml:space="preserve">05.05
1.上汽侧: 播放喜马拉雅无反应-上汽@罗文彬
05.19: 
已提供喜马拉雅app支持台架调试，请字节开发验证
05.26：火山待验证反馈
0527: 0528开发完成；
0528 上汽已提供4api 待开发确认剩余2个api是否可用 </t>
          </r>
          <r>
            <rPr>
              <strike/>
              <sz val="10"/>
              <color rgb="FF1F2329"/>
              <rFont val="Arial"/>
            </rPr>
            <t>@田高琳</t>
          </r>
          <r>
            <rPr>
              <strike/>
              <sz val="10"/>
              <color rgb="FF1F2329"/>
              <rFont val="Arial"/>
            </rPr>
            <t xml:space="preserve">
</t>
          </r>
          <r>
            <rPr>
              <sz val="10"/>
              <color rgb="FFF54A45"/>
              <rFont val="Arial"/>
            </rPr>
            <t>0615、0622 开发名下无bug，与测试刘晓帝确认bug</t>
          </r>
        </is>
      </c>
      <c r="N49" s="67" t="str">
        <v>在线广播和网络节目替换为纯三方的喜马拉雅， 三方媒体app不支持此功能，  接口返回不支持， 需要双方产品澄清   --  陈振英
</v>
      </c>
      <c r="O49" s="48">
        <f>P49/E49</f>
      </c>
      <c r="P49" s="93">
        <v>4</v>
      </c>
      <c r="Q49" s="94">
        <f>E49-P49</f>
      </c>
      <c r="T49" s="47">
        <v>4</v>
      </c>
      <c r="U49" s="48">
        <f>T49/E49</f>
      </c>
      <c r="V49" s="11">
        <f>E49-T49</f>
      </c>
      <c r="W49" s="11" t="str">
        <v>P1</v>
      </c>
      <c r="Y49" s="132">
        <v>46150</v>
      </c>
      <c r="Z49" s="11" t="inlineStr">
        <is>
          <r>
            <t>@田高琳</t>
          </r>
        </is>
      </c>
      <c r="AA49" s="60"/>
      <c r="AB49" s="54">
        <f>AG49/AH49</f>
      </c>
      <c r="AC49" s="134">
        <v>4</v>
      </c>
      <c r="AD49" s="55">
        <f>E49-AC49</f>
      </c>
      <c r="AE49" s="54">
        <f>AF49/AG49</f>
      </c>
      <c r="AF49" s="16">
        <f>COUNTIFS('多媒体'!S52:S55,"✅")</f>
      </c>
      <c r="AG49" s="16">
        <f>COUNTIFS('多媒体'!S52:S55,"✅")+COUNTIFS('多媒体'!S52:S55,"❌")+COUNTIFS('多媒体'!S52:S55,"block")</f>
      </c>
      <c r="AH49" s="19">
        <v>4</v>
      </c>
      <c r="AI49" s="57">
        <f>AF49</f>
      </c>
      <c r="AJ49" s="58">
        <f>AH49-AF49</f>
      </c>
      <c r="AK49" s="58">
        <f>AG49-AF49</f>
      </c>
      <c r="AL49" s="36" t="str">
        <v>字节-郑永超</v>
      </c>
      <c r="AM49" s="59"/>
      <c r="AP49" s="14" t="str">
        <v>多媒体</v>
      </c>
      <c r="AQ49" s="2">
        <f>AH49-E49</f>
      </c>
      <c r="AR49" s="65" t="inlineStr">
        <is>
          <r>
            <t>@田高琳</t>
          </r>
          <r>
            <t xml:space="preserve"> 进度表备注0528完成，是否代表接口都可用了？请确认并更新模块表-</t>
          </r>
        </is>
      </c>
    </row>
    <row r="50" spans="1:45">
      <c r="A50" s="130"/>
      <c r="B50" s="11" t="str">
        <v>语音控制网络节目</v>
      </c>
      <c r="C50" s="12" t="str">
        <v>【火山】待问题修复</v>
      </c>
      <c r="D50" s="47">
        <v>8</v>
      </c>
      <c r="E50" s="47">
        <v>8</v>
      </c>
      <c r="F50" s="48">
        <f>G50/E50</f>
      </c>
      <c r="G50" s="117">
        <v>8</v>
      </c>
      <c r="H50" s="50">
        <f>E50-G50</f>
      </c>
      <c r="I50" s="19">
        <v>8</v>
      </c>
      <c r="J50" s="48">
        <f>I50/E50</f>
      </c>
      <c r="K50" s="51" t="inlineStr">
        <is>
          <r>
            <rPr>
              <strike/>
              <sz val="10"/>
              <color rgb="FF1F2329"/>
              <rFont val="Arial"/>
            </rPr>
            <t xml:space="preserve">05.05
1.上汽侧: 播放喜马拉雅无反应-上汽@罗文彬
05.19: 
已提供喜马拉雅app支持台架调试，请字节开发验证
0527: 0528开发完成；
0528 56、57、58行三个api </t>
          </r>
          <r>
            <rPr>
              <strike/>
              <sz val="10"/>
              <color rgb="FF1F2329"/>
              <rFont val="Arial"/>
            </rPr>
            <t>@田高琳</t>
          </r>
          <r>
            <rPr>
              <strike/>
              <sz val="10"/>
              <color rgb="FF1F2329"/>
              <rFont val="Arial"/>
            </rPr>
            <t xml:space="preserve"> 确认接口是否可用
</t>
          </r>
          <r>
            <rPr>
              <sz val="10"/>
              <color rgb="FFF54A45"/>
              <rFont val="Arial"/>
            </rPr>
            <t>0615、0622 开发名下无bug，与测试刘晓帝确认bug</t>
          </r>
        </is>
      </c>
      <c r="N50" s="67" t="str">
        <v>在线广播和网络节目替换为纯三方的喜马拉雅， 三方媒体app不支持此功能，  接口返回不支持， 需要双方产品澄清   --  陈振英</v>
      </c>
      <c r="O50" s="48">
        <f>P50/E50</f>
      </c>
      <c r="P50" s="93">
        <v>8</v>
      </c>
      <c r="Q50" s="94">
        <f>E50-P50</f>
      </c>
      <c r="T50" s="47">
        <v>8</v>
      </c>
      <c r="U50" s="48">
        <f>T50/E50</f>
      </c>
      <c r="V50" s="11">
        <f>E50-T50</f>
      </c>
      <c r="W50" s="11" t="str">
        <v>P1</v>
      </c>
      <c r="Y50" s="132">
        <v>46150</v>
      </c>
      <c r="Z50" s="11" t="inlineStr">
        <is>
          <r>
            <t>@田高琳</t>
          </r>
        </is>
      </c>
      <c r="AA50" s="60"/>
      <c r="AB50" s="54">
        <f>AG50/AH50</f>
      </c>
      <c r="AC50" s="134">
        <v>8</v>
      </c>
      <c r="AD50" s="55">
        <f>E50-AC50</f>
      </c>
      <c r="AE50" s="54">
        <f>AF50/AG50</f>
      </c>
      <c r="AF50" s="16">
        <f>COUNTIFS('多媒体'!S56:S63,"✅")</f>
      </c>
      <c r="AG50" s="16">
        <f>COUNTIFS('多媒体'!S56:S63,"✅")+COUNTIFS('多媒体'!S56:S63,"❌")+COUNTIFS('多媒体'!S56:S63,"block")</f>
      </c>
      <c r="AH50" s="19">
        <v>8</v>
      </c>
      <c r="AI50" s="57">
        <f>AF50</f>
      </c>
      <c r="AJ50" s="58">
        <f>AH50-AF50</f>
      </c>
      <c r="AK50" s="58">
        <f>AG50-AF50</f>
      </c>
      <c r="AL50" s="36" t="str">
        <v>字节-郑永超</v>
      </c>
      <c r="AM50" s="59"/>
      <c r="AP50" s="14" t="str">
        <v>多媒体</v>
      </c>
      <c r="AQ50" s="2">
        <f>AH50-E50</f>
      </c>
      <c r="AR50" s="65" t="inlineStr">
        <is>
          <r>
            <t>@田高琳</t>
          </r>
          <r>
            <t xml:space="preserve"> 请确认进度表里的备注是否影响模块表里的56、57、58这3个api？-
</t>
          </r>
          <r>
            <t>@刘晓帝</t>
          </r>
          <r>
            <t>进度表里测试数据都是空的，请更新-已完成</t>
          </r>
        </is>
      </c>
      <c r="AS50" s="4">
        <v>1</v>
      </c>
    </row>
    <row r="51" spans="1:48">
      <c r="A51" s="130"/>
      <c r="B51" s="11" t="str">
        <v>多媒体应用开关</v>
      </c>
      <c r="C51" s="12" t="str">
        <v>已完成</v>
      </c>
      <c r="D51" s="47">
        <v>2</v>
      </c>
      <c r="E51" s="47">
        <v>2</v>
      </c>
      <c r="F51" s="48">
        <f>G51/E51</f>
      </c>
      <c r="G51" s="117">
        <v>2</v>
      </c>
      <c r="H51" s="50">
        <f>E51-G51</f>
      </c>
      <c r="I51" s="19">
        <v>2</v>
      </c>
      <c r="J51" s="48">
        <f>I51/E51</f>
      </c>
      <c r="K51" s="51" t="inlineStr">
        <is>
          <r>
            <t xml:space="preserve">4.17
</t>
          </r>
          <r>
            <t xml:space="preserve">指定应用开关打开无反应
</t>
          </r>
          <r>
            <t xml:space="preserve">1.目前的api需要支持在哪个屏幕打开  @罗文彬  =&gt;04.20：上汽工程师未给反馈，今天继续跟进
</t>
          </r>
          <r>
            <t xml:space="preserve">04.27
</t>
          </r>
          <r>
            <t xml:space="preserve">周五怀君提供了个打开应用的方法 待验证
</t>
          </r>
          <r>
            <t xml:space="preserve">0527: </t>
          </r>
          <r>
            <t>@刘晓帝</t>
          </r>
          <r>
            <t>@赵晓健</t>
          </r>
          <r>
            <t xml:space="preserve"> 确认测试排期</t>
          </r>
        </is>
      </c>
      <c r="O51" s="48">
        <f>P51/E51</f>
      </c>
      <c r="P51" s="93">
        <v>2</v>
      </c>
      <c r="Q51" s="94">
        <f>E51-P51</f>
      </c>
      <c r="T51" s="47">
        <v>2</v>
      </c>
      <c r="U51" s="48">
        <f>T51/E51</f>
      </c>
      <c r="V51" s="11">
        <f>E51-T51</f>
      </c>
      <c r="W51" s="11" t="str">
        <v> P0</v>
      </c>
      <c r="X51" s="11" t="str">
        <v>✅</v>
      </c>
      <c r="Y51" s="53" t="str">
        <v>已对接 </v>
      </c>
      <c r="Z51" s="11" t="inlineStr">
        <is>
          <r>
            <t>@樊晓天</t>
          </r>
        </is>
      </c>
      <c r="AA51" s="60"/>
      <c r="AB51" s="54">
        <f>AG51/AH51</f>
      </c>
      <c r="AC51" s="125">
        <v>2</v>
      </c>
      <c r="AD51" s="1">
        <v>0</v>
      </c>
      <c r="AE51" s="54">
        <f>AF51/AG51</f>
      </c>
      <c r="AF51" s="16">
        <f>COUNTIFS('多媒体'!S64:S65,"✅")</f>
      </c>
      <c r="AG51" s="16">
        <f>COUNTIFS('多媒体'!S64:S65,"✅")+COUNTIFS('多媒体'!S64:S65,"❌")+COUNTIFS('多媒体'!S64:S65,"block")</f>
      </c>
      <c r="AH51" s="20">
        <v>2</v>
      </c>
      <c r="AI51" s="57">
        <f>AF51</f>
      </c>
      <c r="AJ51" s="58">
        <f>AH51-AF51</f>
      </c>
      <c r="AK51" s="58">
        <f>AG51-AF51</f>
      </c>
      <c r="AL51" s="36" t="str">
        <v>字节-刘晓帝
FAIL</v>
      </c>
      <c r="AM51" s="59"/>
      <c r="AP51" s="14" t="str">
        <v>多媒体</v>
      </c>
      <c r="AQ51" s="2">
        <f>AH51-E51</f>
      </c>
      <c r="AU51" s="2" t="str">
        <v>周二</v>
      </c>
      <c r="AV51" s="4">
        <v>9</v>
      </c>
    </row>
    <row r="52" ht="89" customHeight="1" spans="1:48">
      <c r="A52" s="130"/>
      <c r="B52" s="11" t="str">
        <v>语音控制视频</v>
      </c>
      <c r="C52" s="12" t="str">
        <v>【火山】待问题修复</v>
      </c>
      <c r="D52" s="47">
        <v>10</v>
      </c>
      <c r="E52" s="47">
        <v>10</v>
      </c>
      <c r="F52" s="48">
        <f>G52/E52</f>
      </c>
      <c r="G52" s="117">
        <v>10</v>
      </c>
      <c r="H52" s="1">
        <v>0</v>
      </c>
      <c r="I52" s="19">
        <v>10</v>
      </c>
      <c r="J52" s="48">
        <f>I52/E52</f>
      </c>
      <c r="K52" s="135" t="inlineStr">
        <is>
          <r>
            <rPr>
              <sz val="10"/>
              <color rgb="FF000000"/>
              <rFont val="Arial"/>
            </rPr>
            <t xml:space="preserve">4.17
</t>
          </r>
          <r>
            <rPr>
              <strike/>
              <sz val="10"/>
              <color rgb="FF000000"/>
              <rFont val="Arial"/>
            </rPr>
            <t>1.存在参数转换问题video_tag现在是聚合参数，sdk需要的是映射后的参数---字节</t>
          </r>
          <r>
            <rPr>
              <strike/>
              <sz val="10"/>
              <color rgb="FF000000"/>
              <rFont val="Arial"/>
            </rPr>
            <t>@田高琳</t>
          </r>
          <r>
            <rPr>
              <strike/>
              <sz val="10"/>
              <color rgb="FF000000"/>
              <rFont val="Arial"/>
            </rPr>
            <t xml:space="preserve"> =&gt; 04.22：今天完成问题处理
【上汽回复】已提供示例， 待字节验证
</t>
          </r>
          <r>
            <rPr>
              <strike/>
              <sz val="10"/>
              <color rgb="FF1F2329"/>
              <rFont val="Arial"/>
            </rPr>
            <t xml:space="preserve">05.05
1.视频搜播调用无反应  已提供log--上汽@罗文彬
2.设置码率 3个   已提供log--上汽@罗文彬
3.播放视频 调用无反应    已提供log--上汽@罗文彬
4.暂停视频 调用无反应    已提供log--上汽@罗文彬
0527: </t>
          </r>
          <r>
            <rPr>
              <strike/>
              <sz val="10"/>
              <color rgb="FF1F2329"/>
              <rFont val="Arial"/>
            </rPr>
            <t>@刘晓帝</t>
          </r>
          <r>
            <rPr>
              <strike/>
              <sz val="10"/>
              <color rgb="FF1F2329"/>
              <rFont val="Arial"/>
            </rPr>
            <t>@赵晓健</t>
          </r>
          <r>
            <rPr>
              <strike/>
              <sz val="10"/>
              <color rgb="FF1F2329"/>
              <rFont val="Arial"/>
            </rPr>
            <t xml:space="preserve"> 确认测试排期
</t>
          </r>
          <r>
            <rPr>
              <sz val="10"/>
              <color rgb="FFF54A45"/>
              <rFont val="Arial"/>
            </rPr>
            <t>0615、0622 开发名下无bug，与测试刘晓帝确认bug</t>
          </r>
        </is>
      </c>
      <c r="N52" s="51" t="str">
        <v>【全屏播放/退出全屏播放】确认无此语音控制需求， @蒋筱涵产品确认有此需求，逻辑为语音引导用户手动操作。已与字节拉齐需求，无需开发提供接口。需多媒体回调话术id，语音直接播报。
【播放收藏的视频 】【播放第X集】三方应用不支持；PRD已描述“注:其他三方视频类应用根据实际能力为准，需求侧不做硬性定义。”产品反馈，以三方能力为准（即不支持）</v>
      </c>
      <c r="O52" s="62">
        <f>P52/E52</f>
      </c>
      <c r="P52" s="93">
        <v>8</v>
      </c>
      <c r="Q52" s="94">
        <f>E52-P52</f>
      </c>
      <c r="T52" s="19">
        <v>10</v>
      </c>
      <c r="U52" s="48">
        <f>T52/E52</f>
      </c>
      <c r="V52" s="11">
        <f>E52-T52</f>
      </c>
      <c r="W52" s="11" t="str">
        <v> P0</v>
      </c>
      <c r="X52" s="11" t="str">
        <v>✅</v>
      </c>
      <c r="Y52" s="132">
        <v>46148</v>
      </c>
      <c r="Z52" s="11" t="inlineStr">
        <is>
          <r>
            <t>@田高琳</t>
          </r>
        </is>
      </c>
      <c r="AA52" s="60"/>
      <c r="AB52" s="54">
        <f>AG52/AH52</f>
      </c>
      <c r="AC52" s="125">
        <v>10</v>
      </c>
      <c r="AD52" s="1">
        <v>0</v>
      </c>
      <c r="AE52" s="54">
        <f>AF52/AG52</f>
      </c>
      <c r="AF52" s="16">
        <f>COUNTIFS('多媒体'!S66:S75,"✅")</f>
      </c>
      <c r="AG52" s="16">
        <f>COUNTIFS('多媒体'!S66:S75,"✅")+COUNTIFS('多媒体'!S66:S75,"❌")+COUNTIFS('多媒体'!S66:S75,"block")</f>
      </c>
      <c r="AH52" s="19">
        <v>10</v>
      </c>
      <c r="AI52" s="57">
        <f>AF52</f>
      </c>
      <c r="AJ52" s="58">
        <f>AH52-AF52</f>
      </c>
      <c r="AK52" s="58">
        <f>AG52-AF52</f>
      </c>
      <c r="AL52" s="36" t="str">
        <v>字节-郑永超
FAIL</v>
      </c>
      <c r="AM52" s="59"/>
      <c r="AN52" s="2"/>
      <c r="AP52" s="14" t="str">
        <v>多媒体</v>
      </c>
      <c r="AQ52" s="2">
        <f>AH52-E52</f>
      </c>
      <c r="AR52" s="65" t="inlineStr">
        <is>
          <r>
            <t>@刘晓帝</t>
          </r>
          <r>
            <t xml:space="preserve"> 进度表测试有数据，模块表测试进展全空，请补充- 已完成</t>
          </r>
        </is>
      </c>
      <c r="AU52" s="2" t="str">
        <v>周二</v>
      </c>
      <c r="AV52" s="4">
        <v>9</v>
      </c>
    </row>
    <row r="53" spans="1:45">
      <c r="A53" s="130"/>
      <c r="B53" s="11" t="str">
        <v>语音控制K歌</v>
      </c>
      <c r="C53" s="12" t="str">
        <v>已完成</v>
      </c>
      <c r="D53" s="47">
        <v>3</v>
      </c>
      <c r="E53" s="47">
        <v>3</v>
      </c>
      <c r="F53" s="48">
        <f>G53/E53</f>
      </c>
      <c r="G53" s="117">
        <v>3</v>
      </c>
      <c r="H53" s="50">
        <f>E53-G53</f>
      </c>
      <c r="I53" s="19">
        <v>3</v>
      </c>
      <c r="J53" s="48">
        <f>I53/E53</f>
      </c>
      <c r="K53" s="79" t="inlineStr">
        <is>
          <r>
            <rPr>
              <strike/>
              <sz val="10"/>
              <color rgb="FF1F2329"/>
              <rFont val="Arial"/>
            </rPr>
            <t xml:space="preserve">依赖项:
1.目前不支持k歌  需上汽提供API  @上汽桂祥  
04.27
今天验证一下k歌版本 (4.16号-4.21车机版本)
04.27未收到新版多媒体sdk
05.06
依赖多媒体和台架版本 待自测-字节</t>
          </r>
          <r>
            <rPr>
              <strike/>
              <sz val="10"/>
              <color rgb="FF1F2329"/>
              <rFont val="Arial"/>
            </rPr>
            <t>@田高琳</t>
          </r>
          <r>
            <rPr>
              <strike/>
              <sz val="10"/>
              <color rgb="FF1F2329"/>
              <rFont val="Arial"/>
            </rPr>
            <t xml:space="preserve">
05.11 
全民k歌拉不起来调用没反应 query=用全民k歌唱这首歌
05.19：</t>
          </r>
          <r>
            <rPr>
              <strike/>
              <sz val="10"/>
              <color rgb="FF1F2329"/>
              <rFont val="Arial"/>
            </rPr>
            <t>@田高琳</t>
          </r>
          <r>
            <rPr>
              <strike/>
              <sz val="10"/>
              <color rgb="FF1F2329"/>
              <rFont val="Arial"/>
            </rPr>
            <t xml:space="preserve">提供log给罗文彬分析
0527:0528完成验证转测试
05.29:
指定APP搜索内容FC缺少mediaSource=全民K歌-字节侧补充 </t>
          </r>
          <r>
            <rPr>
              <strike/>
              <sz val="10"/>
              <color rgb="FF1F2329"/>
              <rFont val="Arial"/>
            </rPr>
            <t>@廖婉婷</t>
          </r>
          <r>
            <rPr>
              <strike/>
              <sz val="10"/>
              <color rgb="FF1F2329"/>
              <rFont val="Arial"/>
            </rPr>
            <t xml:space="preserve">
</t>
          </r>
          <r>
            <rPr>
              <sz val="10"/>
              <color rgb="FFF54A45"/>
              <rFont val="Arial"/>
            </rPr>
            <t>0615、0622 开发名下无bug，与测试刘晓帝确认bug</t>
          </r>
        </is>
      </c>
      <c r="N53" s="51" t="str">
        <v>05.19：待提供log后，支持分析排查问题</v>
      </c>
      <c r="O53" s="62">
        <f>P53/E53</f>
      </c>
      <c r="P53" s="1">
        <v>0</v>
      </c>
      <c r="Q53" s="94">
        <f>E53-P53</f>
      </c>
      <c r="T53" s="47">
        <v>3</v>
      </c>
      <c r="U53" s="48">
        <f>T53/E53</f>
      </c>
      <c r="V53" s="11">
        <f>E53-T53</f>
      </c>
      <c r="W53" s="11" t="str">
        <v>P1</v>
      </c>
      <c r="Y53" s="132">
        <v>46139</v>
      </c>
      <c r="Z53" s="11" t="inlineStr">
        <is>
          <r>
            <t>@田高琳</t>
          </r>
        </is>
      </c>
      <c r="AA53" s="60"/>
      <c r="AB53" s="54">
        <f>AG53/AH53</f>
      </c>
      <c r="AC53" s="134">
        <v>2</v>
      </c>
      <c r="AD53" s="55">
        <f>E53-AC53</f>
      </c>
      <c r="AE53" s="54">
        <f>AF53/AG53</f>
      </c>
      <c r="AF53" s="16">
        <f>COUNTIFS('多媒体'!S76:S78,"✅")</f>
      </c>
      <c r="AG53" s="16">
        <f>COUNTIFS('多媒体'!S76:S78,"✅")+COUNTIFS('多媒体'!S76:S78,"❌")+COUNTIFS('多媒体'!S76:S78,"block")</f>
      </c>
      <c r="AH53" s="19">
        <v>3</v>
      </c>
      <c r="AI53" s="57">
        <f>AF53</f>
      </c>
      <c r="AJ53" s="58">
        <f>AH53-AF53</f>
      </c>
      <c r="AK53" s="58">
        <f>AG53-AF53</f>
      </c>
      <c r="AL53" s="36" t="str">
        <v>字节-刘晓帝
FAIL</v>
      </c>
      <c r="AM53" s="59"/>
      <c r="AP53" s="14" t="str">
        <v>多媒体</v>
      </c>
      <c r="AQ53" s="2">
        <f>AH53-E53</f>
      </c>
      <c r="AR53" s="65" t="inlineStr">
        <is>
          <r>
            <t>@田高琳</t>
          </r>
          <r>
            <t xml:space="preserve"> 进度表接api1个，模块表3个待自测，请确认并更新-</t>
          </r>
        </is>
      </c>
      <c r="AS53" s="4">
        <v>1</v>
      </c>
    </row>
    <row r="54" spans="1:45">
      <c r="A54" s="136"/>
      <c r="B54" s="11" t="str">
        <v>语音控制镜像</v>
      </c>
      <c r="C54" s="137" t="str">
        <v>【上汽】SDK文档接口实车卡点,【火山】待问题修复</v>
      </c>
      <c r="D54" s="47">
        <v>4</v>
      </c>
      <c r="E54" s="47">
        <v>2</v>
      </c>
      <c r="F54" s="48">
        <f>G54/E54</f>
      </c>
      <c r="G54" s="75">
        <v>3</v>
      </c>
      <c r="H54" s="50">
        <f>E54-G54</f>
      </c>
      <c r="I54" s="19">
        <v>2</v>
      </c>
      <c r="J54" s="48">
        <f>I54/E54</f>
      </c>
      <c r="K54" s="79" t="inlineStr">
        <is>
          <r>
            <rPr>
              <strike/>
              <sz val="10"/>
              <color rgb="FF1F2329"/>
              <rFont val="Arial"/>
            </rPr>
            <t xml:space="preserve">依赖项:
1.目前不支持语音控制镜像  需上汽提供API  @上汽罗文彬 
05.08：已释放sdk包
05.13:待开发验证-字节侧</t>
          </r>
          <r>
            <rPr>
              <strike/>
              <sz val="10"/>
              <color rgb="FF1F2329"/>
              <rFont val="Arial"/>
            </rPr>
            <t>@田高琳</t>
          </r>
          <r>
            <rPr>
              <strike/>
              <sz val="10"/>
              <color rgb="FF1F2329"/>
              <rFont val="Arial"/>
            </rPr>
            <t xml:space="preserve">
05.26:待补充剩余2条语义 -上汽@罗文彬
0527:0528完成验证转测试
0528 上汽已提供3api 待开发确认api是否可用 </t>
          </r>
          <r>
            <rPr>
              <strike/>
              <sz val="10"/>
              <color rgb="FF1F2329"/>
              <rFont val="Arial"/>
            </rPr>
            <t>@田高琳</t>
          </r>
          <r>
            <rPr>
              <strike/>
              <sz val="10"/>
              <color rgb="FF1F2329"/>
              <rFont val="Arial"/>
            </rPr>
            <t xml:space="preserve">
05:29
缺少打开镜像API-需上汽补充“语音打开镜像功能”，81行api不可用
0601 怀君反馈缺接口/0602 已追怀君接口ready时间
0602 邵凯：要先打开能支持镜像的app后才能发起镜像功能，没有直接打开镜像的功能。 田高琳继续推进
0604:跟字节产品确认这里的逻辑是否符合预期</t>
          </r>
          <r>
            <rPr>
              <strike/>
              <sz val="10"/>
              <color rgb="FF1F2329"/>
              <rFont val="Arial"/>
            </rPr>
            <t>@田高琳</t>
          </r>
          <r>
            <rPr>
              <strike/>
              <sz val="10"/>
              <color rgb="FF1F2329"/>
              <rFont val="Arial"/>
            </rPr>
            <t xml:space="preserve">/已拉高琳和左晨在一起确认等结果/产品薛灵钥反馈“需要确认下是否符合预期    在屏幕镜像前需要手动打开镜像APP”是符合预期的，即当前现状符合预期，接口阻碍解决
0615 确认经过
</t>
          </r>
          <r>
            <rPr>
              <sz val="10"/>
              <color rgb="FFF54A45"/>
              <rFont val="Arial"/>
            </rPr>
            <t xml:space="preserve">0615、0622 开发名下无bug，与测试刘晓帝确认bug
</t>
          </r>
          <r>
            <rPr>
              <strike/>
              <sz val="10"/>
              <color rgb="FF1F2329"/>
              <rFont val="Arial"/>
            </rPr>
            <t>0616 上汽没有提供打开镜像的API/怀君反馈可以与桂祥对接技术细节，已让高琳联系桂祥/0622 催高琳尽快联系桂祥</t>
          </r>
        </is>
      </c>
      <c r="O54" s="62">
        <f>P54/E54</f>
      </c>
      <c r="P54" s="1">
        <v>0</v>
      </c>
      <c r="Q54" s="94">
        <f>E54-P54</f>
      </c>
      <c r="T54" s="47">
        <v>2</v>
      </c>
      <c r="U54" s="48">
        <f>T54/E54</f>
      </c>
      <c r="V54" s="11">
        <f>E54-T54</f>
      </c>
      <c r="W54" s="11" t="str">
        <v>P1</v>
      </c>
      <c r="Y54" s="132">
        <v>46153</v>
      </c>
      <c r="Z54" s="11" t="inlineStr">
        <is>
          <r>
            <t>@田高琳</t>
          </r>
        </is>
      </c>
      <c r="AA54" s="110"/>
      <c r="AB54" s="54">
        <f>AG54/AH54</f>
      </c>
      <c r="AC54" s="134">
        <v>2</v>
      </c>
      <c r="AD54" s="55">
        <f>E54-AC54</f>
      </c>
      <c r="AE54" s="54">
        <f>AF54/AG54</f>
      </c>
      <c r="AF54" s="16">
        <f>COUNTIFS('多媒体'!S80:S82,"✅")</f>
      </c>
      <c r="AG54" s="16">
        <f>COUNTIFS('多媒体'!S80:S82,"✅")+COUNTIFS('多媒体'!S80:S82,"❌")+COUNTIFS('多媒体'!S80:S82,"block")</f>
      </c>
      <c r="AH54" s="19">
        <v>3</v>
      </c>
      <c r="AI54" s="57">
        <f>AF54</f>
      </c>
      <c r="AJ54" s="58">
        <f>AH54-AF54</f>
      </c>
      <c r="AK54" s="58">
        <f>AG54-AF54</f>
      </c>
      <c r="AL54" s="36" t="str">
        <v>字节-刘晓帝
FAIL</v>
      </c>
      <c r="AM54" s="59"/>
      <c r="AP54" s="14" t="str">
        <v>多媒体</v>
      </c>
      <c r="AQ54" s="2">
        <f>AH54-E54</f>
      </c>
      <c r="AR54" s="65" t="inlineStr">
        <is>
          <r>
            <t>@田高琳</t>
          </r>
          <r>
            <t xml:space="preserve"> 进度表里0527写0528体测，是否上汽已经给出全部api了？0528完成验证提测所有4个api吗？-
</t>
          </r>
          <r>
            <t>未给出全部api 目前只提供了2个</t>
          </r>
        </is>
      </c>
      <c r="AS54" s="4">
        <v>1</v>
      </c>
    </row>
    <row r="55" spans="1:44">
      <c r="A55" s="127" t="str">
        <v>地图导航</v>
      </c>
      <c r="B55" s="31" t="str">
        <v>打开地图应用</v>
      </c>
      <c r="C55" s="12" t="str">
        <v>已完成</v>
      </c>
      <c r="D55" s="47">
        <v>2</v>
      </c>
      <c r="E55" s="47">
        <v>2</v>
      </c>
      <c r="F55" s="48">
        <f>G55/E55</f>
      </c>
      <c r="G55" s="49">
        <v>2</v>
      </c>
      <c r="H55" s="50">
        <f>E55-G55</f>
      </c>
      <c r="I55" s="19">
        <v>2</v>
      </c>
      <c r="J55" s="48">
        <f>I55/E55</f>
      </c>
      <c r="K55" s="138" t="str">
        <v>走应用控制的指定应用开关了</v>
      </c>
      <c r="N55" s="61" t="str">
        <v>03.06：
待上汽提供共识后的对接方案SDK及文档@周怀君
03.10：
@张锐（@周怀君帮协调下）API集成文档待上汽内部协调提供。已block地图导航模块的技术对接。
03.11：
提供is4pr&amp;5pm语音控制地图接口说明-3_11.docx 请@赵明珠:评估。
03.24：@周怀君:确认地图接口版本及状态。
04.16：
打开地图应用 - 关闭地图测试NG，4/14已解决 @张锐；
新增2条熟路模式设置项，排期4/17，@张锐
调整到4/22 提供  @张锐
05.26：地图相关问题现状，请@余明明:梳理清晰后，组织上汽现场会议05.27沟通推进。
05.27：主要两个问题：
1.车控：调用handleSpeechControlMap 返回speechProcessResultBean=null，所以一直上报执行失败，但HMI有变化；
2.端状态：部分接口模拟导航不回调触发，主动获取的接口字段不全；</v>
      </c>
      <c r="O55" s="62">
        <f>P55/E55</f>
      </c>
      <c r="P55" s="28">
        <v>2</v>
      </c>
      <c r="Q55" s="16">
        <f>E55-P55</f>
      </c>
      <c r="T55" s="19">
        <v>2</v>
      </c>
      <c r="U55" s="48">
        <f>T55/E55</f>
      </c>
      <c r="V55" s="11">
        <f>E55-T55</f>
      </c>
      <c r="W55" s="11" t="str">
        <v> P0</v>
      </c>
      <c r="X55" s="53" t="str">
        <v>✅</v>
      </c>
      <c r="Z55" s="46" t="inlineStr">
        <is>
          <r>
            <t>@余明明</t>
          </r>
        </is>
      </c>
      <c r="AA55" s="46" t="inlineStr">
        <is>
          <r>
            <t>@康楷朋</t>
          </r>
          <r>
            <t xml:space="preserve">
</t>
          </r>
          <r>
            <t>@赵明珠</t>
          </r>
        </is>
      </c>
      <c r="AB55" s="54">
        <f>AG55/AH55</f>
      </c>
      <c r="AC55" s="125">
        <v>2</v>
      </c>
      <c r="AD55" s="55">
        <f>E55-AC55</f>
      </c>
      <c r="AE55" s="54">
        <f>AF55/AG55</f>
      </c>
      <c r="AF55" s="16">
        <f>COUNTIFS('地图导航'!P2:P3,"✅")</f>
      </c>
      <c r="AG55" s="16">
        <f>COUNTIFS('地图导航'!P2:P3,"✅")+COUNTIFS('地图导航'!P2:P3,"❌")+COUNTIFS('地图导航'!P2:P3,"block")</f>
      </c>
      <c r="AH55" s="20">
        <v>2</v>
      </c>
      <c r="AI55" s="57">
        <f>AF55</f>
      </c>
      <c r="AJ55" s="58">
        <f>AH55-AF55</f>
      </c>
      <c r="AK55" s="58">
        <f>AG55-AF55</f>
      </c>
      <c r="AL55" s="36" t="str">
        <v>字节-刘晓帝
PASS</v>
      </c>
      <c r="AP55" s="14" t="str">
        <v>地图导航</v>
      </c>
      <c r="AQ55" s="2">
        <f>AH55-E55</f>
      </c>
      <c r="AR55" s="65" t="inlineStr">
        <is>
          <r>
            <t>整个地图导航模块，</t>
          </r>
          <r>
            <t>@余明明</t>
          </r>
          <r>
            <t xml:space="preserve"> 遇到调用问题，还在确认中，需要解决调用问题再推进-等高德应用更新到可用版本</t>
          </r>
        </is>
      </c>
    </row>
    <row r="56" spans="1:43">
      <c r="A56" s="130"/>
      <c r="B56" s="14" t="str">
        <v>收藏地点</v>
      </c>
      <c r="C56" s="12" t="str">
        <v>【火山】待问题修复</v>
      </c>
      <c r="D56" s="47">
        <v>2</v>
      </c>
      <c r="E56" s="47">
        <v>2</v>
      </c>
      <c r="F56" s="48">
        <f>G56/E56</f>
      </c>
      <c r="G56" s="49">
        <v>2</v>
      </c>
      <c r="H56" s="50">
        <f>E56-G56</f>
      </c>
      <c r="I56" s="1">
        <v>0</v>
      </c>
      <c r="J56" s="54">
        <f>I56/E56</f>
      </c>
      <c r="K56" s="83" t="str">
        <v>
04.15：地图收藏接口2d、3D视角存在问题，已反馈 =》04.20:@赵明珠今天完成接口测试
04.20:地图方人员晚上会将新版本合入主线，待明天刷机后测试
04.21:刷机版本为DNA分支
04.22:已通知张锐老师，后续高德版本回合入DNA分支
04.23:下午已拿到最新版地图，待验证功能
04.25:FC不下发
0601.地图接口内部问题，已定位待解决/有上汽bug单 https://bytedance.larkoffice.com/record/PFRercs5WeJWclcT1RJc0ZtenNc
0608 有二次确认和地点选择的逻辑待开发补充，还需要与廖婉婷确认fc补充/确认好fc之后，开发需要2天
0611 初步确认实现方案，待实现0615
和廖婉婷与韩天亮确认的逻辑为：POI列表选点走地址收藏的FC；覆盖原地址的确认，按照蓝牙电话逻辑使用重复FC。
0615 接口返回执行指令超时
0616 地图上汽开发找张锐/明明：昨晚用他们最新包验证后发现：拥堵、途径点、服务区、地址收藏的接口还有问题。今天向他们要了上述问题自测通过的包，正在等回复。
0622 接口修复的包还未提供
0624 上汽黄林反馈今日给包
0629 上汽给包了，但是验证失败 
0706 jira bug已close，明明验证一下
0707 明明反馈bug已修复，今晚发版带上
0708已能正常收藏家和公司地址，已自测</v>
      </c>
      <c r="N56" s="139"/>
      <c r="O56" s="62">
        <f>P56/E56</f>
      </c>
      <c r="P56" s="28">
        <v>2</v>
      </c>
      <c r="Q56" s="16">
        <f>E56-P56</f>
      </c>
      <c r="T56" s="19">
        <v>2</v>
      </c>
      <c r="U56" s="48">
        <f>T56/E56</f>
      </c>
      <c r="V56" s="11">
        <f>E56-T56</f>
      </c>
      <c r="W56" s="11" t="str">
        <v>P1</v>
      </c>
      <c r="X56" s="53" t="str">
        <v>✅</v>
      </c>
      <c r="Y56" s="53" t="str">
        <v>04.30</v>
      </c>
      <c r="Z56" s="60"/>
      <c r="AA56" s="60"/>
      <c r="AB56" s="54">
        <f>AG56/AH56</f>
      </c>
      <c r="AC56" s="125">
        <v>2</v>
      </c>
      <c r="AD56" s="55">
        <f>E56-AC56</f>
      </c>
      <c r="AE56" s="54">
        <f>AF56/AG56</f>
      </c>
      <c r="AF56" s="16">
        <f>COUNTIFS('地图导航'!P65:P66,"✅")</f>
      </c>
      <c r="AG56" s="16">
        <f>COUNTIFS('地图导航'!P65:P66,"✅")+COUNTIFS('地图导航'!P65:P66,"❌")+COUNTIFS('地图导航'!P65:P66,"block")</f>
      </c>
      <c r="AH56" s="20">
        <v>2</v>
      </c>
      <c r="AI56" s="57">
        <f>AF56</f>
      </c>
      <c r="AJ56" s="58">
        <f>AH56-AF56</f>
      </c>
      <c r="AK56" s="58">
        <f>AG56-AF56</f>
      </c>
      <c r="AL56" s="36" t="str">
        <v>字节-郑永超
FAIL
</v>
      </c>
      <c r="AM56" s="59" t="str">
        <v>https://bytedance.larkoffice.com/record/PFRercs5WeJWclcT1RJc0ZtenNc</v>
      </c>
      <c r="AP56" s="14" t="str">
        <v>地图导航</v>
      </c>
      <c r="AQ56" s="2">
        <f>AH56-E56</f>
      </c>
    </row>
    <row r="57" spans="1:45">
      <c r="A57" s="130"/>
      <c r="B57" s="2" t="str">
        <v>地址收藏</v>
      </c>
      <c r="C57" s="12" t="str">
        <v>已完成</v>
      </c>
      <c r="D57" s="47">
        <v>1</v>
      </c>
      <c r="E57" s="47">
        <v>1</v>
      </c>
      <c r="F57" s="48">
        <f>G57/E57</f>
      </c>
      <c r="G57" s="49">
        <v>1</v>
      </c>
      <c r="H57" s="50">
        <f>E57-G57</f>
      </c>
      <c r="I57" s="1">
        <v>0</v>
      </c>
      <c r="J57" s="54">
        <f>I57/E57</f>
      </c>
      <c r="K57" s="140" t="str">
        <v>04.20:地图方人员晚上会将新版本合入主线，待明天刷机后测试
04.21:刷机版本为DNA分支不是主线版本 
04.22:已通知张锐老师，后续高德版本回合入DNA分支 
04.23:下午已拿到最新版地图，带验证功能
0602.地址收藏如果返回收藏不成功，就是给的位置不支持搜藏，只能换地址收藏，黄林确认这个接口是正常的无法修改；（需求表里地址收藏只收藏当前位置，0602和黄林确认，接口可以收藏其他地址）/有上汽bug单
https://bytedance.larkoffice.com/record/Jtncr4RPWehLmLcoLhsclgw0nWd
0608 有二次确认和地点选择的逻辑待开发补充，还需要与廖婉婷确认fc补充/确认好fc之后，开发需要2天
0609 找思晴对实现方案
0611 初步确认实现方案，待实现0615
0615 接口返回null
0616 地图上汽开发找张锐/明明：昨晚用他们最新包验证后发现：拥堵、途径点、服务区、地址收藏的接口还有问题。今天向他们要了上述问题自测通过的包，正在等回复。
0622 接口修复的包还未提供
0624 上汽黄林反馈今日给包
0629 上汽给包了，但是验证失败 
0706 jira bug已fixed，明明验一下
0707 明明反馈bug已修复，今晚发版带上
0708 目前功能已经可以正常使用，只能收藏当前位置，@韩天亮:说要根据失败结果重新返回话术，等待提供最终话术</v>
      </c>
      <c r="N57" s="139"/>
      <c r="O57" s="62">
        <f>P57/E57</f>
      </c>
      <c r="P57" s="28">
        <v>1</v>
      </c>
      <c r="Q57" s="16">
        <f>E57-P57</f>
      </c>
      <c r="T57" s="19">
        <v>1</v>
      </c>
      <c r="U57" s="48">
        <f>T57/E57</f>
      </c>
      <c r="V57" s="11">
        <f>E57-T57</f>
      </c>
      <c r="W57" s="11" t="str">
        <v>P1</v>
      </c>
      <c r="X57" s="53" t="str">
        <v>✅</v>
      </c>
      <c r="Y57" s="53" t="str">
        <v>04.30</v>
      </c>
      <c r="Z57" s="60"/>
      <c r="AA57" s="60"/>
      <c r="AB57" s="54">
        <f>AG57/AH57</f>
      </c>
      <c r="AC57" s="125">
        <v>1</v>
      </c>
      <c r="AD57" s="55">
        <f>E57-AC57</f>
      </c>
      <c r="AE57" s="54">
        <f>AF57/AG57</f>
      </c>
      <c r="AF57" s="16">
        <f>COUNTIFS('地图导航'!P67,"✅")</f>
      </c>
      <c r="AG57" s="16">
        <f>COUNTIFS('地图导航'!P67,"✅")+COUNTIFS('地图导航'!P67,"❌")+COUNTIFS('地图导航'!P67,"block")</f>
      </c>
      <c r="AH57" s="20">
        <v>1</v>
      </c>
      <c r="AI57" s="57">
        <f>AF57</f>
      </c>
      <c r="AJ57" s="58">
        <f>AH57-AF57</f>
      </c>
      <c r="AK57" s="58">
        <f>AG57-AF57</f>
      </c>
      <c r="AL57" s="36" t="str">
        <v>字节-郑永超
FAIL</v>
      </c>
      <c r="AM57" s="59" t="str">
        <v>https://bytedance.larkoffice.com/record/GV2qrvCnpeVIS1cjwzWcOWN5n4g</v>
      </c>
      <c r="AP57" s="14" t="str">
        <v>地图导航</v>
      </c>
      <c r="AQ57" s="2">
        <f>AH57-E57</f>
      </c>
      <c r="AR57" s="65" t="inlineStr">
        <is>
          <r>
            <t>@刘晓帝</t>
          </r>
          <r>
            <t xml:space="preserve"> </t>
          </r>
          <r>
            <t xml:space="preserve">进度表里看测试数据已经测试通过了，模块表还是❌，请确认并更新。-已完成 </t>
          </r>
          <r>
            <t>另外“0527.接口返回超时”下一步是什么，请注明-</t>
          </r>
          <r>
            <t>@贾学华</t>
          </r>
          <r>
            <t xml:space="preserve">这个不应该问开发吗？怎么需要我注明？ </t>
          </r>
          <r>
            <t>@余明明</t>
          </r>
        </is>
      </c>
      <c r="AS57" s="4">
        <v>1</v>
      </c>
    </row>
    <row r="58" spans="1:44">
      <c r="A58" s="130"/>
      <c r="B58" s="14" t="str">
        <v>收藏地址查看</v>
      </c>
      <c r="C58" s="12" t="str">
        <v>【火山】待测试</v>
      </c>
      <c r="D58" s="47">
        <v>1</v>
      </c>
      <c r="E58" s="47">
        <v>1</v>
      </c>
      <c r="F58" s="48">
        <f>G58/E58</f>
      </c>
      <c r="G58" s="49">
        <v>1</v>
      </c>
      <c r="H58" s="50">
        <f>E58-G58</f>
      </c>
      <c r="I58" s="19">
        <v>1</v>
      </c>
      <c r="J58" s="54">
        <f>I58/E58</f>
      </c>
      <c r="K58" s="79" t="inlineStr">
        <is>
          <r>
            <rPr>
              <strike/>
              <sz val="10"/>
              <color rgb="FF1F2329"/>
              <rFont val="Arial"/>
            </rPr>
            <t xml:space="preserve">04.20:地图方人员晚上会将新版本合入主线，待明天刷机后测试
04.21:刷机版本为DNA分支不是主线版本，已经找地图方人员要最新高德版本进行手动安装测试
04.22:已通知张锐老师，后续高德版本回合入DNA分支
04.23:下午已拿到最新版地图，待验证功能
</t>
          </r>
          <r>
            <rPr>
              <b/>
              <strike/>
              <sz val="10"/>
              <color rgb="FF1F2329"/>
              <rFont val="Arial"/>
            </rPr>
            <t xml:space="preserve">0527: </t>
          </r>
          <r>
            <rPr>
              <b/>
              <strike/>
              <sz val="10"/>
              <color rgb="FF1F2329"/>
              <rFont val="Arial"/>
            </rPr>
            <t>@刘晓帝</t>
          </r>
          <r>
            <rPr>
              <b/>
              <strike/>
              <sz val="10"/>
              <color rgb="FF1F2329"/>
              <rFont val="Arial"/>
            </rPr>
            <t>@赵晓健</t>
          </r>
          <r>
            <rPr>
              <b/>
              <strike/>
              <sz val="10"/>
              <color rgb="FF1F2329"/>
              <rFont val="Arial"/>
            </rPr>
            <t xml:space="preserve"> 确认测试排期
</t>
          </r>
          <r>
            <rPr>
              <strike/>
              <sz val="10"/>
              <color rgb="FF1F2329"/>
              <rFont val="Arial"/>
            </rPr>
            <t xml:space="preserve">0615 FC更换，添加关闭列表功能，待自测/0617 fc已开发还没正式发布，待发布后自测，有bug单已给婉婷。“关闭收藏地址查看”接口，待fc发布后上车验 
0622 确认0623fc1.7上线可测试
0624 产品反馈1.7昨晚已上，明明请验证
0624已自测</t>
          </r>
        </is>
      </c>
      <c r="N58" s="139"/>
      <c r="O58" s="62">
        <f>P58/E58</f>
      </c>
      <c r="P58" s="28">
        <v>1</v>
      </c>
      <c r="Q58" s="16">
        <f>E58-P58</f>
      </c>
      <c r="T58" s="19">
        <v>1</v>
      </c>
      <c r="U58" s="48">
        <f>T58/E58</f>
      </c>
      <c r="V58" s="11">
        <f>E58-T58</f>
      </c>
      <c r="W58" s="11" t="str">
        <v>P1</v>
      </c>
      <c r="X58" s="53" t="str">
        <v>✅</v>
      </c>
      <c r="Y58" s="53" t="str">
        <v>04.30</v>
      </c>
      <c r="Z58" s="60"/>
      <c r="AA58" s="60"/>
      <c r="AB58" s="54">
        <f>AG58/AH58</f>
      </c>
      <c r="AC58" s="125">
        <v>1</v>
      </c>
      <c r="AD58" s="1">
        <v>0</v>
      </c>
      <c r="AE58" s="54">
        <f>AF58/AG58</f>
      </c>
      <c r="AF58" s="16">
        <f>COUNTIFS('地图导航'!P68:P69,"✅")</f>
      </c>
      <c r="AG58" s="16">
        <f>COUNTIFS('地图导航'!P68:P69,"✅")+COUNTIFS('地图导航'!P68:P69,"❌")+COUNTIFS('地图导航'!P68:P69,"block")</f>
      </c>
      <c r="AH58" s="20">
        <v>2</v>
      </c>
      <c r="AI58" s="57">
        <f>AF58</f>
      </c>
      <c r="AJ58" s="58">
        <f>AH58-AF58</f>
      </c>
      <c r="AK58" s="58">
        <f>AG58-AF58</f>
      </c>
      <c r="AL58" s="36" t="str">
        <v>字节-刘晓帝
FAIL</v>
      </c>
      <c r="AM58" s="59" t="str">
        <v>https://bytedance.larkoffice.com/record/V4AArjvjoe4SdYccJ3AcihNdnyd</v>
      </c>
      <c r="AP58" s="14" t="str">
        <v>地图导航</v>
      </c>
      <c r="AQ58" s="2">
        <f>AH58-E58</f>
      </c>
      <c r="AR58" s="65" t="inlineStr">
        <is>
          <r>
            <t>@刘晓帝</t>
          </r>
          <r>
            <t xml:space="preserve"> “05.27:接口返回该地址不支持收藏”下一步是什么，请注明-</t>
          </r>
          <r>
            <t>@贾学华</t>
          </r>
          <r>
            <t>这个不应该问开发吗？怎么需要我注明？</t>
          </r>
        </is>
      </c>
    </row>
    <row r="59" spans="1:43">
      <c r="A59" s="130"/>
      <c r="B59" s="24" t="str">
        <v>获取当前位置</v>
      </c>
      <c r="C59" s="12" t="str">
        <v>已完成</v>
      </c>
      <c r="D59" s="47">
        <v>1</v>
      </c>
      <c r="E59" s="47">
        <v>1</v>
      </c>
      <c r="F59" s="48">
        <f>G59/E59</f>
      </c>
      <c r="G59" s="49">
        <v>1</v>
      </c>
      <c r="H59" s="50">
        <f>E59-G59</f>
      </c>
      <c r="I59" s="19">
        <v>1</v>
      </c>
      <c r="J59" s="48">
        <f>I59/E59</f>
      </c>
      <c r="K59" s="79" t="inlineStr">
        <is>
          <r>
            <t xml:space="preserve">04.25:当前位置返回范围存在问题，已反馈待上汽修复
</t>
          </r>
          <r>
            <t xml:space="preserve">0506:使用0430 的包逆地理接口无返回值，待上汽排查
</t>
          </r>
          <r>
            <t xml:space="preserve">0507:日志已给上汽地图方人员，目前还在排查
</t>
          </r>
          <r>
            <t xml:space="preserve">5.9 验证最新的SDK
</t>
          </r>
          <r>
            <t xml:space="preserve">5.18 在poi列表里找到了当前位置，待自测
</t>
          </r>
          <r>
            <t xml:space="preserve">0527: </t>
          </r>
          <r>
            <t>@刘晓帝</t>
          </r>
          <r>
            <t>@赵晓健</t>
          </r>
          <r>
            <t xml:space="preserve"> 确认测试排期</t>
          </r>
        </is>
      </c>
      <c r="N59" s="139"/>
      <c r="O59" s="62">
        <f>P59/E59</f>
      </c>
      <c r="P59" s="28">
        <v>1</v>
      </c>
      <c r="Q59" s="16">
        <f>E59-P59</f>
      </c>
      <c r="T59" s="19">
        <v>1</v>
      </c>
      <c r="U59" s="48">
        <f>T59/E59</f>
      </c>
      <c r="V59" s="11">
        <f>E59-T59</f>
      </c>
      <c r="W59" s="11" t="str">
        <v> P0</v>
      </c>
      <c r="X59" s="53" t="str">
        <v>✅</v>
      </c>
      <c r="Y59" s="53" t="str">
        <v>04.30</v>
      </c>
      <c r="Z59" s="60"/>
      <c r="AA59" s="60"/>
      <c r="AB59" s="54">
        <f>AG59/AH59</f>
      </c>
      <c r="AC59" s="125">
        <v>1</v>
      </c>
      <c r="AD59" s="55">
        <f>E59-AC59</f>
      </c>
      <c r="AE59" s="54">
        <f>AF59/AG59</f>
      </c>
      <c r="AF59" s="16">
        <f>COUNTIFS('地图导航'!P70,"✅")</f>
      </c>
      <c r="AG59" s="16">
        <f>COUNTIFS('地图导航'!P70,"✅")+COUNTIFS('地图导航'!P70,"❌")+COUNTIFS('地图导航'!P70,"block")</f>
      </c>
      <c r="AH59" s="20">
        <v>1</v>
      </c>
      <c r="AI59" s="57">
        <f>AF59</f>
      </c>
      <c r="AJ59" s="58">
        <f>AH59-AF59</f>
      </c>
      <c r="AK59" s="58">
        <f>AG59-AF59</f>
      </c>
      <c r="AL59" s="36" t="str">
        <v>字节-刘晓帝
PASS</v>
      </c>
      <c r="AP59" s="14" t="str">
        <v>地图导航</v>
      </c>
      <c r="AQ59" s="2">
        <f>AH59-E59</f>
      </c>
    </row>
    <row r="60" spans="1:45">
      <c r="A60" s="130"/>
      <c r="B60" s="14" t="str">
        <v>地图控制</v>
      </c>
      <c r="C60" s="12" t="str">
        <v>已完成</v>
      </c>
      <c r="D60" s="47">
        <v>15</v>
      </c>
      <c r="E60" s="47">
        <v>15</v>
      </c>
      <c r="F60" s="48">
        <f>G60/E60</f>
      </c>
      <c r="G60" s="49">
        <v>9</v>
      </c>
      <c r="H60" s="50">
        <f>E60-G60</f>
      </c>
      <c r="I60" s="19">
        <v>9</v>
      </c>
      <c r="J60" s="48">
        <f>I60/E60</f>
      </c>
      <c r="K60" s="82" t="inlineStr">
        <is>
          <r>
            <rPr>
              <strike/>
              <sz val="10"/>
              <color rgb="FF1F2329"/>
              <rFont val="Arial"/>
            </rPr>
            <t xml:space="preserve">04.15:2d、3D视角切换存在问题 已反馈
04.20:地图方人员晚上会将新版本合入主线 
04.22:已通知张锐老师，后续高德版本回合入DNA分支
04.23:下午已拿到最新版地图，待验证功能
0527.可以切换2D正北和2D车头，其他切换不支持，但导航的UI全都不变 ，等待更新高德应用 上汽黄林
0602.地图381版本功能都支持，如果语义控制地图会发生变化但设置页面的按钮没有切换，有上汽bug单，等待他们地图版本更新
0603 张锐实车确认了问题，中午拉了个群通过日志分析解决问题。下班前无结果反馈。下一步，每天在群里问进度，等待新地图包去台驾测试验证。
0605 黄林预计当天解决。
0608 明明反馈黄林已提供新包，待收档地址开发完成后进行验证，预计半天
0610: 0611验证后同步结果</t>
          </r>
          <r>
            <rPr>
              <strike/>
              <sz val="10"/>
              <color rgb="FF1F2329"/>
              <rFont val="Arial"/>
            </rPr>
            <t>@余明明</t>
          </r>
          <r>
            <rPr>
              <strike/>
              <sz val="10"/>
              <color rgb="FF1F2329"/>
              <rFont val="Arial"/>
            </rPr>
            <t xml:space="preserve">
</t>
          </r>
          <r>
            <rPr>
              <sz val="10"/>
              <color rgb="FFF54A45"/>
              <rFont val="Arial"/>
            </rPr>
            <t>0615 开发名下无bug，与测试确认6个没过的case的bug</t>
          </r>
        </is>
      </c>
      <c r="N60" s="139"/>
      <c r="O60" s="62">
        <f>P60/E60</f>
      </c>
      <c r="P60" s="28">
        <v>9</v>
      </c>
      <c r="Q60" s="16">
        <f>E60-P60</f>
      </c>
      <c r="T60" s="19">
        <v>15</v>
      </c>
      <c r="U60" s="48">
        <f>T60/E60</f>
      </c>
      <c r="V60" s="11">
        <f>E60-T60</f>
      </c>
      <c r="W60" s="11" t="str">
        <v>P1</v>
      </c>
      <c r="X60" s="53" t="str">
        <v>✅</v>
      </c>
      <c r="Y60" s="53" t="str">
        <v>04.30</v>
      </c>
      <c r="Z60" s="60"/>
      <c r="AA60" s="60"/>
      <c r="AB60" s="54">
        <f>AG60/AH60</f>
      </c>
      <c r="AC60" s="125">
        <v>15</v>
      </c>
      <c r="AD60" s="1">
        <v>0</v>
      </c>
      <c r="AE60" s="54">
        <f>AF60/AG60</f>
      </c>
      <c r="AF60" s="16">
        <f>COUNTIFS('地图导航'!P71:P85,"✅")</f>
      </c>
      <c r="AG60" s="16">
        <f>COUNTIFS('地图导航'!P71:P85,"✅")+COUNTIFS('地图导航'!P71:P85,"❌")+COUNTIFS('地图导航'!P71:P85,"block")</f>
      </c>
      <c r="AH60" s="20">
        <v>15</v>
      </c>
      <c r="AI60" s="57">
        <f>AF60</f>
      </c>
      <c r="AJ60" s="58">
        <f>AH60-AF60</f>
      </c>
      <c r="AK60" s="58">
        <f>AG60-AF60</f>
      </c>
      <c r="AL60" s="36" t="str">
        <v>字节-刘晓帝
FAIL
</v>
      </c>
      <c r="AM60" s="59" t="str">
        <v>https://bytedance.larkoffice.com/record/LI7jruve3ecVeLc8YYUcNJz9n1f
https://bytedance.larkoffice.com/record/Ht00r7M72ecjz8cPdGvcgDndnUG
https://bytedance.larkoffice.com/record/AwG3rgVQ6eTKLdc7uFncAIWHnke</v>
      </c>
      <c r="AP60" s="14" t="str">
        <v>地图导航</v>
      </c>
      <c r="AQ60" s="2">
        <f>AH60-E60</f>
      </c>
      <c r="AR60" s="65" t="inlineStr">
        <is>
          <r>
            <t>@余明明</t>
          </r>
          <r>
            <t xml:space="preserve">进度表确认和接都是9个，但模块表里研发进展是15个✅，请确认并更新（本车使用是9个）
</t>
          </r>
          <r>
            <t>@余明明</t>
          </r>
          <r>
            <t>“0527.可以切换2D正北和2D车头，其他切换不支持，但导航的UI全都不变”下一步：</t>
          </r>
          <r>
            <t>等待更新高德应用</t>
          </r>
        </is>
      </c>
      <c r="AS60" s="4">
        <v>1</v>
      </c>
    </row>
    <row r="61" spans="1:44">
      <c r="A61" s="130"/>
      <c r="B61" s="14" t="str">
        <v>导航控制</v>
      </c>
      <c r="C61" s="12" t="str">
        <v>【火山】待测试</v>
      </c>
      <c r="D61" s="47">
        <v>12</v>
      </c>
      <c r="E61" s="47">
        <v>11</v>
      </c>
      <c r="F61" s="48">
        <f>G61/E61</f>
      </c>
      <c r="G61" s="49">
        <v>11</v>
      </c>
      <c r="H61" s="50">
        <f>E61-G61</f>
      </c>
      <c r="I61" s="19">
        <v>11</v>
      </c>
      <c r="J61" s="48">
        <f>I61/E61</f>
      </c>
      <c r="K61" s="141" t="inlineStr">
        <is>
          <r>
            <rPr>
              <strike/>
              <sz val="10"/>
              <color rgb="FF373C43"/>
              <rFont val="Arial"/>
            </rPr>
            <t xml:space="preserve">04.23：熟路模式接口已提供
04.24：待字节验证
04.25:熟路模式接口调用超时，已反馈待上汽修复
04.28:新版本以合入，待验证
</t>
          </r>
          <r>
            <rPr>
              <strike/>
              <sz val="10"/>
              <color rgb="FF1F2329"/>
              <rFont val="Arial"/>
            </rPr>
            <t xml:space="preserve">5.9 退出导航是否改成也走AInavi 自行找产品确认好，产品确认走车控
0527.获取不到导航状态
0528 ai navi承接，是否交付跟进？</t>
          </r>
          <r>
            <rPr>
              <strike/>
              <sz val="10"/>
              <color rgb="FF1F2329"/>
              <rFont val="Arial"/>
            </rPr>
            <t>@方令平</t>
          </r>
          <r>
            <rPr>
              <strike/>
              <sz val="10"/>
              <color rgb="FF1F2329"/>
              <rFont val="Arial"/>
            </rPr>
            <t xml:space="preserve">
</t>
          </r>
          <r>
            <rPr>
              <sz val="10"/>
              <color rgb="FFF54A45"/>
              <rFont val="Arial"/>
            </rPr>
            <t>0615 开发名下无bug，与测试确认4个没过的case的bug</t>
          </r>
        </is>
      </c>
      <c r="N61" s="139"/>
      <c r="O61" s="62">
        <f>P61/E61</f>
      </c>
      <c r="P61" s="28">
        <v>11</v>
      </c>
      <c r="Q61" s="16">
        <f>E61-P61</f>
      </c>
      <c r="T61" s="19">
        <v>11</v>
      </c>
      <c r="U61" s="48">
        <f>T61/E61</f>
      </c>
      <c r="V61" s="1">
        <v>0</v>
      </c>
      <c r="W61" s="11" t="str">
        <v>P1</v>
      </c>
      <c r="X61" s="53" t="str">
        <v>✅</v>
      </c>
      <c r="Y61" s="53" t="str">
        <v>04.30</v>
      </c>
      <c r="Z61" s="60"/>
      <c r="AA61" s="60"/>
      <c r="AB61" s="54">
        <f>AG61/AH61</f>
      </c>
      <c r="AC61" s="125">
        <v>11</v>
      </c>
      <c r="AD61" s="125">
        <v>1</v>
      </c>
      <c r="AE61" s="54">
        <f>AF61/AG61</f>
      </c>
      <c r="AF61" s="16">
        <f>COUNTIFS('地图导航'!P86:P97,"✅")</f>
      </c>
      <c r="AG61" s="16">
        <f>COUNTIFS('地图导航'!P86:P97,"✅")+COUNTIFS('地图导航'!P86:P97,"❌")+COUNTIFS('地图导航'!P86:P97,"block")</f>
      </c>
      <c r="AH61" s="19">
        <v>11</v>
      </c>
      <c r="AI61" s="57">
        <f>AF61</f>
      </c>
      <c r="AJ61" s="58">
        <f>AH61-AF61</f>
      </c>
      <c r="AK61" s="58">
        <f>AG61-AF61</f>
      </c>
      <c r="AL61" s="36" t="str">
        <v>字节-刘晓帝
FAIL
（基于研发自测进度 因为有些需要实车上路才可以测试属于Block项目）</v>
      </c>
      <c r="AM61" s="59" t="str">
        <v>https://bytedance.larkoffice.com/record/WxAlrhoJle2R0ccXVrlcafhjnsh</v>
      </c>
      <c r="AP61" s="14" t="str">
        <v>地图导航</v>
      </c>
      <c r="AQ61" s="2">
        <f>AH61-E61</f>
      </c>
      <c r="AR61" s="65" t="inlineStr">
        <is>
          <r>
            <t>@余明明</t>
          </r>
          <r>
            <t xml:space="preserve">进度表12个api接了11个，模块表里研发进展空着的api备注“FC不下发，走AI  Navi链路”是代表不用接这个api了吗？-对
</t>
          </r>
          <r>
            <t>@余明明</t>
          </r>
          <r>
            <t xml:space="preserve"> “0527.获取不到导航状态”下一步：等待更新高德应用，和服务端确认端状态</t>
          </r>
        </is>
      </c>
    </row>
    <row r="62" spans="1:44">
      <c r="A62" s="130"/>
      <c r="B62" s="14" t="str">
        <v>设置导航播报</v>
      </c>
      <c r="C62" s="12" t="str">
        <v>已完成</v>
      </c>
      <c r="D62" s="47">
        <v>14</v>
      </c>
      <c r="E62" s="47">
        <v>14</v>
      </c>
      <c r="F62" s="48">
        <f>G62/E62</f>
      </c>
      <c r="G62" s="49">
        <v>14</v>
      </c>
      <c r="H62" s="50">
        <f>E62-G62</f>
      </c>
      <c r="I62" s="142">
        <v>13</v>
      </c>
      <c r="J62" s="143">
        <f>I62/E62</f>
      </c>
      <c r="K62" s="79" t="inlineStr">
        <is>
          <r>
            <t>04.20:走系统导航静音接口，待上汽排查接口问题 -  DNA-405 问题推进修复</t>
          </r>
          <r>
            <t xml:space="preserve">
</t>
          </r>
          <r>
            <t>04.22:票已经到延峰手里，问题还在分析</t>
          </r>
          <r>
            <t xml:space="preserve">
</t>
          </r>
          <r>
            <t>04:25:上汽反馈延峰那边未回复</t>
          </r>
          <r>
            <t xml:space="preserve">
</t>
          </r>
          <r>
            <t>0518 导航播报模式还缺少智能模式</t>
          </r>
          <r>
            <t xml:space="preserve">
</t>
          </r>
          <r>
            <t xml:space="preserve">0529.381版本设置智能模式返回切换默认模式 </t>
          </r>
          <r>
            <t>@余明明</t>
          </r>
          <r>
            <t xml:space="preserve">
</t>
          </r>
          <r>
            <t>0602.黄林确认中</t>
          </r>
          <r>
            <t xml:space="preserve">
</t>
          </r>
          <r>
            <t>0602 车载地图版本400及以上验证可以实现</t>
          </r>
          <r>
            <t xml:space="preserve">
</t>
          </r>
          <r>
            <t>0615 开发名下无bug，与测试确认3个没过的case的bug</t>
          </r>
        </is>
      </c>
      <c r="N62" s="139"/>
      <c r="O62" s="62">
        <f>P62/E62</f>
      </c>
      <c r="P62" s="28">
        <v>12</v>
      </c>
      <c r="Q62" s="16">
        <f>E62-P62</f>
      </c>
      <c r="T62" s="19">
        <v>14</v>
      </c>
      <c r="U62" s="48">
        <f>T62/E62</f>
      </c>
      <c r="V62" s="11">
        <f>E62-T62</f>
      </c>
      <c r="W62" s="11" t="str">
        <v>P1</v>
      </c>
      <c r="X62" s="53" t="str">
        <v>✅</v>
      </c>
      <c r="Y62" s="53" t="str">
        <v>04.30</v>
      </c>
      <c r="Z62" s="60"/>
      <c r="AA62" s="60"/>
      <c r="AB62" s="54">
        <f>AG62/AH62</f>
      </c>
      <c r="AC62" s="125">
        <v>12</v>
      </c>
      <c r="AD62" s="125">
        <v>2</v>
      </c>
      <c r="AE62" s="54">
        <f>AF62/AG62</f>
      </c>
      <c r="AF62" s="16">
        <f>COUNTIFS('地图导航'!P98:P111,"✅")</f>
      </c>
      <c r="AG62" s="16">
        <f>COUNTIFS('地图导航'!P98:P111,"✅")+COUNTIFS('地图导航'!P98:P111,"❌")+COUNTIFS('地图导航'!P98:P111,"block")</f>
      </c>
      <c r="AH62" s="19">
        <v>13</v>
      </c>
      <c r="AI62" s="57">
        <f>AF62</f>
      </c>
      <c r="AJ62" s="58">
        <f>AH62-AF62</f>
      </c>
      <c r="AK62" s="58">
        <f>AG62-AF62</f>
      </c>
      <c r="AL62" s="36" t="str">
        <v>字节-刘晓帝
FAIL
（基于研发自测进度 block项目待研发与产品确认）</v>
      </c>
      <c r="AM62" s="59" t="str">
        <v>https://bytedance.larkoffice.com/record/Zz5BrgvShehzIHc7bOkcD6hvnUb
https://bytedance.larkoffice.com/record/Gn1IrBO4XeBcu9cpYaTci7FDnGb</v>
      </c>
      <c r="AP62" s="14" t="str">
        <v>地图导航</v>
      </c>
      <c r="AQ62" s="2">
        <f>AH62-E62</f>
      </c>
      <c r="AR62" s="65" t="inlineStr">
        <is>
          <r>
            <t>@余明明</t>
          </r>
          <r>
            <t xml:space="preserve"> 模块表104、105两个api是弋途0519加的，是否确认过？-确认了</t>
          </r>
        </is>
      </c>
    </row>
    <row r="63" spans="1:45">
      <c r="A63" s="130"/>
      <c r="B63" s="14" t="str">
        <v>查询行程信息</v>
      </c>
      <c r="C63" s="12" t="str">
        <v>【火山】待问题修复</v>
      </c>
      <c r="D63" s="47">
        <v>8</v>
      </c>
      <c r="E63" s="47">
        <v>8</v>
      </c>
      <c r="F63" s="48">
        <f>G63/E63</f>
      </c>
      <c r="G63" s="49">
        <v>8</v>
      </c>
      <c r="H63" s="144">
        <f>E63-G63</f>
      </c>
      <c r="I63" s="145">
        <v>8</v>
      </c>
      <c r="J63" s="146">
        <f>I63/E63</f>
      </c>
      <c r="K63" s="147" t="str">
        <v>04.20:地图方人员晚上会将新版本合入主线，待明天刷机后测试
04.21:导航端状态需要0424版本才能确认支持
04.21:刷机版本为DNA分支不是主线版本，已经找地图方人员要最新高德版本进行手动安装测试 
04.22:已通知张锐老师，后续高德版本回合入DNA分支
04.23:下午已拿到最新版地图，待验证功能
04.24：待字节验证
04.27:等待上汽给出新版本进行验证
04.28:新版本以合入，待验证
0507、5.9:使用端状态表中提供的接口重新接入，待自测；
5.18 上汽：接口还有问题
5.18 端状态不支持
0529 接口剩余电量的字段没值，导航没有定义限速上报端状态
0527:弋途韩天亮会找产品思晴确认没有定义的内容是否需要支持；
0601 114、115与韩天亮沟通，他说之前找过上汽，上汽不确认是否有接口，已让韩天亮尽快找上汽确认/ 117、118 陈果果已提bug单（bug单号）https://bytedance.larkoffice.com/record/U9DFrKvWsesAXdc0rgScEWeAnih?ccm_open_type=record_message&amp;open_in_browser=true
0603 韩天亮说拥堵的还需要与上汽确认，限速的限速的信息接口有，端状态会加这个信号，但没反馈预计完成时间
0604 与天亮确认，他已与吴仁杰沟通，吴仁杰会加对应端状态解决“限速查询”功能的接口问题
0613 地图417版本接口没回调，上汽已提供新地图版本，需安装后确认版本号并进行验证
0615 地图466版本测试ok，在254车有电量返回了</v>
      </c>
      <c r="N63" s="139"/>
      <c r="O63" s="148">
        <f>P63/E63</f>
      </c>
      <c r="P63" s="149">
        <v>8</v>
      </c>
      <c r="Q63" s="150">
        <f>E63-P63</f>
      </c>
      <c r="T63" s="19">
        <v>8</v>
      </c>
      <c r="U63" s="48">
        <f>T63/E63</f>
      </c>
      <c r="V63" s="11">
        <f>E63-T63</f>
      </c>
      <c r="W63" s="14" t="str">
        <v>P1</v>
      </c>
      <c r="X63" s="73" t="str">
        <v>✅</v>
      </c>
      <c r="Y63" s="53" t="str">
        <v>04.30</v>
      </c>
      <c r="Z63" s="60"/>
      <c r="AA63" s="60"/>
      <c r="AB63" s="54">
        <f>AG63/AH63</f>
      </c>
      <c r="AC63" s="151">
        <v>5</v>
      </c>
      <c r="AD63" s="152">
        <f>E63-AC63</f>
      </c>
      <c r="AE63" s="54">
        <f>AF63/AG63</f>
      </c>
      <c r="AF63" s="16">
        <f>COUNTIFS('地图导航'!P112:P119,"✅")</f>
      </c>
      <c r="AG63" s="16">
        <f>COUNTIFS('地图导航'!P112:P119,"✅")+COUNTIFS('地图导航'!P112:P119,"❌")+COUNTIFS('地图导航'!P112:P119,"block")</f>
      </c>
      <c r="AH63" s="19">
        <v>8</v>
      </c>
      <c r="AI63" s="57">
        <f>AF63</f>
      </c>
      <c r="AJ63" s="58">
        <f>AH63-AF63</f>
      </c>
      <c r="AK63" s="58">
        <f>AG63-AF63</f>
      </c>
      <c r="AL63" s="36" t="str">
        <v>字节-郑永超
</v>
      </c>
      <c r="AP63" s="14" t="str">
        <v>地图导航</v>
      </c>
      <c r="AQ63" s="2">
        <f>AH63-E63</f>
      </c>
      <c r="AR63" s="153" t="inlineStr">
        <is>
          <r>
            <t>@余明明</t>
          </r>
          <r>
            <t>进度表总共8个api接了5个，但模块表里8个都备注接口有问题，请确认并更新-已更新</t>
          </r>
        </is>
      </c>
      <c r="AS63" s="99">
        <v>1</v>
      </c>
    </row>
    <row r="64" spans="1:44">
      <c r="A64" s="130"/>
      <c r="B64" s="14" t="str">
        <v>查询路况</v>
      </c>
      <c r="C64" s="137" t="str">
        <v>已完成</v>
      </c>
      <c r="D64" s="47">
        <v>6</v>
      </c>
      <c r="E64" s="47">
        <v>6</v>
      </c>
      <c r="F64" s="48">
        <f>G64/E64</f>
      </c>
      <c r="G64" s="49">
        <v>6</v>
      </c>
      <c r="H64" s="50">
        <f>E64-G64</f>
      </c>
      <c r="I64" s="154">
        <v>2</v>
      </c>
      <c r="J64" s="155">
        <f>I64/E64</f>
      </c>
      <c r="K64" s="79" t="str">
        <v>04.20:地图方人员晚上会将新版本合入主线，待明天刷机后测试
04.21:刷机版本为DNA分支不是主线版本，已经找地图方人员要最新高德版本进行手动安装测试 
04.22:已通知张锐老师，后续高德版本回合入DNA分支
04.23:下午已拿到最新版地图，待验证功能
04.24：待字节验证
04.27:待上汽那边给新版本进行验证
04.28:新版本以合入，待验证
0507、5.9:使用端状态表中提供的接口重新接入，待自测
5.18 上汽：接口还有问题
5.18 端状态不支持
0526 拥堵状态的接口不返回，端状态定义只上报拥堵状态  需产品确认
0527.HMI上有变化；接口返回执行失败;handleSpeechControlMap speechProcessResultBean=null
0601 121、122、123、124与韩天亮沟通，他说之前找过上汽，上汽不确认是否有接口，已让韩天亮尽快找上汽确认/0604 与韩天亮确认进度，韩天亮称还需要与吴仁杰一起找上汽产品确认业务逻辑，暂无法确认预计时间 
0608 韩天亮还未与上汽沟通拥堵的问题
0613 地图417版本接口没回调，新版本待确认
0615 明明需要与上汽确认“查询到目的地剩余续航/剩余里程”api的接口返回值有问题
0615 地图466版本，当前路段拥堵不返回了，前方路段拥堵【距离拥堵路段距离】值一直为0
0622 接口修复的包还未提供
0624 上汽黄林反馈今日给包
0629 上汽给包了，但是验证失败 
0706 jira bug已关闭，明明验一下
0707 明明反馈上汽还没给包/已让张淳问黄林进展
0708 还未联系上黄林</v>
      </c>
      <c r="N64" s="156"/>
      <c r="O64" s="62">
        <f>P64/E64</f>
      </c>
      <c r="P64" s="28">
        <v>6</v>
      </c>
      <c r="Q64" s="16">
        <f>E64-P64</f>
      </c>
      <c r="T64" s="19">
        <v>6</v>
      </c>
      <c r="U64" s="48">
        <f>T64/E64</f>
      </c>
      <c r="V64" s="11">
        <f>E64-T64</f>
      </c>
      <c r="W64" s="11" t="str">
        <v>P1</v>
      </c>
      <c r="X64" s="53" t="str">
        <v>✅</v>
      </c>
      <c r="Y64" s="53" t="str">
        <v>04.30</v>
      </c>
      <c r="Z64" s="60"/>
      <c r="AA64" s="60"/>
      <c r="AB64" s="54">
        <f>AG64/AH64</f>
      </c>
      <c r="AC64" s="125">
        <v>2</v>
      </c>
      <c r="AD64" s="55">
        <f>E64-AC64</f>
      </c>
      <c r="AE64" s="54">
        <f>AF64/AG64</f>
      </c>
      <c r="AF64" s="16">
        <f>COUNTIFS('地图导航'!P120:P125,"✅")</f>
      </c>
      <c r="AG64" s="16">
        <f>COUNTIFS('地图导航'!P120:P125,"✅")+COUNTIFS('地图导航'!P120:P125,"❌")+COUNTIFS('地图导航'!P120:P125,"block")</f>
      </c>
      <c r="AH64" s="142">
        <v>6</v>
      </c>
      <c r="AI64" s="57">
        <f>AF64</f>
      </c>
      <c r="AJ64" s="58">
        <f>AH64-AF64</f>
      </c>
      <c r="AK64" s="58">
        <f>AG64-AF64</f>
      </c>
      <c r="AL64" s="36" t="str">
        <v>字节-刘晓帝
</v>
      </c>
      <c r="AP64" s="14" t="str">
        <v>地图导航</v>
      </c>
      <c r="AQ64" s="2">
        <f>AH64-E64</f>
      </c>
      <c r="AR64" s="65" t="inlineStr">
        <is>
          <r>
            <t>@余明明</t>
          </r>
          <r>
            <t xml:space="preserve">模块表里研发进展4条空着，原因是“0526 拥堵状态的接口不返回，端状态定义只上报拥堵状态”这个吗？下一步是什么，请注明-找产品确认
</t>
          </r>
          <r>
            <t>@刘晓帝</t>
          </r>
          <r>
            <t xml:space="preserve"> 模块表已接的2个api测试进展✅，但是进度表测试数据是空，请确认并更新-已完成</t>
          </r>
        </is>
      </c>
    </row>
    <row r="65" spans="1:43">
      <c r="A65" s="136"/>
      <c r="B65" s="31" t="str">
        <v>设置路线偏好</v>
      </c>
      <c r="C65" s="12" t="str">
        <v>已完成</v>
      </c>
      <c r="D65" s="47">
        <v>8</v>
      </c>
      <c r="E65" s="47">
        <v>8</v>
      </c>
      <c r="F65" s="48">
        <f>G65/E65</f>
      </c>
      <c r="G65" s="49">
        <v>8</v>
      </c>
      <c r="H65" s="50">
        <f>E65-G65</f>
      </c>
      <c r="I65" s="19">
        <v>8</v>
      </c>
      <c r="J65" s="54">
        <f>I65/E65</f>
      </c>
      <c r="K65" s="51" t="str">
        <v>0529.走AINavi了没下发，就少收费还会调下车控
0602.偶尔走AINavi</v>
      </c>
      <c r="O65" s="48">
        <f>P65/E65</f>
      </c>
      <c r="P65" s="28">
        <v>8</v>
      </c>
      <c r="Q65" s="16">
        <f>E65-P65</f>
      </c>
      <c r="T65" s="19">
        <v>8</v>
      </c>
      <c r="U65" s="48">
        <f>T65/E65</f>
      </c>
      <c r="V65" s="11">
        <f>E65-T65</f>
      </c>
      <c r="W65" s="11" t="str">
        <v>P1</v>
      </c>
      <c r="X65" s="53" t="str">
        <v>✅</v>
      </c>
      <c r="Z65" s="110"/>
      <c r="AA65" s="110"/>
      <c r="AB65" s="54">
        <f>AG65/AH65</f>
      </c>
      <c r="AC65" s="125">
        <v>8</v>
      </c>
      <c r="AD65" s="55">
        <f>E65-AC65</f>
      </c>
      <c r="AE65" s="54">
        <f>AF65/AG65</f>
      </c>
      <c r="AF65" s="16">
        <f>COUNTIFS('地图导航'!P126:P133,"✅")</f>
      </c>
      <c r="AG65" s="16">
        <f>COUNTIFS('地图导航'!P126:P133,"✅")+COUNTIFS('地图导航'!P126:P133,"❌")+COUNTIFS('地图导航'!P126:P133,"block")</f>
      </c>
      <c r="AH65" s="19">
        <v>8</v>
      </c>
      <c r="AI65" s="58">
        <f>AF65</f>
      </c>
      <c r="AJ65" s="119">
        <f>AH65-AF65</f>
      </c>
      <c r="AK65" s="58">
        <f>AG65-AF65</f>
      </c>
      <c r="AL65" s="36" t="str">
        <v>字节-郑永超
</v>
      </c>
      <c r="AP65" s="14" t="str">
        <v>地图导航</v>
      </c>
      <c r="AQ65" s="2">
        <f>AH65-E65</f>
      </c>
    </row>
    <row r="66" spans="1:43">
      <c r="A66" s="46" t="str">
        <v>手车互联</v>
      </c>
      <c r="B66" s="15" t="str">
        <v>支付</v>
      </c>
      <c r="C66" s="157" t="str">
        <v>【火山】待开发</v>
      </c>
      <c r="D66" s="47">
        <v>4</v>
      </c>
      <c r="E66" s="47">
        <v>4</v>
      </c>
      <c r="F66" s="48">
        <f>G66/E66</f>
      </c>
      <c r="G66" s="49">
        <v>4</v>
      </c>
      <c r="H66" s="50">
        <f>E66-G66</f>
      </c>
      <c r="I66" s="1">
        <v>0</v>
      </c>
      <c r="J66" s="54">
        <f>I66/E66</f>
      </c>
      <c r="K66" s="81" t="str">
        <v>alex演示之后再做</v>
      </c>
      <c r="L66" s="1"/>
      <c r="M66" s="1"/>
      <c r="O66" s="48">
        <f>P66/E66</f>
      </c>
      <c r="P66" s="1">
        <v>0</v>
      </c>
      <c r="Q66" s="16">
        <f>E66-P66</f>
      </c>
      <c r="U66" s="48">
        <f>T66/E66</f>
      </c>
      <c r="V66" s="11">
        <f>E66-T66</f>
      </c>
      <c r="Y66" s="53" t="inlineStr">
        <is>
          <r>
            <t>04.30 没有豆包话术，功能似乎有变更，等待</t>
          </r>
          <r>
            <t>@左晨</t>
          </r>
          <r>
            <t>通知</t>
          </r>
        </is>
      </c>
      <c r="Z66" s="11" t="inlineStr">
        <is>
          <r>
            <t>@余明明</t>
          </r>
        </is>
      </c>
      <c r="AA66" s="16" t="inlineStr">
        <is>
          <r>
            <t>@高宇新</t>
          </r>
        </is>
      </c>
      <c r="AB66" s="54">
        <f>AG66/AH66</f>
      </c>
      <c r="AC66" s="1">
        <v>0</v>
      </c>
      <c r="AD66" s="55">
        <f>E66-AC66</f>
      </c>
      <c r="AE66" s="54">
        <f>AF66/AG66</f>
      </c>
      <c r="AI66" s="121">
        <f>AF66</f>
      </c>
      <c r="AJ66" s="58">
        <f>AH66-AF66</f>
      </c>
      <c r="AK66" s="58">
        <f>AG66-AF66</f>
      </c>
      <c r="AL66" s="36" t="str">
        <v>字节-刘晓帝
</v>
      </c>
      <c r="AP66" s="11" t="str">
        <v>手车互联</v>
      </c>
      <c r="AQ66" s="2">
        <f>AH66-E66</f>
      </c>
    </row>
    <row r="67" spans="1:43">
      <c r="A67" s="60"/>
      <c r="B67" s="15" t="str">
        <v>小红书</v>
      </c>
      <c r="C67" s="158"/>
      <c r="D67" s="47">
        <v>2</v>
      </c>
      <c r="E67" s="47">
        <v>2</v>
      </c>
      <c r="F67" s="48">
        <f>G67/E67</f>
      </c>
      <c r="G67" s="49">
        <v>2</v>
      </c>
      <c r="H67" s="50">
        <f>E67-G67</f>
      </c>
      <c r="I67" s="1">
        <v>0</v>
      </c>
      <c r="J67" s="54">
        <f>I67/E67</f>
      </c>
      <c r="K67" s="81" t="str">
        <v>alex演示之后再做</v>
      </c>
      <c r="L67" s="1"/>
      <c r="M67" s="1"/>
      <c r="O67" s="48">
        <f>P67/E67</f>
      </c>
      <c r="P67" s="1">
        <v>0</v>
      </c>
      <c r="Q67" s="16">
        <f>E67-P67</f>
      </c>
      <c r="U67" s="48">
        <f>T67/E67</f>
      </c>
      <c r="V67" s="11">
        <f>E67-T67</f>
      </c>
      <c r="Y67" s="159" t="inlineStr">
        <is>
          <r>
            <rPr>
              <sz val="10"/>
              <color rgb="FF000000"/>
              <rFont val="Arial"/>
            </rPr>
            <t>04.30 没有豆包话术，功能似乎有变更，等待</t>
          </r>
          <r>
            <t>@左晨</t>
          </r>
          <r>
            <rPr>
              <sz val="10"/>
              <color rgb="FF000000"/>
              <rFont val="Arial"/>
            </rPr>
            <t>通知</t>
          </r>
        </is>
      </c>
      <c r="Z67" s="11" t="inlineStr">
        <is>
          <r>
            <t>@余明明</t>
          </r>
        </is>
      </c>
      <c r="AA67" s="16" t="inlineStr">
        <is>
          <r>
            <t>@高宇新</t>
          </r>
        </is>
      </c>
      <c r="AB67" s="54">
        <f>AG67/AH67</f>
      </c>
      <c r="AC67" s="1">
        <v>0</v>
      </c>
      <c r="AD67" s="55">
        <f>E67-AC67</f>
      </c>
      <c r="AE67" s="54">
        <f>AF67/AG67</f>
      </c>
      <c r="AI67" s="57">
        <f>AF67</f>
      </c>
      <c r="AJ67" s="58">
        <f>AH67-AF67</f>
      </c>
      <c r="AK67" s="58">
        <f>AG67-AF67</f>
      </c>
      <c r="AL67" s="36" t="str">
        <v>字节-刘晓帝
</v>
      </c>
      <c r="AP67" s="11" t="str">
        <v>手车互联</v>
      </c>
      <c r="AQ67" s="2">
        <f>AH67-E67</f>
      </c>
    </row>
    <row r="68" spans="1:43">
      <c r="A68" s="110"/>
      <c r="B68" s="32" t="str">
        <v>点外卖</v>
      </c>
      <c r="C68" s="160"/>
      <c r="D68" s="47">
        <v>2</v>
      </c>
      <c r="E68" s="47">
        <v>2</v>
      </c>
      <c r="F68" s="48">
        <f>G68/E68</f>
      </c>
      <c r="G68" s="161">
        <v>2</v>
      </c>
      <c r="H68" s="50">
        <f>E68-G68</f>
      </c>
      <c r="I68" s="1">
        <v>0</v>
      </c>
      <c r="J68" s="54">
        <f>I68/E68</f>
      </c>
      <c r="K68" s="81" t="str">
        <v>alex演示之后再做</v>
      </c>
      <c r="L68" s="1"/>
      <c r="M68" s="1"/>
      <c r="O68" s="48">
        <f>P68/E68</f>
      </c>
      <c r="P68" s="1">
        <v>0</v>
      </c>
      <c r="Q68" s="16">
        <f>E68-P68</f>
      </c>
      <c r="U68" s="48">
        <f>T68/E68</f>
      </c>
      <c r="V68" s="11">
        <f>E68-T68</f>
      </c>
      <c r="Y68" s="159" t="inlineStr">
        <is>
          <r>
            <rPr>
              <sz val="10"/>
              <color rgb="FF000000"/>
              <rFont val="Arial"/>
            </rPr>
            <t>04.30 没有豆包话术，功能似乎有变更，等待</t>
          </r>
          <r>
            <t>@左晨</t>
          </r>
          <r>
            <rPr>
              <sz val="10"/>
              <color rgb="FF000000"/>
              <rFont val="Arial"/>
            </rPr>
            <t>通知</t>
          </r>
        </is>
      </c>
      <c r="Z68" s="11" t="inlineStr">
        <is>
          <r>
            <t>@余明明</t>
          </r>
        </is>
      </c>
      <c r="AA68" s="16" t="inlineStr">
        <is>
          <r>
            <t>@高宇新</t>
          </r>
        </is>
      </c>
      <c r="AB68" s="54">
        <f>AG68/AH68</f>
      </c>
      <c r="AC68" s="1">
        <v>0</v>
      </c>
      <c r="AD68" s="55">
        <f>E68-AC68</f>
      </c>
      <c r="AE68" s="54">
        <f>AF68/AG68</f>
      </c>
      <c r="AI68" s="57">
        <f>AF68</f>
      </c>
      <c r="AJ68" s="58">
        <f>AH68-AF68</f>
      </c>
      <c r="AK68" s="58">
        <f>AG68-AF68</f>
      </c>
      <c r="AL68" s="36" t="str">
        <v>字节-刘晓帝
</v>
      </c>
      <c r="AP68" s="11" t="str">
        <v>手车互联</v>
      </c>
      <c r="AQ68" s="2">
        <f>AH68-E68</f>
      </c>
    </row>
    <row r="69" spans="1:44">
      <c r="A69" s="46" t="str">
        <v>通用</v>
      </c>
      <c r="B69" s="14" t="str">
        <v>应用控制</v>
      </c>
      <c r="C69" s="12" t="str">
        <v>【火山】待问题修复</v>
      </c>
      <c r="D69" s="49">
        <v>2</v>
      </c>
      <c r="E69" s="49">
        <v>2</v>
      </c>
      <c r="F69" s="48">
        <f>G69/E69</f>
      </c>
      <c r="G69" s="49">
        <v>2</v>
      </c>
      <c r="H69" s="50">
        <f>E69-G69</f>
      </c>
      <c r="I69" s="19">
        <v>2</v>
      </c>
      <c r="J69" s="48">
        <f>I69/E69</f>
      </c>
      <c r="K69" s="81" t="str">
        <v>0615、0622 开发都提测了，且名下无bug，与测试对齐bug</v>
      </c>
      <c r="O69" s="48">
        <f>P69/E69</f>
      </c>
      <c r="P69" s="1">
        <v>0</v>
      </c>
      <c r="Q69" s="16">
        <f>E69-P69</f>
      </c>
      <c r="T69" s="19">
        <v>2</v>
      </c>
      <c r="U69" s="48">
        <f>T69/E69</f>
      </c>
      <c r="V69" s="11">
        <f>E69-T69</f>
      </c>
      <c r="Y69" s="162">
        <v>46149</v>
      </c>
      <c r="Z69" s="16" t="inlineStr">
        <is>
          <r>
            <t>@樊晓天</t>
          </r>
        </is>
      </c>
      <c r="AA69" s="16" t="inlineStr">
        <is>
          <r>
            <t>@高宇新</t>
          </r>
        </is>
      </c>
      <c r="AB69" s="54">
        <f>AG69/AH69</f>
      </c>
      <c r="AC69" s="125">
        <v>2</v>
      </c>
      <c r="AD69" s="55">
        <f>E69-AC69</f>
      </c>
      <c r="AE69" s="54">
        <f>AF69/AG69</f>
      </c>
      <c r="AF69" s="16">
        <f>COUNTIFS('通用'!N2:N3,"✅")</f>
      </c>
      <c r="AG69" s="16">
        <f>COUNTIFS('通用'!N2:N3,"✅")+COUNTIFS('通用'!N2:N3,"❌")+COUNTIFS('通用'!N2:N3,"block")</f>
      </c>
      <c r="AH69" s="19">
        <v>2</v>
      </c>
      <c r="AI69" s="57">
        <f>AF69</f>
      </c>
      <c r="AJ69" s="58">
        <f>AH69-AF69</f>
      </c>
      <c r="AK69" s="58">
        <f>AG69-AF69</f>
      </c>
      <c r="AL69" s="36" t="str">
        <v>字节-郑永超
FAIL</v>
      </c>
      <c r="AM69" s="59" t="str">
        <v>https://bytedance.larkoffice.com/record/KutVrwSOce2H6ecfG10c1jQWn0f
https://bytedance.larkoffice.com/record/J0hLr5ER9eUKbacJJAicgsx3nXg
https://bytedance.larkoffice.com/record/VEh4rM8AEeqzGNcvuwQcGSW7nmf</v>
      </c>
      <c r="AP69" s="11" t="str">
        <v>通用</v>
      </c>
      <c r="AQ69" s="2">
        <f>AH69-E69</f>
      </c>
      <c r="AR69" s="65" t="inlineStr">
        <is>
          <r>
            <t>@郑永超</t>
          </r>
          <r>
            <t xml:space="preserve"> 已提测，请更新进度表里的测试数据-已完成</t>
          </r>
        </is>
      </c>
    </row>
    <row r="70" spans="1:43">
      <c r="A70" s="110"/>
      <c r="B70" s="14" t="str">
        <v>页面控制</v>
      </c>
      <c r="C70" s="12" t="str">
        <v>已完成</v>
      </c>
      <c r="D70" s="49">
        <v>1</v>
      </c>
      <c r="E70" s="49">
        <v>1</v>
      </c>
      <c r="F70" s="48">
        <f>G70/E70</f>
      </c>
      <c r="G70" s="49">
        <v>1</v>
      </c>
      <c r="H70" s="50">
        <f>E70-G70</f>
      </c>
      <c r="I70" s="19">
        <v>1</v>
      </c>
      <c r="J70" s="48">
        <f>I70/E70</f>
      </c>
      <c r="O70" s="48">
        <f>P70/E70</f>
      </c>
      <c r="P70" s="1">
        <v>0</v>
      </c>
      <c r="Q70" s="16">
        <f>E70-P70</f>
      </c>
      <c r="T70" s="19">
        <v>1</v>
      </c>
      <c r="U70" s="48">
        <f>T70/E70</f>
      </c>
      <c r="V70" s="11">
        <f>E70-T70</f>
      </c>
      <c r="Y70" s="162">
        <v>46155</v>
      </c>
      <c r="Z70" s="16" t="inlineStr">
        <is>
          <r>
            <t>@高宇新</t>
          </r>
        </is>
      </c>
      <c r="AA70" s="16" t="inlineStr">
        <is>
          <r>
            <t>@高宇新</t>
          </r>
        </is>
      </c>
      <c r="AB70" s="54">
        <f>AG70/AH70</f>
      </c>
      <c r="AC70" s="1">
        <v>0</v>
      </c>
      <c r="AD70" s="55">
        <f>E70-AC70</f>
      </c>
      <c r="AE70" s="54">
        <f>AF70/AG70</f>
      </c>
      <c r="AF70" s="16">
        <f>COUNTIFS('通用'!N4,"✅")</f>
      </c>
      <c r="AG70" s="16">
        <f>COUNTIFS('通用'!N4,"✅")+COUNTIFS('通用'!N4,"❌")+COUNTIFS('通用'!N4,"block")</f>
      </c>
      <c r="AH70" s="19">
        <v>1</v>
      </c>
      <c r="AI70" s="57">
        <f>AF70</f>
      </c>
      <c r="AJ70" s="58">
        <f>AH70-AF70</f>
      </c>
      <c r="AK70" s="58">
        <f>AG70-AF70</f>
      </c>
      <c r="AL70" s="36" t="str">
        <v>字节-郑永超
</v>
      </c>
      <c r="AP70" s="11" t="str">
        <v>通用</v>
      </c>
      <c r="AQ70" s="2">
        <f>AH70-E70</f>
      </c>
    </row>
    <row r="72" spans="43:43">
      <c r="AQ72" s="2">
        <f>COUNTIF(AQ2:AQ70,"&lt;&gt;0")</f>
      </c>
    </row>
    <row r="73" spans="43:43">
      <c r="AQ73" s="2">
        <f>COUNTIF(AQ2:AQ70,"&gt;0")</f>
      </c>
    </row>
    <row r="74" spans="43:43">
      <c r="AQ74" s="2">
        <f>COUNTIF(AQ2:AQ70,"&lt;0")</f>
      </c>
    </row>
    <row r="192" spans="2:2">
      <c r="B192" s="2" t="str">
        <v>火山</v>
      </c>
    </row>
  </sheetData>
  <mergeCells count="16">
    <mergeCell ref="A2:A25"/>
    <mergeCell ref="A26:A41"/>
    <mergeCell ref="A42:A43"/>
    <mergeCell ref="A44:A45"/>
    <mergeCell ref="AM46:AM54"/>
    <mergeCell ref="AA46:AA54"/>
    <mergeCell ref="A46:A54"/>
    <mergeCell ref="Z55:Z65"/>
    <mergeCell ref="AA55:AA65"/>
    <mergeCell ref="N55:N64"/>
    <mergeCell ref="A55:A65"/>
    <mergeCell ref="C66:C68"/>
    <mergeCell ref="M66:M68"/>
    <mergeCell ref="A66:A68"/>
    <mergeCell ref="L66:L68"/>
    <mergeCell ref="A69:A70"/>
  </mergeCells>
  <hyperlinks>
    <hyperlink ref="AM2" r:id="rId1"/>
    <hyperlink ref="K3" r:id="rId2"/>
    <hyperlink ref="AM3" r:id="rId3"/>
    <hyperlink ref="AM4" r:id="rId4"/>
    <hyperlink ref="AM5" r:id="rId5"/>
    <hyperlink ref="M6" r:id="rId6"/>
    <hyperlink ref="K8" r:id="rId7"/>
    <hyperlink ref="AM8" r:id="rId8"/>
    <hyperlink ref="AM9" r:id="rId9"/>
    <hyperlink ref="AM10" r:id="rId10"/>
    <hyperlink ref="AM11" r:id="rId11"/>
    <hyperlink ref="AM12" r:id="rId12"/>
    <hyperlink ref="N14" r:id="rId13"/>
    <hyperlink ref="AM14" r:id="rId14"/>
    <hyperlink ref="K15" r:id="rId15"/>
    <hyperlink ref="AM15" r:id="rId16"/>
    <hyperlink ref="AM16" r:id="rId17"/>
    <hyperlink ref="AM17" r:id="rId18"/>
    <hyperlink ref="AM19" r:id="rId19"/>
    <hyperlink ref="N20" r:id="rId20"/>
    <hyperlink ref="AM20" r:id="rId21"/>
    <hyperlink ref="AM21" r:id="rId22"/>
    <hyperlink ref="AM22" r:id="rId23"/>
    <hyperlink ref="M24" r:id="rId24"/>
    <hyperlink ref="AM24" r:id="rId25"/>
    <hyperlink ref="M26" r:id="rId26"/>
    <hyperlink ref="N26" r:id="rId27"/>
    <hyperlink ref="AM26" r:id="rId28"/>
    <hyperlink ref="AM28" r:id="rId29"/>
    <hyperlink ref="AM29" r:id="rId30"/>
    <hyperlink ref="AM30" r:id="rId31"/>
    <hyperlink ref="AM32" r:id="rId32"/>
    <hyperlink ref="AM33" r:id="rId33"/>
    <hyperlink ref="K36" r:id="rId34"/>
    <hyperlink ref="M39" r:id="rId35"/>
    <hyperlink ref="AM41" r:id="rId36"/>
    <hyperlink ref="AM42" r:id="rId37"/>
    <hyperlink ref="M44" r:id="rId38"/>
    <hyperlink ref="M45" r:id="rId39"/>
    <hyperlink ref="AM46" r:id="rId40"/>
    <hyperlink ref="N55" r:id="rId41"/>
    <hyperlink ref="K56" r:id="rId42"/>
    <hyperlink ref="AM56" r:id="rId43"/>
    <hyperlink ref="K57" r:id="rId44"/>
    <hyperlink ref="AM57" r:id="rId45"/>
    <hyperlink ref="AM58" r:id="rId46"/>
    <hyperlink ref="AM60" r:id="rId47"/>
    <hyperlink ref="AM61" r:id="rId48"/>
    <hyperlink ref="AM62" r:id="rId49"/>
    <hyperlink ref="K63" r:id="rId50"/>
    <hyperlink ref="AM69" r:id="rId51"/>
  </hyperlinks>
  <pageMargins left="0.7" right="0.7" top="0.75" bottom="0.75" header="0.3" footer="0.3"/>
  <pageSetup orientation="portrait"/>
  <drawing r:id="rId5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7.99465954606142" style="1" customWidth="1"/>
    <col min="2" max="2" width="15.857142857142858" style="1" customWidth="1"/>
    <col min="3" max="3" width="33.857142857142854" style="1" customWidth="1"/>
    <col min="4" max="4" width="7.428571428571429" style="1" customWidth="1"/>
    <col min="5" max="5" width="30" style="1" customWidth="1"/>
    <col min="6" max="6" width="14.714285714285714" style="1" customWidth="1"/>
    <col min="7" max="7" width="32.857142857142854" style="1" customWidth="1"/>
    <col min="8" max="8" width="26.642853107125784" style="1" customWidth="1"/>
    <col min="9" max="9" width="11.738121641146742" style="1" customWidth="1"/>
    <col min="10" max="10" width="53.12698117093006" style="1" customWidth="1"/>
    <col min="11" max="11" width="29.93292683595192" style="1" customWidth="1"/>
    <col min="12" max="12" width="20.142857142857142" style="1" customWidth="1"/>
    <col min="13" max="13" width="24.571428571428573" style="1" customWidth="1"/>
    <col min="14" max="14" width="21.571428571428573" style="1" customWidth="1"/>
    <col min="15" max="15" width="24.03075488744792" style="1" customWidth="1"/>
    <col min="16" max="16" width="22.999999499746732" style="1" customWidth="1"/>
    <col min="17" max="17" width="23.285714285714285" style="1" customWidth="1"/>
    <col min="18" max="19" width="19.428571428571427" style="1" customWidth="1"/>
    <col min="20" max="26" width="23.285714285714285" style="1" customWidth="1"/>
    <col min="27" max="27" width="23.11470795214544" style="1" customWidth="1"/>
    <col min="28" max="28" width="17.285714285714285" style="1" customWidth="1"/>
    <col min="29" max="29" width="25.91596638654963" style="1" customWidth="1"/>
    <col min="30" max="30" width="21.018541131621923" style="1" customWidth="1"/>
    <col min="31" max="31" width="58.2040836016242" style="1" customWidth="1"/>
    <col min="32" max="38" width="15" style="1" customWidth="1"/>
  </cols>
  <sheetData>
    <row r="1" spans="2:34">
      <c r="B1" s="163" t="str">
        <v>一级功能名称</v>
      </c>
      <c r="C1" s="163" t="str">
        <v>二级功能名称</v>
      </c>
      <c r="D1" s="163" t="str">
        <v>优先级</v>
      </c>
      <c r="E1" s="163" t="str">
        <v>语音指令示例</v>
      </c>
      <c r="F1" s="164" t="inlineStr">
        <is>
          <r>
            <t>上汽接口是否支持</t>
          </r>
          <r>
            <t>@周怀君</t>
          </r>
        </is>
      </c>
      <c r="G1" s="164" t="str">
        <v>上汽排期</v>
      </c>
      <c r="H1" s="163" t="inlineStr">
        <is>
          <r>
            <t>EP实车状态</t>
          </r>
          <r>
            <t>@方令平</t>
          </r>
        </is>
      </c>
      <c r="I1" s="163" t="inlineStr">
        <is>
          <r>
            <t>PPV1实车状态</t>
          </r>
          <r>
            <t>@方令平</t>
          </r>
        </is>
      </c>
      <c r="J1" s="163" t="inlineStr">
        <is>
          <r>
            <t>FC函数</t>
          </r>
          <r>
            <t>@左晨</t>
          </r>
        </is>
      </c>
      <c r="K1" s="163" t="inlineStr">
        <is>
          <r>
            <t xml:space="preserve">控制PRD </t>
          </r>
          <r>
            <t>@左晨</t>
          </r>
        </is>
      </c>
      <c r="L1" s="163" t="inlineStr">
        <is>
          <r>
            <t xml:space="preserve">端状态PRD </t>
          </r>
          <r>
            <t>@陈西钺</t>
          </r>
        </is>
      </c>
      <c r="M1" s="163" t="inlineStr">
        <is>
          <r>
            <t>接口识别</t>
          </r>
          <r>
            <t>@汪帅</t>
          </r>
        </is>
      </c>
      <c r="N1" s="163" t="inlineStr">
        <is>
          <r>
            <t>字节研发进展</t>
          </r>
          <r>
            <t>@汪帅</t>
          </r>
        </is>
      </c>
      <c r="O1" s="163" t="inlineStr">
        <is>
          <r>
            <t>研发备注</t>
          </r>
          <r>
            <t>@汪帅</t>
          </r>
        </is>
      </c>
      <c r="P1" s="163" t="inlineStr">
        <is>
          <r>
            <t xml:space="preserve">测试用例 </t>
          </r>
          <r>
            <t>@赵晓健</t>
          </r>
        </is>
      </c>
      <c r="Q1" s="163" t="inlineStr">
        <is>
          <r>
            <t>测试进展</t>
          </r>
          <r>
            <t>@赵晓健</t>
          </r>
        </is>
      </c>
      <c r="R1" s="163" t="str">
        <v>0428测试结果</v>
      </c>
      <c r="S1" s="163" t="str">
        <v>0519测试结果</v>
      </c>
      <c r="T1" s="163" t="str">
        <v>0605测试结果</v>
      </c>
      <c r="U1" s="163" t="str">
        <v>0612测试结果</v>
      </c>
      <c r="V1" s="163" t="str">
        <v>0627测试结果</v>
      </c>
      <c r="W1" s="163" t="str">
        <v>0710测试结果</v>
      </c>
      <c r="X1" s="163" t="str">
        <v>0717测试结果</v>
      </c>
      <c r="Y1" s="163" t="str">
        <v>0722冲刺测试结果</v>
      </c>
      <c r="Z1" s="163" t="str">
        <v>测试QA</v>
      </c>
      <c r="AA1" s="163" t="inlineStr">
        <is>
          <r>
            <t xml:space="preserve">产品走查进展 </t>
          </r>
          <r>
            <t>@左晨</t>
          </r>
        </is>
      </c>
      <c r="AB1" s="163" t="str">
        <v>产品走查备注</v>
      </c>
      <c r="AC1" s="36" t="str">
        <v>logid</v>
      </c>
      <c r="AD1" s="36" t="str">
        <v>失败原因</v>
      </c>
      <c r="AE1" s="36" t="str">
        <v>meego单</v>
      </c>
      <c r="AF1" s="165" t="str">
        <v>当前责任方</v>
      </c>
      <c r="AG1" s="165" t="str">
        <v>当前责任人</v>
      </c>
      <c r="AH1" s="165" t="str">
        <v>问题分类</v>
      </c>
    </row>
    <row r="2" spans="1:27">
      <c r="A2" s="30" t="str">
        <v>车窗控制</v>
      </c>
      <c r="B2" s="166" t="str">
        <v>01车窗控制</v>
      </c>
      <c r="C2" s="166" t="str">
        <v>打开 / 关闭特定位置车窗 (全开 / 全关)</v>
      </c>
      <c r="D2" s="166" t="str">
        <v>P0</v>
      </c>
      <c r="E2" s="16" t="str">
        <v>打开主驾车窗</v>
      </c>
      <c r="F2" s="167" t="str">
        <v>Y</v>
      </c>
      <c r="H2" s="16" t="str">
        <v>✅</v>
      </c>
      <c r="I2" s="166" t="inlineStr">
        <is>
          <r>
            <rPr>
              <sz val="10"/>
              <color rgb="FF000000"/>
              <rFont val="Arial"/>
            </rPr>
            <t xml:space="preserve">✅
点检目标：四个车窗升降无卡顿。
</t>
          </r>
          <r>
            <rPr>
              <strike/>
              <sz val="10"/>
              <color rgb="FF1F2329"/>
              <rFont val="Arial"/>
            </rPr>
            <t>备注：方位交叉错位，待排查是语音下发问题，还是实车控制问题。</t>
          </r>
        </is>
      </c>
      <c r="J2" s="166" t="str">
        <v>车窗开关</v>
      </c>
      <c r="K2" s="61" t="str">
        <v>1.Vehicle_Platform1.0_IS4PR_Yu_Yin_Kong_Zhi_IS4PR_Che_Chuang__PRD.pdf
2.
IS4PR语音控制车窗.pdf:https://internal-api-drive-stream.larkoffice.com/space/api/box/stream/download/preview/Nr2ybWxAyoinV9xktAScgD1MnTc?mount_point=docx_file&amp;preview_type=16
3.PRD update：
【01】【车窗0313】Vehicle_Platform1.0_IS4PR_Yu_Yin_Kong_Zhi_IS4PR_Che_Chuang__PRD.pdf:https://internal-api-drive-stream.larkoffice.com/space/api/box/stream/download/preview/ApsLbwYE2oPbazxJMCkcoPuFn3c?mount_point=docx_file&amp;preview_type=16</v>
      </c>
      <c r="L2" s="61" t="str">
        <v>DNA1.0：场景感知状态信号库v2.4 
兜底：对“常用状态范围”先点检通过API是否能正常获取状态。
端状态不支持情况反馈：
12-12 更新：
1. 车门锁状态 SDK文档不支持
2. 车门状态，儿童锁状态 实车是否支持无法确认，目前语音没有要求开发相应的执行功能
3.空气净化开关状态，实车不支持
4.车内PM2.5空气质量，实车不支持
5.车内CO2信息，实车不支持
6.车内外温度，实车不支持车内温度查询</v>
      </c>
      <c r="M2" s="16" t="str">
        <v>判断车辆是否处于特定智能场景下（小憩模式、露营模式、大床模式、离
车不断电模式、宠物模式）</v>
      </c>
      <c r="N2" s="150" t="str">
        <v>✅</v>
      </c>
      <c r="O2" s="150" t="str">
        <v>✅</v>
      </c>
      <c r="P2" s="61" t="str">
        <v>车窗.xlsx</v>
      </c>
      <c r="Q2" s="16" t="str">
        <v>✅</v>
      </c>
      <c r="R2" s="150" t="str">
        <v>✅</v>
      </c>
      <c r="S2" s="150" t="str">
        <v>✅</v>
      </c>
      <c r="T2" s="150" t="str">
        <v>✅</v>
      </c>
      <c r="U2" s="150" t="str">
        <v>✅</v>
      </c>
      <c r="V2" s="150" t="str">
        <v>✅</v>
      </c>
      <c r="X2" s="16" t="str">
        <v>✅</v>
      </c>
      <c r="Z2" s="16" t="inlineStr">
        <is>
          <r>
            <t>@刘晓帝</t>
          </r>
        </is>
      </c>
      <c r="AA2" s="28">
        <v>1</v>
      </c>
    </row>
    <row r="3" spans="1:27">
      <c r="A3" s="30" t="str">
        <v>车窗控制</v>
      </c>
      <c r="B3" s="168"/>
      <c r="C3" s="168"/>
      <c r="D3" s="168"/>
      <c r="E3" s="16" t="str">
        <v>关闭前排车窗</v>
      </c>
      <c r="F3" s="167" t="str">
        <v>Y</v>
      </c>
      <c r="H3" s="16" t="str">
        <v>✅</v>
      </c>
      <c r="I3" s="168"/>
      <c r="J3" s="168"/>
      <c r="K3" s="139"/>
      <c r="L3" s="139"/>
      <c r="M3" s="16" t="str">
        <v>判断车窗故障状态接口</v>
      </c>
      <c r="N3" s="150" t="str">
        <v>✅</v>
      </c>
      <c r="O3" s="150" t="str">
        <v>✅</v>
      </c>
      <c r="P3" s="139"/>
      <c r="Q3" s="16" t="str">
        <v>✅</v>
      </c>
      <c r="R3" s="150" t="str">
        <v>✅</v>
      </c>
      <c r="S3" s="150" t="str">
        <v>✅</v>
      </c>
      <c r="T3" s="150" t="str">
        <v>✅</v>
      </c>
      <c r="U3" s="150" t="str">
        <v>✅</v>
      </c>
      <c r="V3" s="150" t="str">
        <v>✅</v>
      </c>
      <c r="X3" s="16" t="str">
        <v>✅</v>
      </c>
      <c r="Z3" s="16" t="inlineStr">
        <is>
          <r>
            <t>@刘晓帝</t>
          </r>
        </is>
      </c>
      <c r="AA3" s="28">
        <v>1</v>
      </c>
    </row>
    <row r="4" spans="1:27">
      <c r="A4" s="30" t="str">
        <v>车窗控制</v>
      </c>
      <c r="B4" s="168"/>
      <c r="C4" s="168"/>
      <c r="D4" s="168"/>
      <c r="E4" s="16" t="str">
        <v>打开副驾车窗</v>
      </c>
      <c r="F4" s="167" t="str">
        <v>Y</v>
      </c>
      <c r="H4" s="16" t="str">
        <v>✅</v>
      </c>
      <c r="I4" s="168"/>
      <c r="J4" s="168"/>
      <c r="K4" s="139"/>
      <c r="L4" s="139"/>
      <c r="N4" s="150" t="str">
        <v>✅</v>
      </c>
      <c r="O4" s="150" t="str">
        <v>✅</v>
      </c>
      <c r="P4" s="139"/>
      <c r="Q4" s="16" t="str">
        <v>✅</v>
      </c>
      <c r="R4" s="150" t="str">
        <v>✅</v>
      </c>
      <c r="S4" s="150" t="str">
        <v>✅</v>
      </c>
      <c r="T4" s="150" t="str">
        <v>✅</v>
      </c>
      <c r="U4" s="150" t="str">
        <v>✅</v>
      </c>
      <c r="V4" s="150" t="str">
        <v>✅</v>
      </c>
      <c r="X4" s="16" t="str">
        <v>✅</v>
      </c>
      <c r="Z4" s="16" t="inlineStr">
        <is>
          <r>
            <t>@刘晓帝</t>
          </r>
        </is>
      </c>
      <c r="AA4" s="28">
        <v>1</v>
      </c>
    </row>
    <row r="5" spans="1:27">
      <c r="A5" s="30" t="str">
        <v>车窗控制</v>
      </c>
      <c r="B5" s="168"/>
      <c r="C5" s="30"/>
      <c r="D5" s="30"/>
      <c r="E5" s="16" t="str">
        <v>关闭车窗</v>
      </c>
      <c r="F5" s="167" t="str">
        <v>Y</v>
      </c>
      <c r="H5" s="16" t="str">
        <v>✅</v>
      </c>
      <c r="I5" s="168"/>
      <c r="J5" s="168"/>
      <c r="K5" s="139"/>
      <c r="L5" s="139"/>
      <c r="N5" s="150" t="str">
        <v>✅</v>
      </c>
      <c r="O5" s="150" t="str">
        <v>✅</v>
      </c>
      <c r="P5" s="139"/>
      <c r="Q5" s="16" t="str">
        <v>✅</v>
      </c>
      <c r="R5" s="150" t="str">
        <v>✅</v>
      </c>
      <c r="S5" s="150" t="str">
        <v>✅</v>
      </c>
      <c r="T5" s="150" t="str">
        <v>✅</v>
      </c>
      <c r="U5" s="150" t="str">
        <v>✅</v>
      </c>
      <c r="V5" s="150" t="str">
        <v>✅</v>
      </c>
      <c r="X5" s="16" t="str">
        <v>✅</v>
      </c>
      <c r="Z5" s="16" t="inlineStr">
        <is>
          <r>
            <t>@刘晓帝</t>
          </r>
        </is>
      </c>
      <c r="AA5" s="28">
        <v>1</v>
      </c>
    </row>
    <row r="6" spans="1:27">
      <c r="A6" s="30" t="str">
        <v>车窗控制</v>
      </c>
      <c r="B6" s="168"/>
      <c r="C6" s="166" t="str">
        <v>打开 / 关闭特定车窗到 N%</v>
      </c>
      <c r="D6" s="166" t="str">
        <v>P0</v>
      </c>
      <c r="E6" s="16" t="str">
        <v>车窗开到 30%</v>
      </c>
      <c r="F6" s="167" t="str">
        <v>Y</v>
      </c>
      <c r="H6" s="166" t="str">
        <v>目前有车窗通风（开条缝）
具体百分比不适用实车前置验证</v>
      </c>
      <c r="I6" s="168"/>
      <c r="J6" s="168"/>
      <c r="K6" s="139"/>
      <c r="L6" s="139"/>
      <c r="N6" s="150" t="str">
        <v>✅</v>
      </c>
      <c r="O6" s="150" t="str">
        <v>✅</v>
      </c>
      <c r="P6" s="139"/>
      <c r="Q6" s="16" t="str">
        <v>✅</v>
      </c>
      <c r="R6" s="150" t="str">
        <v>✅</v>
      </c>
      <c r="S6" s="150" t="str">
        <v>✅</v>
      </c>
      <c r="T6" s="150" t="str">
        <v>✅</v>
      </c>
      <c r="U6" s="150" t="str">
        <v>✅</v>
      </c>
      <c r="V6" s="150" t="str">
        <v>✅</v>
      </c>
      <c r="X6" s="16" t="str">
        <v>✅</v>
      </c>
      <c r="Z6" s="16" t="inlineStr">
        <is>
          <r>
            <t>@刘晓帝</t>
          </r>
        </is>
      </c>
      <c r="AA6" s="28">
        <v>1</v>
      </c>
    </row>
    <row r="7" spans="1:27">
      <c r="A7" s="30" t="str">
        <v>车窗控制</v>
      </c>
      <c r="B7" s="168"/>
      <c r="C7" s="168"/>
      <c r="D7" s="168"/>
      <c r="E7" s="16" t="str">
        <v>全部车窗降到 50%(一半)</v>
      </c>
      <c r="F7" s="167" t="str">
        <v>Y</v>
      </c>
      <c r="H7" s="168"/>
      <c r="I7" s="168"/>
      <c r="J7" s="168"/>
      <c r="K7" s="139"/>
      <c r="L7" s="139"/>
      <c r="N7" s="150" t="str">
        <v>✅</v>
      </c>
      <c r="O7" s="150" t="str">
        <v>✅</v>
      </c>
      <c r="P7" s="139"/>
      <c r="Q7" s="16" t="str">
        <v>✅</v>
      </c>
      <c r="R7" s="150" t="str">
        <v>✅</v>
      </c>
      <c r="S7" s="150" t="str">
        <v>✅</v>
      </c>
      <c r="T7" s="150" t="str">
        <v>✅</v>
      </c>
      <c r="U7" s="150" t="str">
        <v>✅</v>
      </c>
      <c r="V7" s="150" t="str">
        <v>✅</v>
      </c>
      <c r="X7" s="16" t="str">
        <v>✅</v>
      </c>
      <c r="Z7" s="16" t="inlineStr">
        <is>
          <r>
            <t>@刘晓帝</t>
          </r>
        </is>
      </c>
      <c r="AA7" s="28">
        <v>1</v>
      </c>
    </row>
    <row r="8" spans="1:27">
      <c r="A8" s="30" t="str">
        <v>车窗控制</v>
      </c>
      <c r="B8" s="168"/>
      <c r="C8" s="30"/>
      <c r="D8" s="30"/>
      <c r="E8" s="16" t="str">
        <v>主驾车窗升到 10%</v>
      </c>
      <c r="F8" s="167" t="str">
        <v>Y</v>
      </c>
      <c r="H8" s="168"/>
      <c r="I8" s="168"/>
      <c r="J8" s="168"/>
      <c r="K8" s="139"/>
      <c r="L8" s="139"/>
      <c r="N8" s="150" t="str">
        <v>✅</v>
      </c>
      <c r="O8" s="150" t="str">
        <v>✅</v>
      </c>
      <c r="P8" s="139"/>
      <c r="Q8" s="16" t="str">
        <v>✅</v>
      </c>
      <c r="R8" s="150" t="str">
        <v>✅</v>
      </c>
      <c r="S8" s="150" t="str">
        <v>✅</v>
      </c>
      <c r="T8" s="150" t="str">
        <v>✅</v>
      </c>
      <c r="U8" s="150" t="str">
        <v>✅</v>
      </c>
      <c r="V8" s="150" t="str">
        <v>✅</v>
      </c>
      <c r="X8" s="16" t="str">
        <v>✅</v>
      </c>
      <c r="Z8" s="16" t="inlineStr">
        <is>
          <r>
            <t>@刘晓帝</t>
          </r>
        </is>
      </c>
      <c r="AA8" s="28">
        <v>1</v>
      </c>
    </row>
    <row r="9" spans="1:27">
      <c r="A9" s="30" t="str">
        <v>车窗控制</v>
      </c>
      <c r="B9" s="168"/>
      <c r="C9" s="166" t="str">
        <v>语音控制车窗 - 调高 / 调低 N%</v>
      </c>
      <c r="D9" s="166" t="str">
        <v>P0</v>
      </c>
      <c r="E9" s="16" t="str">
        <v>车窗调高 10%</v>
      </c>
      <c r="F9" s="167" t="str">
        <v>Y</v>
      </c>
      <c r="H9" s="168"/>
      <c r="I9" s="168"/>
      <c r="J9" s="168"/>
      <c r="K9" s="139"/>
      <c r="L9" s="139"/>
      <c r="N9" s="150" t="str">
        <v>✅</v>
      </c>
      <c r="O9" s="150" t="str">
        <v>✅</v>
      </c>
      <c r="P9" s="139"/>
      <c r="Q9" s="150" t="str">
        <v>✅</v>
      </c>
      <c r="R9" s="150" t="str">
        <v>✅</v>
      </c>
      <c r="S9" s="150" t="str">
        <v>❌</v>
      </c>
      <c r="T9" s="150" t="str">
        <v>❌</v>
      </c>
      <c r="U9" s="150" t="str">
        <v>✅</v>
      </c>
      <c r="V9" s="150" t="str">
        <v>✅</v>
      </c>
      <c r="X9" s="150" t="str">
        <v>✅</v>
      </c>
      <c r="Y9" s="150" t="str">
        <v>✅</v>
      </c>
      <c r="Z9" s="16" t="inlineStr">
        <is>
          <r>
            <t>@刘晓帝</t>
          </r>
        </is>
      </c>
      <c r="AA9" s="28">
        <v>1</v>
      </c>
    </row>
    <row r="10" spans="1:27">
      <c r="A10" s="30" t="str">
        <v>车窗控制</v>
      </c>
      <c r="B10" s="168"/>
      <c r="C10" s="30"/>
      <c r="D10" s="30"/>
      <c r="E10" s="16" t="str">
        <v>车窗降低 30%</v>
      </c>
      <c r="F10" s="167" t="str">
        <v>Y</v>
      </c>
      <c r="H10" s="30"/>
      <c r="I10" s="168"/>
      <c r="J10" s="168"/>
      <c r="K10" s="139"/>
      <c r="L10" s="139"/>
      <c r="N10" s="150" t="str">
        <v>✅</v>
      </c>
      <c r="O10" s="150" t="str">
        <v>✅</v>
      </c>
      <c r="P10" s="139"/>
      <c r="Q10" s="16" t="str">
        <v>✅</v>
      </c>
      <c r="R10" s="150" t="str">
        <v>✅</v>
      </c>
      <c r="S10" s="150" t="str">
        <v>✅</v>
      </c>
      <c r="T10" s="150" t="str">
        <v>✅</v>
      </c>
      <c r="U10" s="150" t="str">
        <v>✅</v>
      </c>
      <c r="V10" s="150" t="str">
        <v>✅</v>
      </c>
      <c r="X10" s="16" t="str">
        <v>✅</v>
      </c>
      <c r="Z10" s="16" t="inlineStr">
        <is>
          <r>
            <t>@刘晓帝</t>
          </r>
        </is>
      </c>
      <c r="AA10" s="28">
        <v>1</v>
      </c>
    </row>
    <row r="11" spans="1:27">
      <c r="A11" s="30" t="str">
        <v>车窗控制</v>
      </c>
      <c r="B11" s="168"/>
      <c r="C11" s="166" t="str">
        <v>语音控制车窗 - 调高 / 调低</v>
      </c>
      <c r="D11" s="166" t="str">
        <v>P0</v>
      </c>
      <c r="E11" s="16" t="str">
        <v>车窗开一点</v>
      </c>
      <c r="F11" s="167" t="str">
        <v>Y</v>
      </c>
      <c r="H11" s="166" t="str">
        <v>不适用实车前置验证</v>
      </c>
      <c r="I11" s="168"/>
      <c r="J11" s="168"/>
      <c r="K11" s="139"/>
      <c r="L11" s="139"/>
      <c r="N11" s="150" t="str">
        <v>✅</v>
      </c>
      <c r="O11" s="150" t="str">
        <v>✅</v>
      </c>
      <c r="P11" s="139"/>
      <c r="Q11" s="150" t="str">
        <v>✅</v>
      </c>
      <c r="R11" s="150" t="str">
        <v>✅</v>
      </c>
      <c r="S11" s="150" t="str">
        <v>❌</v>
      </c>
      <c r="T11" s="150" t="str">
        <v>❌</v>
      </c>
      <c r="U11" s="150" t="str">
        <v>✅</v>
      </c>
      <c r="V11" s="150" t="str">
        <v>✅</v>
      </c>
      <c r="X11" s="150" t="str">
        <v>✅</v>
      </c>
      <c r="Y11" s="150" t="str">
        <v>✅</v>
      </c>
      <c r="Z11" s="16" t="inlineStr">
        <is>
          <r>
            <t>@刘晓帝</t>
          </r>
        </is>
      </c>
      <c r="AA11" s="28">
        <v>1</v>
      </c>
    </row>
    <row r="12" spans="1:27">
      <c r="A12" s="30" t="str">
        <v>车窗控制</v>
      </c>
      <c r="B12" s="168"/>
      <c r="C12" s="168"/>
      <c r="D12" s="168"/>
      <c r="E12" s="16" t="str">
        <v>车窗往上升</v>
      </c>
      <c r="F12" s="167" t="str">
        <v>Y</v>
      </c>
      <c r="H12" s="168"/>
      <c r="I12" s="168"/>
      <c r="J12" s="168"/>
      <c r="K12" s="139"/>
      <c r="L12" s="139"/>
      <c r="N12" s="150" t="str">
        <v>✅</v>
      </c>
      <c r="O12" s="150" t="str">
        <v>✅</v>
      </c>
      <c r="P12" s="139"/>
      <c r="Q12" s="16" t="str">
        <v>✅</v>
      </c>
      <c r="R12" s="150" t="str">
        <v>✅</v>
      </c>
      <c r="S12" s="150" t="str">
        <v>✅</v>
      </c>
      <c r="T12" s="150" t="str">
        <v>✅</v>
      </c>
      <c r="U12" s="150" t="str">
        <v>✅</v>
      </c>
      <c r="V12" s="150" t="str">
        <v>✅</v>
      </c>
      <c r="X12" s="16" t="str">
        <v>✅</v>
      </c>
      <c r="Z12" s="16" t="inlineStr">
        <is>
          <r>
            <t>@刘晓帝</t>
          </r>
        </is>
      </c>
      <c r="AA12" s="1">
        <v>0</v>
      </c>
    </row>
    <row r="13" spans="1:27">
      <c r="A13" s="30" t="str">
        <v>车窗控制</v>
      </c>
      <c r="B13" s="168"/>
      <c r="C13" s="30"/>
      <c r="D13" s="30"/>
      <c r="E13" s="16" t="str">
        <v>车窗降低一点</v>
      </c>
      <c r="F13" s="167" t="str">
        <v>Y</v>
      </c>
      <c r="H13" s="168"/>
      <c r="I13" s="168"/>
      <c r="J13" s="168"/>
      <c r="K13" s="139"/>
      <c r="L13" s="139"/>
      <c r="N13" s="150" t="str">
        <v>✅</v>
      </c>
      <c r="O13" s="150" t="str">
        <v>✅</v>
      </c>
      <c r="P13" s="139"/>
      <c r="Q13" s="16" t="str">
        <v>✅</v>
      </c>
      <c r="R13" s="150" t="str">
        <v>✅</v>
      </c>
      <c r="S13" s="150" t="str">
        <v>✅</v>
      </c>
      <c r="T13" s="150" t="str">
        <v>✅</v>
      </c>
      <c r="U13" s="150" t="str">
        <v>✅</v>
      </c>
      <c r="V13" s="150" t="str">
        <v>✅</v>
      </c>
      <c r="X13" s="16" t="str">
        <v>✅</v>
      </c>
      <c r="Z13" s="16" t="inlineStr">
        <is>
          <r>
            <t>@刘晓帝</t>
          </r>
        </is>
      </c>
      <c r="AA13" s="28">
        <v>1</v>
      </c>
    </row>
    <row r="14" spans="1:27">
      <c r="A14" s="30" t="str">
        <v>车窗控制</v>
      </c>
      <c r="B14" s="168"/>
      <c r="C14" s="166" t="str">
        <v>语音控制车窗 - 极值调节</v>
      </c>
      <c r="D14" s="166" t="str">
        <v>P0</v>
      </c>
      <c r="E14" s="16" t="str">
        <v>车窗调到最高</v>
      </c>
      <c r="F14" s="167" t="str">
        <v>Y</v>
      </c>
      <c r="H14" s="168"/>
      <c r="I14" s="168"/>
      <c r="J14" s="168"/>
      <c r="K14" s="139"/>
      <c r="L14" s="139"/>
      <c r="N14" s="150" t="str">
        <v>✅</v>
      </c>
      <c r="O14" s="150" t="str">
        <v>✅</v>
      </c>
      <c r="P14" s="139"/>
      <c r="Q14" s="150" t="str">
        <v>✅</v>
      </c>
      <c r="R14" s="150" t="str">
        <v>✅</v>
      </c>
      <c r="S14" s="150" t="str">
        <v>❌</v>
      </c>
      <c r="T14" s="150" t="str">
        <v>✅</v>
      </c>
      <c r="U14" s="150" t="str">
        <v>✅</v>
      </c>
      <c r="V14" s="150" t="str">
        <v>✅</v>
      </c>
      <c r="X14" s="150" t="str">
        <v>✅</v>
      </c>
      <c r="Y14" s="150" t="str">
        <v>✅</v>
      </c>
      <c r="Z14" s="16" t="inlineStr">
        <is>
          <r>
            <t>@刘晓帝</t>
          </r>
        </is>
      </c>
      <c r="AA14" s="28">
        <v>1</v>
      </c>
    </row>
    <row r="15" spans="1:27">
      <c r="A15" s="30" t="str">
        <v>车窗控制</v>
      </c>
      <c r="B15" s="168"/>
      <c r="C15" s="30"/>
      <c r="D15" s="30"/>
      <c r="E15" s="16" t="str">
        <v>车窗调到最低</v>
      </c>
      <c r="F15" s="167" t="str">
        <v>Y</v>
      </c>
      <c r="H15" s="168"/>
      <c r="I15" s="168"/>
      <c r="J15" s="168"/>
      <c r="K15" s="139"/>
      <c r="L15" s="139"/>
      <c r="N15" s="150" t="str">
        <v>✅</v>
      </c>
      <c r="O15" s="150" t="str">
        <v>✅</v>
      </c>
      <c r="P15" s="139"/>
      <c r="Q15" s="150" t="str">
        <v>✅</v>
      </c>
      <c r="R15" s="150" t="str">
        <v>✅</v>
      </c>
      <c r="S15" s="150" t="str">
        <v>❌</v>
      </c>
      <c r="T15" s="150" t="str">
        <v>✅</v>
      </c>
      <c r="U15" s="150" t="str">
        <v>✅</v>
      </c>
      <c r="V15" s="150" t="str">
        <v>✅</v>
      </c>
      <c r="X15" s="150" t="str">
        <v>✅</v>
      </c>
      <c r="Y15" s="150" t="str">
        <v>✅</v>
      </c>
      <c r="Z15" s="16" t="inlineStr">
        <is>
          <r>
            <t>@刘晓帝</t>
          </r>
        </is>
      </c>
      <c r="AA15" s="28">
        <v>1</v>
      </c>
    </row>
    <row r="16" spans="1:27">
      <c r="A16" s="30" t="str">
        <v>车窗控制</v>
      </c>
      <c r="B16" s="168"/>
      <c r="C16" s="166" t="str">
        <v>语音控制车窗 - 上下文理解</v>
      </c>
      <c r="D16" s="166" t="str">
        <v>P0</v>
      </c>
      <c r="E16" s="16" t="str">
        <v>再开一点</v>
      </c>
      <c r="F16" s="167" t="str">
        <v>Y</v>
      </c>
      <c r="H16" s="168"/>
      <c r="I16" s="168"/>
      <c r="J16" s="168"/>
      <c r="K16" s="139"/>
      <c r="L16" s="139"/>
      <c r="N16" s="150" t="str">
        <v>✅</v>
      </c>
      <c r="O16" s="150" t="str">
        <v>✅</v>
      </c>
      <c r="P16" s="139"/>
      <c r="Q16" s="16" t="str">
        <v>✅</v>
      </c>
      <c r="R16" s="150" t="str">
        <v>✅</v>
      </c>
      <c r="S16" s="150" t="str">
        <v>✅</v>
      </c>
      <c r="T16" s="150" t="str">
        <v>✅</v>
      </c>
      <c r="U16" s="150" t="str">
        <v>✅</v>
      </c>
      <c r="V16" s="150" t="str">
        <v>✅</v>
      </c>
      <c r="X16" s="16" t="str">
        <v>✅</v>
      </c>
      <c r="Z16" s="16" t="inlineStr">
        <is>
          <r>
            <t>@刘晓帝</t>
          </r>
        </is>
      </c>
      <c r="AA16" s="28">
        <v>1</v>
      </c>
    </row>
    <row r="17" spans="1:27">
      <c r="A17" s="30" t="str">
        <v>车窗控制</v>
      </c>
      <c r="B17" s="168"/>
      <c r="C17" s="168"/>
      <c r="D17" s="168"/>
      <c r="E17" s="16" t="str">
        <v>再关一点</v>
      </c>
      <c r="F17" s="167" t="str">
        <v>Y</v>
      </c>
      <c r="H17" s="168"/>
      <c r="I17" s="168"/>
      <c r="J17" s="168"/>
      <c r="K17" s="139"/>
      <c r="L17" s="139"/>
      <c r="N17" s="150" t="str">
        <v>✅</v>
      </c>
      <c r="O17" s="150" t="str">
        <v>✅</v>
      </c>
      <c r="P17" s="139"/>
      <c r="Q17" s="16" t="str">
        <v>✅</v>
      </c>
      <c r="R17" s="150" t="str">
        <v>✅</v>
      </c>
      <c r="S17" s="150" t="str">
        <v>✅</v>
      </c>
      <c r="T17" s="150" t="str">
        <v>✅</v>
      </c>
      <c r="U17" s="150" t="str">
        <v>✅</v>
      </c>
      <c r="V17" s="150" t="str">
        <v>✅</v>
      </c>
      <c r="X17" s="16" t="str">
        <v>✅</v>
      </c>
      <c r="Z17" s="16" t="inlineStr">
        <is>
          <r>
            <t>@刘晓帝</t>
          </r>
        </is>
      </c>
      <c r="AA17" s="28">
        <v>1</v>
      </c>
    </row>
    <row r="18" spans="1:27">
      <c r="A18" s="30" t="str">
        <v>车窗控制</v>
      </c>
      <c r="B18" s="168"/>
      <c r="C18" s="30"/>
      <c r="D18" s="30"/>
      <c r="E18" s="16" t="str">
        <v>再调高 5%</v>
      </c>
      <c r="F18" s="167" t="str">
        <v>Y</v>
      </c>
      <c r="H18" s="30"/>
      <c r="I18" s="168"/>
      <c r="J18" s="168"/>
      <c r="K18" s="139"/>
      <c r="L18" s="139"/>
      <c r="N18" s="150" t="str">
        <v>✅</v>
      </c>
      <c r="O18" s="150" t="str">
        <v>✅</v>
      </c>
      <c r="P18" s="139"/>
      <c r="Q18" s="150" t="str">
        <v>✅</v>
      </c>
      <c r="R18" s="150" t="str">
        <v>✅</v>
      </c>
      <c r="S18" s="150" t="str">
        <v>❌</v>
      </c>
      <c r="T18" s="16" t="str">
        <v>❌</v>
      </c>
      <c r="U18" s="150" t="str">
        <v>✅</v>
      </c>
      <c r="V18" s="150" t="str">
        <v>✅</v>
      </c>
      <c r="X18" s="150" t="str">
        <v>✅</v>
      </c>
      <c r="Y18" s="150" t="str">
        <v>✅</v>
      </c>
      <c r="Z18" s="16" t="inlineStr">
        <is>
          <r>
            <t>@刘晓帝</t>
          </r>
        </is>
      </c>
      <c r="AA18" s="28">
        <v>1</v>
      </c>
    </row>
    <row r="19" spans="1:27">
      <c r="A19" s="30" t="str">
        <v>车窗控制</v>
      </c>
      <c r="B19" s="168"/>
      <c r="C19" s="166" t="str">
        <v>打开特定位置车窗通风</v>
      </c>
      <c r="D19" s="166" t="str">
        <v>P0</v>
      </c>
      <c r="E19" s="16" t="str">
        <v>打开车窗通风</v>
      </c>
      <c r="F19" s="167" t="str">
        <v>Y</v>
      </c>
      <c r="H19" s="16" t="str">
        <v>✅</v>
      </c>
      <c r="I19" s="168"/>
      <c r="J19" s="168"/>
      <c r="K19" s="139"/>
      <c r="L19" s="139"/>
      <c r="N19" s="150" t="str">
        <v>✅</v>
      </c>
      <c r="O19" s="150" t="str">
        <v>✅</v>
      </c>
      <c r="P19" s="139"/>
      <c r="Q19" s="150" t="str">
        <v>✅</v>
      </c>
      <c r="R19" s="150" t="str">
        <v>✅</v>
      </c>
      <c r="S19" s="150" t="str">
        <v>❌</v>
      </c>
      <c r="T19" s="16" t="str">
        <v>✅</v>
      </c>
      <c r="U19" s="150" t="str">
        <v>✅</v>
      </c>
      <c r="V19" s="16" t="str">
        <v>❌</v>
      </c>
      <c r="W19" s="16" t="str">
        <v>❌</v>
      </c>
      <c r="X19" s="150" t="str">
        <v>✅</v>
      </c>
      <c r="Y19" s="150" t="str">
        <v>✅</v>
      </c>
      <c r="Z19" s="16" t="inlineStr">
        <is>
          <r>
            <t>@刘晓帝</t>
          </r>
        </is>
      </c>
      <c r="AA19" s="28">
        <v>1</v>
      </c>
    </row>
    <row r="20" spans="1:30">
      <c r="A20" s="30" t="str">
        <v>车窗控制</v>
      </c>
      <c r="B20" s="168"/>
      <c r="C20" s="168"/>
      <c r="D20" s="168"/>
      <c r="E20" s="16" t="str">
        <v>开下主驾车窗通风</v>
      </c>
      <c r="F20" s="167" t="str">
        <v>Y</v>
      </c>
      <c r="H20" s="16" t="str">
        <v>✅</v>
      </c>
      <c r="I20" s="168"/>
      <c r="J20" s="168"/>
      <c r="K20" s="139"/>
      <c r="L20" s="139"/>
      <c r="N20" s="150" t="str">
        <v>✅</v>
      </c>
      <c r="O20" s="150" t="str">
        <v>✅</v>
      </c>
      <c r="P20" s="139"/>
      <c r="Q20" s="150" t="str">
        <v>✅</v>
      </c>
      <c r="R20" s="150" t="str">
        <v>✅</v>
      </c>
      <c r="S20" s="150" t="str">
        <v>❌</v>
      </c>
      <c r="T20" s="16" t="str">
        <v>✅</v>
      </c>
      <c r="U20" s="150" t="str">
        <v>✅</v>
      </c>
      <c r="V20" s="16" t="str">
        <v>❌</v>
      </c>
      <c r="W20" s="16" t="str">
        <v>❌</v>
      </c>
      <c r="X20" s="150" t="str">
        <v>✅</v>
      </c>
      <c r="Y20" s="150" t="str">
        <v>✅</v>
      </c>
      <c r="Z20" s="16" t="inlineStr">
        <is>
          <r>
            <t>@刘晓帝</t>
          </r>
        </is>
      </c>
      <c r="AA20" s="28">
        <v>1</v>
      </c>
      <c r="AC20" s="169" t="str">
        <v>2026070716333217703925370978DA9E81</v>
      </c>
      <c r="AD20" s="16" t="str">
        <v>开了一半</v>
      </c>
    </row>
    <row r="21" spans="1:30">
      <c r="A21" s="30" t="str">
        <v>车窗控制</v>
      </c>
      <c r="B21" s="168"/>
      <c r="C21" s="30"/>
      <c r="D21" s="30"/>
      <c r="E21" s="16" t="str">
        <v>打开前排车窗通风</v>
      </c>
      <c r="F21" s="167" t="str">
        <v>Y</v>
      </c>
      <c r="H21" s="16" t="str">
        <v>✅</v>
      </c>
      <c r="I21" s="168"/>
      <c r="J21" s="30"/>
      <c r="K21" s="139"/>
      <c r="L21" s="139"/>
      <c r="N21" s="150" t="str">
        <v>✅</v>
      </c>
      <c r="O21" s="150" t="str">
        <v>✅</v>
      </c>
      <c r="P21" s="139"/>
      <c r="Q21" s="150" t="str">
        <v>✅</v>
      </c>
      <c r="R21" s="150" t="str">
        <v>✅</v>
      </c>
      <c r="S21" s="150" t="str">
        <v>❌</v>
      </c>
      <c r="T21" s="16" t="str">
        <v>✅</v>
      </c>
      <c r="U21" s="150" t="str">
        <v>✅</v>
      </c>
      <c r="V21" s="16" t="str">
        <v>❌</v>
      </c>
      <c r="W21" s="16" t="str">
        <v>❌</v>
      </c>
      <c r="X21" s="150" t="str">
        <v>✅</v>
      </c>
      <c r="Y21" s="150" t="str">
        <v>✅</v>
      </c>
      <c r="Z21" s="16" t="inlineStr">
        <is>
          <r>
            <t>@刘晓帝</t>
          </r>
        </is>
      </c>
      <c r="AA21" s="28">
        <v>1</v>
      </c>
      <c r="AC21" s="169" t="str">
        <v>2026070716335276A1079E53DF0BDB7B02</v>
      </c>
      <c r="AD21" s="16" t="str">
        <v>同上</v>
      </c>
    </row>
    <row r="22" spans="1:26">
      <c r="A22" s="30" t="str">
        <v>车窗控制</v>
      </c>
      <c r="B22" s="168"/>
      <c r="C22" s="166" t="str">
        <v>语音控制打开 / 关闭锁车自动关窗开关</v>
      </c>
      <c r="D22" s="166" t="str">
        <v>P1</v>
      </c>
      <c r="E22" s="16" t="str">
        <v>打开锁车自动关窗</v>
      </c>
      <c r="F22" s="167" t="str">
        <v>Y</v>
      </c>
      <c r="H22" s="16" t="str">
        <v>✅</v>
      </c>
      <c r="I22" s="168"/>
      <c r="J22" s="166" t="str">
        <v>锁车自动关窗开关</v>
      </c>
      <c r="K22" s="139"/>
      <c r="L22" s="139"/>
      <c r="N22" s="150" t="str">
        <v>✅</v>
      </c>
      <c r="O22" s="150" t="str">
        <v>✅</v>
      </c>
      <c r="P22" s="139"/>
      <c r="Q22" s="16" t="str">
        <v>✅</v>
      </c>
      <c r="R22" s="150" t="str">
        <v>✅</v>
      </c>
      <c r="S22" s="150" t="str">
        <v>✅</v>
      </c>
      <c r="T22" s="150" t="str">
        <v>✅</v>
      </c>
      <c r="U22" s="150" t="str">
        <v>✅</v>
      </c>
      <c r="V22" s="150" t="str">
        <v>✅</v>
      </c>
      <c r="X22" s="16" t="str">
        <v>✅</v>
      </c>
      <c r="Z22" s="16" t="inlineStr">
        <is>
          <r>
            <t>@刘晓帝</t>
          </r>
        </is>
      </c>
    </row>
    <row r="23" spans="1:26">
      <c r="A23" s="30" t="str">
        <v>车窗控制</v>
      </c>
      <c r="B23" s="168"/>
      <c r="C23" s="30"/>
      <c r="D23" s="30"/>
      <c r="E23" s="16" t="str">
        <v>关闭锁车自动关窗</v>
      </c>
      <c r="F23" s="167" t="str">
        <v>Y</v>
      </c>
      <c r="H23" s="16" t="str">
        <v>✅</v>
      </c>
      <c r="I23" s="168"/>
      <c r="J23" s="30"/>
      <c r="K23" s="139"/>
      <c r="L23" s="139"/>
      <c r="N23" s="150" t="str">
        <v>✅</v>
      </c>
      <c r="O23" s="150" t="str">
        <v>✅</v>
      </c>
      <c r="P23" s="139"/>
      <c r="Q23" s="16" t="str">
        <v>✅</v>
      </c>
      <c r="R23" s="150" t="str">
        <v>✅</v>
      </c>
      <c r="S23" s="150" t="str">
        <v>✅</v>
      </c>
      <c r="T23" s="150" t="str">
        <v>✅</v>
      </c>
      <c r="U23" s="150" t="str">
        <v>✅</v>
      </c>
      <c r="V23" s="150" t="str">
        <v>✅</v>
      </c>
      <c r="X23" s="16" t="str">
        <v>✅</v>
      </c>
      <c r="Z23" s="16" t="inlineStr">
        <is>
          <r>
            <t>@刘晓帝</t>
          </r>
        </is>
      </c>
    </row>
    <row r="24" spans="1:26">
      <c r="A24" s="30" t="str">
        <v>车窗控制</v>
      </c>
      <c r="B24" s="168"/>
      <c r="C24" s="170" t="str">
        <v>语音控制打开 / 关闭后排禁用开关 (后排车窗锁)</v>
      </c>
      <c r="D24" s="166" t="str">
        <v>P1</v>
      </c>
      <c r="E24" s="171" t="str">
        <v>解锁后排车窗锁</v>
      </c>
      <c r="F24" s="167" t="str">
        <v>Y</v>
      </c>
      <c r="H24" s="16" t="str">
        <v>✅</v>
      </c>
      <c r="I24" s="168"/>
      <c r="J24" s="166" t="str">
        <v>车窗上锁开关</v>
      </c>
      <c r="K24" s="139"/>
      <c r="L24" s="139"/>
      <c r="N24" s="150" t="str">
        <v>✅</v>
      </c>
      <c r="O24" s="150" t="str">
        <v>✅</v>
      </c>
      <c r="P24" s="139"/>
      <c r="Q24" s="16" t="str">
        <v>✅</v>
      </c>
      <c r="R24" s="150" t="str">
        <v>✅</v>
      </c>
      <c r="S24" s="150" t="str">
        <v>✅</v>
      </c>
      <c r="T24" s="150" t="str">
        <v>✅</v>
      </c>
      <c r="U24" s="150" t="str">
        <v>✅</v>
      </c>
      <c r="V24" s="150" t="str">
        <v>✅</v>
      </c>
      <c r="X24" s="16" t="str">
        <v>✅</v>
      </c>
      <c r="Z24" s="16" t="inlineStr">
        <is>
          <r>
            <t>@刘晓帝</t>
          </r>
        </is>
      </c>
    </row>
    <row r="25" spans="1:26">
      <c r="A25" s="30" t="str">
        <v>车窗控制</v>
      </c>
      <c r="B25" s="168"/>
      <c r="C25" s="172"/>
      <c r="D25" s="30"/>
      <c r="E25" s="171" t="str">
        <v>后排车窗锁上锁</v>
      </c>
      <c r="F25" s="167" t="str">
        <v>Y</v>
      </c>
      <c r="H25" s="16" t="str">
        <v>✅</v>
      </c>
      <c r="I25" s="168"/>
      <c r="J25" s="30"/>
      <c r="K25" s="139"/>
      <c r="L25" s="139"/>
      <c r="N25" s="150" t="str">
        <v>✅</v>
      </c>
      <c r="O25" s="150" t="str">
        <v>✅</v>
      </c>
      <c r="P25" s="156"/>
      <c r="Q25" s="16" t="str">
        <v>✅</v>
      </c>
      <c r="R25" s="150" t="str">
        <v>✅</v>
      </c>
      <c r="S25" s="150" t="str">
        <v>✅</v>
      </c>
      <c r="T25" s="150" t="str">
        <v>✅</v>
      </c>
      <c r="U25" s="150" t="str">
        <v>✅</v>
      </c>
      <c r="V25" s="150" t="str">
        <v>✅</v>
      </c>
      <c r="X25" s="16" t="str">
        <v>✅</v>
      </c>
      <c r="Z25" s="16" t="inlineStr">
        <is>
          <r>
            <t>@刘晓帝</t>
          </r>
        </is>
      </c>
    </row>
    <row r="26" spans="1:26">
      <c r="A26" s="30" t="str">
        <v>车窗控制</v>
      </c>
      <c r="B26" s="168"/>
      <c r="C26" s="170" t="str">
        <v>语音控制打开/关闭雨天自动关窗</v>
      </c>
      <c r="D26" s="166" t="str">
        <v>P1</v>
      </c>
      <c r="E26" s="171" t="str">
        <v>打开雨天自动关窗</v>
      </c>
      <c r="F26" s="167" t="str">
        <v>Y</v>
      </c>
      <c r="G26" s="173" t="str">
        <v>IDoorLockInterface
setRainyCloseWindowStatus 0关 1开</v>
      </c>
      <c r="H26" s="16" t="str">
        <v>✅</v>
      </c>
      <c r="I26" s="168"/>
      <c r="J26" s="174" t="str">
        <v>雨天自动关窗开关</v>
      </c>
      <c r="K26" s="139"/>
      <c r="L26" s="139"/>
      <c r="N26" s="150" t="str">
        <v>✅</v>
      </c>
      <c r="O26" s="150" t="str">
        <v>✅</v>
      </c>
      <c r="Q26" s="16" t="str">
        <v>✅</v>
      </c>
      <c r="S26" s="150" t="str">
        <v>✅</v>
      </c>
      <c r="T26" s="150" t="str">
        <v>✅</v>
      </c>
      <c r="U26" s="150" t="str">
        <v>✅</v>
      </c>
      <c r="V26" s="150" t="str">
        <v>✅</v>
      </c>
      <c r="X26" s="16" t="str">
        <v>✅</v>
      </c>
      <c r="Z26" s="16" t="inlineStr">
        <is>
          <r>
            <t>@刘晓帝</t>
          </r>
        </is>
      </c>
    </row>
    <row r="27" spans="1:26">
      <c r="A27" s="30" t="str">
        <v>车窗控制</v>
      </c>
      <c r="B27" s="30"/>
      <c r="C27" s="172"/>
      <c r="D27" s="30"/>
      <c r="E27" s="171" t="str">
        <v>关闭雨天自动关窗</v>
      </c>
      <c r="F27" s="167" t="str">
        <v>Y</v>
      </c>
      <c r="G27" s="173" t="str">
        <v>IDoorLockInterface
setRainyCloseWindowStatus</v>
      </c>
      <c r="H27" s="16" t="str">
        <v>✅</v>
      </c>
      <c r="I27" s="30"/>
      <c r="J27" s="175"/>
      <c r="K27" s="156"/>
      <c r="L27" s="139"/>
      <c r="N27" s="150" t="str">
        <v>✅</v>
      </c>
      <c r="O27" s="150" t="str">
        <v>✅</v>
      </c>
      <c r="Q27" s="16" t="str">
        <v>✅</v>
      </c>
      <c r="S27" s="150" t="str">
        <v>✅</v>
      </c>
      <c r="T27" s="150" t="str">
        <v>✅</v>
      </c>
      <c r="U27" s="150" t="str">
        <v>✅</v>
      </c>
      <c r="V27" s="150" t="str">
        <v>✅</v>
      </c>
      <c r="X27" s="16" t="str">
        <v>✅</v>
      </c>
      <c r="Z27" s="16" t="inlineStr">
        <is>
          <r>
            <t>@刘晓帝</t>
          </r>
        </is>
      </c>
    </row>
    <row r="28" spans="1:27">
      <c r="A28" s="30" t="str">
        <v>空调控制</v>
      </c>
      <c r="B28" s="166" t="str">
        <v>02空调控制</v>
      </c>
      <c r="C28" s="16" t="str">
        <v>空调开启</v>
      </c>
      <c r="D28" s="16" t="str">
        <v>P0</v>
      </c>
      <c r="E28" s="16" t="str">
        <v>打开空调</v>
      </c>
      <c r="F28" s="167" t="str">
        <v>Y</v>
      </c>
      <c r="H28" s="16" t="str">
        <v>✅</v>
      </c>
      <c r="I28" s="166" t="inlineStr">
        <is>
          <r>
            <rPr>
              <sz val="10"/>
              <color rgb="FF000000"/>
              <rFont val="Arial"/>
            </rPr>
            <t xml:space="preserve">✅
点检目标：空调栏打开、关闭正常；调节正常；支持电动出风口风向调节。
</t>
          </r>
          <r>
            <rPr>
              <sz val="10"/>
              <color rgb="FFF54A45"/>
              <rFont val="Arial"/>
            </rPr>
            <t>备注：二级功能不支持的控制项，先识别是否为产品功能定义问题。</t>
          </r>
        </is>
      </c>
      <c r="J28" s="176" t="str">
        <v>空调开关</v>
      </c>
      <c r="K28" s="61" t="str">
        <v>Vehicle_Platform1.0_IS4PR_Yu_Yin_Kong_Zhi_IS4PR_Kong_Diao__PRD-补充流程图.pdf
【02】【空调0318】Vehicle_Platform1.0_IS4PR_Yu_Yin_Kong_Zhi_IS4PR_Kong_Diao__PRD.pdf:https://internal-api-drive-stream.larkoffice.com/space/api/box/stream/download/preview/QLMybYbhMomhoyxeZxXcaP1Gn8G?mount_point=docx_file&amp;preview_type=16</v>
      </c>
      <c r="L28" s="139"/>
      <c r="N28" s="150" t="str">
        <v>✅</v>
      </c>
      <c r="O28" s="150" t="str">
        <v>✅</v>
      </c>
      <c r="P28" s="61" t="str">
        <v>空调.xlsx</v>
      </c>
      <c r="Q28" s="16" t="str">
        <v>✅</v>
      </c>
      <c r="R28" s="150" t="str">
        <v>✅</v>
      </c>
      <c r="S28" s="150" t="str">
        <v>✅</v>
      </c>
      <c r="T28" s="150" t="str">
        <v>✅</v>
      </c>
      <c r="U28" s="16" t="str">
        <v>✅</v>
      </c>
      <c r="V28" s="16" t="str">
        <v>✅</v>
      </c>
      <c r="X28" s="16" t="str">
        <v>✅</v>
      </c>
      <c r="Z28" s="16" t="inlineStr">
        <is>
          <r>
            <t>@刘晓帝</t>
          </r>
        </is>
      </c>
      <c r="AA28" s="28">
        <v>1</v>
      </c>
    </row>
    <row r="29" spans="1:27">
      <c r="A29" s="30" t="str">
        <v>空调控制</v>
      </c>
      <c r="B29" s="168"/>
      <c r="C29" s="177" t="str">
        <v>空调开启</v>
      </c>
      <c r="D29" s="16" t="str">
        <v>P0</v>
      </c>
      <c r="E29" s="177" t="str">
        <v>打开后排空调</v>
      </c>
      <c r="F29" s="178" t="str">
        <v>N（开发未收到此需求)</v>
      </c>
      <c r="G29" s="178" t="str">
        <v>NA</v>
      </c>
      <c r="I29" s="168"/>
      <c r="J29" s="76"/>
      <c r="K29" s="139"/>
      <c r="L29" s="139"/>
      <c r="N29" s="179" t="str">
        <v>✅</v>
      </c>
      <c r="P29" s="139"/>
      <c r="Q29" s="16" t="str">
        <v>✅</v>
      </c>
      <c r="R29" s="150" t="str">
        <v>✅</v>
      </c>
      <c r="S29" s="150" t="str">
        <v>✅</v>
      </c>
      <c r="T29" s="150" t="str">
        <v>✅</v>
      </c>
      <c r="U29" s="16" t="str">
        <v>✅</v>
      </c>
      <c r="V29" s="16" t="str">
        <v>✅</v>
      </c>
      <c r="X29" s="16" t="str">
        <v>✅</v>
      </c>
      <c r="Z29" s="16" t="inlineStr">
        <is>
          <r>
            <t>@刘晓帝</t>
          </r>
        </is>
      </c>
      <c r="AA29" s="180">
        <v>1</v>
      </c>
    </row>
    <row r="30" spans="1:27">
      <c r="A30" s="30" t="str">
        <v>空调控制</v>
      </c>
      <c r="B30" s="168"/>
      <c r="C30" s="16" t="str">
        <v>空调开启</v>
      </c>
      <c r="D30" s="16" t="str">
        <v>P0</v>
      </c>
      <c r="E30" s="16" t="str">
        <v>激活整车空调</v>
      </c>
      <c r="F30" s="181" t="str">
        <v>Y 是否为打开？属于语音泛化</v>
      </c>
      <c r="G30" s="181" t="str">
        <v>已支持</v>
      </c>
      <c r="H30" s="16" t="str">
        <v>✅</v>
      </c>
      <c r="I30" s="168"/>
      <c r="J30" s="76"/>
      <c r="K30" s="139"/>
      <c r="L30" s="139"/>
      <c r="N30" s="150" t="str">
        <v>✅</v>
      </c>
      <c r="O30" s="150" t="str">
        <v>✅</v>
      </c>
      <c r="P30" s="139"/>
      <c r="Q30" s="16" t="str">
        <v>✅</v>
      </c>
      <c r="R30" s="150" t="str">
        <v>✅</v>
      </c>
      <c r="S30" s="150" t="str">
        <v>✅</v>
      </c>
      <c r="T30" s="150" t="str">
        <v>✅</v>
      </c>
      <c r="U30" s="16" t="str">
        <v>✅</v>
      </c>
      <c r="V30" s="16" t="str">
        <v>✅</v>
      </c>
      <c r="X30" s="16" t="str">
        <v>✅</v>
      </c>
      <c r="Z30" s="16" t="inlineStr">
        <is>
          <r>
            <t>@刘晓帝</t>
          </r>
        </is>
      </c>
      <c r="AA30" s="28">
        <v>1</v>
      </c>
    </row>
    <row r="31" spans="1:27">
      <c r="A31" s="30" t="str">
        <v>空调控制</v>
      </c>
      <c r="B31" s="168"/>
      <c r="C31" s="16" t="str">
        <v>空调关闭</v>
      </c>
      <c r="D31" s="16" t="str">
        <v>P0</v>
      </c>
      <c r="E31" s="16" t="str">
        <v>关闭空调</v>
      </c>
      <c r="F31" s="167" t="str">
        <v>Y</v>
      </c>
      <c r="H31" s="16" t="str">
        <v>✅</v>
      </c>
      <c r="I31" s="168"/>
      <c r="J31" s="76"/>
      <c r="K31" s="139"/>
      <c r="L31" s="139"/>
      <c r="N31" s="150" t="str">
        <v>✅</v>
      </c>
      <c r="O31" s="150" t="str">
        <v>✅</v>
      </c>
      <c r="P31" s="139"/>
      <c r="Q31" s="16" t="str">
        <v>✅</v>
      </c>
      <c r="R31" s="150" t="str">
        <v>✅</v>
      </c>
      <c r="S31" s="150" t="str">
        <v>✅</v>
      </c>
      <c r="T31" s="150" t="str">
        <v>✅</v>
      </c>
      <c r="U31" s="16" t="str">
        <v>✅</v>
      </c>
      <c r="V31" s="16" t="str">
        <v>✅</v>
      </c>
      <c r="X31" s="16" t="str">
        <v>✅</v>
      </c>
      <c r="Z31" s="16" t="inlineStr">
        <is>
          <r>
            <t>@刘晓帝</t>
          </r>
        </is>
      </c>
      <c r="AA31" s="28">
        <v>1</v>
      </c>
    </row>
    <row r="32" spans="1:27">
      <c r="A32" s="30" t="str">
        <v>空调控制</v>
      </c>
      <c r="B32" s="168"/>
      <c r="C32" s="177" t="str">
        <v>空调关闭</v>
      </c>
      <c r="D32" s="16" t="str">
        <v>P0</v>
      </c>
      <c r="E32" s="177" t="str">
        <v>关副驾空调</v>
      </c>
      <c r="F32" s="178" t="str">
        <v>N（开发未收到此需求)</v>
      </c>
      <c r="G32" s="178" t="str">
        <v>NA</v>
      </c>
      <c r="H32" s="177" t="str">
        <v>✅</v>
      </c>
      <c r="I32" s="168"/>
      <c r="J32" s="76"/>
      <c r="K32" s="139"/>
      <c r="L32" s="139"/>
      <c r="N32" s="177" t="str">
        <v>✅</v>
      </c>
      <c r="P32" s="139"/>
      <c r="Q32" s="16" t="str">
        <v>✅</v>
      </c>
      <c r="R32" s="150" t="str">
        <v>✅</v>
      </c>
      <c r="S32" s="150" t="str">
        <v>✅</v>
      </c>
      <c r="T32" s="150" t="str">
        <v>✅</v>
      </c>
      <c r="U32" s="16" t="str">
        <v>✅</v>
      </c>
      <c r="V32" s="16" t="str">
        <v>✅</v>
      </c>
      <c r="X32" s="16" t="str">
        <v>✅</v>
      </c>
      <c r="Z32" s="16" t="inlineStr">
        <is>
          <r>
            <t>@刘晓帝</t>
          </r>
        </is>
      </c>
      <c r="AA32" s="182">
        <v>1</v>
      </c>
    </row>
    <row r="33" spans="1:27">
      <c r="A33" s="30" t="str">
        <v>空调控制</v>
      </c>
      <c r="B33" s="168"/>
      <c r="C33" s="16" t="str">
        <v>空调关闭</v>
      </c>
      <c r="D33" s="16" t="str">
        <v>P0</v>
      </c>
      <c r="E33" s="16" t="str">
        <v>取消全车空调</v>
      </c>
      <c r="F33" s="181" t="str">
        <v>Y（只有一个空调总开关)</v>
      </c>
      <c r="G33" s="181" t="str">
        <v>已支持</v>
      </c>
      <c r="H33" s="16" t="str">
        <v>✅</v>
      </c>
      <c r="I33" s="168"/>
      <c r="J33" s="183"/>
      <c r="K33" s="139"/>
      <c r="L33" s="139"/>
      <c r="N33" s="150" t="str">
        <v>✅</v>
      </c>
      <c r="O33" s="150" t="str">
        <v>✅</v>
      </c>
      <c r="P33" s="139"/>
      <c r="Q33" s="150" t="str">
        <v>✅</v>
      </c>
      <c r="R33" s="150" t="str">
        <v>✅</v>
      </c>
      <c r="S33" s="150" t="str">
        <v>❌</v>
      </c>
      <c r="T33" s="16" t="str">
        <v>✅</v>
      </c>
      <c r="U33" s="16" t="str">
        <v>✅</v>
      </c>
      <c r="V33" s="16" t="str">
        <v>✅</v>
      </c>
      <c r="X33" s="150" t="str">
        <v>✅</v>
      </c>
      <c r="Y33" s="150" t="str">
        <v>✅</v>
      </c>
      <c r="Z33" s="16" t="inlineStr">
        <is>
          <r>
            <t>@刘晓帝</t>
          </r>
        </is>
      </c>
      <c r="AA33" s="28">
        <v>1</v>
      </c>
    </row>
    <row r="34" spans="1:27">
      <c r="A34" s="30" t="str">
        <v>空调控制</v>
      </c>
      <c r="B34" s="168"/>
      <c r="C34" s="16" t="str">
        <v>温度控制 - 调高 / 低</v>
      </c>
      <c r="D34" s="16" t="str">
        <v>P0</v>
      </c>
      <c r="E34" s="16" t="str">
        <v>空调温度高一点</v>
      </c>
      <c r="F34" s="167" t="str">
        <v>Y</v>
      </c>
      <c r="H34" s="16" t="str">
        <v>✅</v>
      </c>
      <c r="I34" s="168"/>
      <c r="J34" s="166" t="str">
        <v>空调温度调节</v>
      </c>
      <c r="K34" s="139"/>
      <c r="L34" s="139"/>
      <c r="N34" s="150" t="str">
        <v>✅</v>
      </c>
      <c r="O34" s="150" t="str">
        <v>✅</v>
      </c>
      <c r="P34" s="139"/>
      <c r="Q34" s="150" t="str">
        <v>✅</v>
      </c>
      <c r="R34" s="150" t="str">
        <v>✅</v>
      </c>
      <c r="S34" s="150" t="str">
        <v>❌</v>
      </c>
      <c r="T34" s="16" t="str">
        <v>✅</v>
      </c>
      <c r="U34" s="16" t="str">
        <v>✅</v>
      </c>
      <c r="V34" s="16" t="str">
        <v>✅</v>
      </c>
      <c r="X34" s="150" t="str">
        <v>✅</v>
      </c>
      <c r="Y34" s="150" t="str">
        <v>✅</v>
      </c>
      <c r="Z34" s="16" t="inlineStr">
        <is>
          <r>
            <t>@刘晓帝</t>
          </r>
        </is>
      </c>
      <c r="AA34" s="28">
        <v>1</v>
      </c>
    </row>
    <row r="35" spans="1:27">
      <c r="A35" s="30" t="str">
        <v>空调控制</v>
      </c>
      <c r="B35" s="168"/>
      <c r="C35" s="16" t="str">
        <v>温度控制 - 调高 / 低</v>
      </c>
      <c r="D35" s="16" t="str">
        <v>P0</v>
      </c>
      <c r="E35" s="16" t="str">
        <v>副驾温度低一点</v>
      </c>
      <c r="F35" s="167" t="str">
        <v>Y</v>
      </c>
      <c r="H35" s="16" t="str">
        <v>✅</v>
      </c>
      <c r="I35" s="168"/>
      <c r="J35" s="168"/>
      <c r="K35" s="139"/>
      <c r="L35" s="139"/>
      <c r="N35" s="150" t="str">
        <v>✅</v>
      </c>
      <c r="O35" s="150" t="str">
        <v>✅</v>
      </c>
      <c r="P35" s="139"/>
      <c r="Q35" s="16" t="str">
        <v>✅</v>
      </c>
      <c r="R35" s="150" t="str">
        <v>✅</v>
      </c>
      <c r="S35" s="150" t="str">
        <v>✅</v>
      </c>
      <c r="T35" s="150" t="str">
        <v>✅</v>
      </c>
      <c r="U35" s="16" t="str">
        <v>✅</v>
      </c>
      <c r="V35" s="16" t="str">
        <v>✅</v>
      </c>
      <c r="X35" s="16" t="str">
        <v>✅</v>
      </c>
      <c r="Z35" s="16" t="inlineStr">
        <is>
          <r>
            <t>@刘晓帝</t>
          </r>
        </is>
      </c>
      <c r="AA35" s="28">
        <v>1</v>
      </c>
    </row>
    <row r="36" spans="1:27">
      <c r="A36" s="30" t="str">
        <v>空调控制</v>
      </c>
      <c r="B36" s="168"/>
      <c r="C36" s="16" t="str">
        <v>温度控制 - 调高 / 低 N 度</v>
      </c>
      <c r="D36" s="16" t="str">
        <v>P0</v>
      </c>
      <c r="E36" s="16" t="str">
        <v>整车温度高 5 度</v>
      </c>
      <c r="F36" s="167" t="str">
        <v>Y</v>
      </c>
      <c r="H36" s="16" t="str">
        <v>✅</v>
      </c>
      <c r="I36" s="168"/>
      <c r="J36" s="168"/>
      <c r="K36" s="139"/>
      <c r="L36" s="139"/>
      <c r="N36" s="150" t="str">
        <v>✅</v>
      </c>
      <c r="O36" s="150" t="str">
        <v>✅</v>
      </c>
      <c r="P36" s="139"/>
      <c r="Q36" s="16" t="str">
        <v>✅</v>
      </c>
      <c r="R36" s="150" t="str">
        <v>✅</v>
      </c>
      <c r="S36" s="150" t="str">
        <v>✅</v>
      </c>
      <c r="T36" s="150" t="str">
        <v>✅</v>
      </c>
      <c r="U36" s="16" t="str">
        <v>✅</v>
      </c>
      <c r="V36" s="16" t="str">
        <v>✅</v>
      </c>
      <c r="X36" s="16" t="str">
        <v>✅</v>
      </c>
      <c r="Z36" s="16" t="inlineStr">
        <is>
          <r>
            <t>@刘晓帝</t>
          </r>
        </is>
      </c>
      <c r="AA36" s="1">
        <v>0</v>
      </c>
    </row>
    <row r="37" spans="1:27">
      <c r="A37" s="30" t="str">
        <v>空调控制</v>
      </c>
      <c r="B37" s="168"/>
      <c r="C37" s="150" t="str">
        <v>温度控制 - 调高 / 低 N 度</v>
      </c>
      <c r="D37" s="16" t="str">
        <v>P0</v>
      </c>
      <c r="E37" s="150" t="str">
        <v>调低前排温度 3 度</v>
      </c>
      <c r="F37" s="184" t="str">
        <v>Y（IS4PR只有单区空调)</v>
      </c>
      <c r="H37" s="177" t="str">
        <v>✅</v>
      </c>
      <c r="I37" s="168"/>
      <c r="J37" s="168"/>
      <c r="K37" s="139"/>
      <c r="L37" s="139"/>
      <c r="N37" s="177" t="str">
        <v>✅</v>
      </c>
      <c r="O37" s="177" t="str">
        <v>✅</v>
      </c>
      <c r="P37" s="139"/>
      <c r="Q37" s="16" t="str">
        <v>✅</v>
      </c>
      <c r="R37" s="150" t="str">
        <v>✅</v>
      </c>
      <c r="S37" s="150" t="str">
        <v>✅</v>
      </c>
      <c r="T37" s="150" t="str">
        <v>✅</v>
      </c>
      <c r="U37" s="16" t="str">
        <v>✅</v>
      </c>
      <c r="V37" s="16" t="str">
        <v>✅</v>
      </c>
      <c r="X37" s="16" t="str">
        <v>✅</v>
      </c>
      <c r="Z37" s="16" t="inlineStr">
        <is>
          <r>
            <t>@刘晓帝</t>
          </r>
        </is>
      </c>
      <c r="AA37" s="182">
        <v>1</v>
      </c>
    </row>
    <row r="38" spans="1:27">
      <c r="A38" s="30" t="str">
        <v>空调控制</v>
      </c>
      <c r="B38" s="168"/>
      <c r="C38" s="16" t="str">
        <v>温度控制 - 最高 / 低</v>
      </c>
      <c r="D38" s="16" t="str">
        <v>P0</v>
      </c>
      <c r="E38" s="16" t="str">
        <v>温度调到最高</v>
      </c>
      <c r="F38" s="167" t="str">
        <v>Y</v>
      </c>
      <c r="H38" s="16" t="str">
        <v>✅</v>
      </c>
      <c r="I38" s="168"/>
      <c r="J38" s="168"/>
      <c r="K38" s="139"/>
      <c r="L38" s="139"/>
      <c r="N38" s="150" t="str">
        <v>✅</v>
      </c>
      <c r="O38" s="150" t="str">
        <v>✅</v>
      </c>
      <c r="P38" s="139"/>
      <c r="Q38" s="16" t="str">
        <v>✅</v>
      </c>
      <c r="R38" s="150" t="str">
        <v>✅</v>
      </c>
      <c r="S38" s="150" t="str">
        <v>✅</v>
      </c>
      <c r="T38" s="150" t="str">
        <v>✅</v>
      </c>
      <c r="U38" s="16" t="str">
        <v>✅</v>
      </c>
      <c r="V38" s="16" t="str">
        <v>✅</v>
      </c>
      <c r="X38" s="16" t="str">
        <v>✅</v>
      </c>
      <c r="Z38" s="16" t="inlineStr">
        <is>
          <r>
            <t>@刘晓帝</t>
          </r>
        </is>
      </c>
      <c r="AA38" s="1">
        <v>0</v>
      </c>
    </row>
    <row r="39" spans="1:27">
      <c r="A39" s="30" t="str">
        <v>空调控制</v>
      </c>
      <c r="B39" s="168"/>
      <c r="C39" s="16" t="str">
        <v>温度控制 - 最高 / 低</v>
      </c>
      <c r="D39" s="16" t="str">
        <v>P0</v>
      </c>
      <c r="E39" s="16" t="str">
        <v>副驾温度调到最低</v>
      </c>
      <c r="F39" s="167" t="str">
        <v>Y</v>
      </c>
      <c r="H39" s="16" t="str">
        <v>✅</v>
      </c>
      <c r="I39" s="168"/>
      <c r="J39" s="168"/>
      <c r="K39" s="139"/>
      <c r="L39" s="139"/>
      <c r="N39" s="150" t="str">
        <v>✅</v>
      </c>
      <c r="O39" s="150" t="str">
        <v>✅</v>
      </c>
      <c r="P39" s="139"/>
      <c r="Q39" s="150" t="str">
        <v>✅</v>
      </c>
      <c r="R39" s="150" t="str">
        <v>✅</v>
      </c>
      <c r="S39" s="150" t="str">
        <v>❌</v>
      </c>
      <c r="T39" s="16" t="str">
        <v>✅</v>
      </c>
      <c r="U39" s="16" t="str">
        <v>✅</v>
      </c>
      <c r="V39" s="150" t="str">
        <v>❌</v>
      </c>
      <c r="W39" s="16" t="str">
        <v>✅</v>
      </c>
      <c r="X39" s="150" t="str">
        <v>✅</v>
      </c>
      <c r="Y39" s="150" t="str">
        <v>✅</v>
      </c>
      <c r="Z39" s="16" t="inlineStr">
        <is>
          <r>
            <t>@刘晓帝</t>
          </r>
        </is>
      </c>
      <c r="AA39" s="28">
        <v>1</v>
      </c>
    </row>
    <row r="40" spans="1:27">
      <c r="A40" s="30" t="str">
        <v>空调控制</v>
      </c>
      <c r="B40" s="168"/>
      <c r="C40" s="16" t="str">
        <v>温度控制 - 调到 N 度</v>
      </c>
      <c r="D40" s="16" t="str">
        <v>P0</v>
      </c>
      <c r="E40" s="16" t="str">
        <v>调节空调到 25 度</v>
      </c>
      <c r="F40" s="167" t="str">
        <v>Y</v>
      </c>
      <c r="H40" s="16" t="str">
        <v>✅</v>
      </c>
      <c r="I40" s="168"/>
      <c r="J40" s="168"/>
      <c r="K40" s="139"/>
      <c r="L40" s="139"/>
      <c r="N40" s="150" t="str">
        <v>✅</v>
      </c>
      <c r="O40" s="150" t="str">
        <v>✅</v>
      </c>
      <c r="P40" s="139"/>
      <c r="Q40" s="16" t="str">
        <v>✅</v>
      </c>
      <c r="R40" s="150" t="str">
        <v>✅</v>
      </c>
      <c r="S40" s="150" t="str">
        <v>✅</v>
      </c>
      <c r="T40" s="150" t="str">
        <v>✅</v>
      </c>
      <c r="U40" s="16" t="str">
        <v>✅</v>
      </c>
      <c r="V40" s="16" t="str">
        <v>✅</v>
      </c>
      <c r="X40" s="16" t="str">
        <v>✅</v>
      </c>
      <c r="Z40" s="16" t="inlineStr">
        <is>
          <r>
            <t>@刘晓帝</t>
          </r>
        </is>
      </c>
      <c r="AA40" s="28">
        <v>1</v>
      </c>
    </row>
    <row r="41" spans="1:27">
      <c r="A41" s="30" t="str">
        <v>空调控制</v>
      </c>
      <c r="B41" s="168"/>
      <c r="C41" s="16" t="str">
        <v>温度控制 - 调到 N 度</v>
      </c>
      <c r="D41" s="16" t="str">
        <v>P0</v>
      </c>
      <c r="E41" s="16" t="str">
        <v>副驾空调调到 22 度</v>
      </c>
      <c r="F41" s="167" t="str">
        <v>Y</v>
      </c>
      <c r="H41" s="16" t="str">
        <v>✅</v>
      </c>
      <c r="I41" s="168"/>
      <c r="J41" s="168"/>
      <c r="K41" s="139"/>
      <c r="L41" s="139"/>
      <c r="N41" s="150" t="str">
        <v>✅</v>
      </c>
      <c r="O41" s="150" t="str">
        <v>✅</v>
      </c>
      <c r="P41" s="139"/>
      <c r="Q41" s="16" t="str">
        <v>✅</v>
      </c>
      <c r="R41" s="150" t="str">
        <v>✅</v>
      </c>
      <c r="S41" s="150" t="str">
        <v>✅</v>
      </c>
      <c r="T41" s="150" t="str">
        <v>✅</v>
      </c>
      <c r="U41" s="16" t="str">
        <v>✅</v>
      </c>
      <c r="V41" s="16" t="str">
        <v>✅</v>
      </c>
      <c r="X41" s="16" t="str">
        <v>✅</v>
      </c>
      <c r="Z41" s="16" t="inlineStr">
        <is>
          <r>
            <t>@刘晓帝</t>
          </r>
        </is>
      </c>
      <c r="AA41" s="28">
        <v>1</v>
      </c>
    </row>
    <row r="42" spans="1:26">
      <c r="A42" s="30" t="str">
        <v>空调控制</v>
      </c>
      <c r="B42" s="168"/>
      <c r="C42" s="16" t="str">
        <v>温度控制 - 上下文理解</v>
      </c>
      <c r="D42" s="16" t="str">
        <v>P0</v>
      </c>
      <c r="E42" s="16" t="str">
        <v>再高一点</v>
      </c>
      <c r="F42" s="167" t="str">
        <v>Y</v>
      </c>
      <c r="H42" s="166" t="str">
        <v>不适用实车前置验证</v>
      </c>
      <c r="I42" s="168"/>
      <c r="J42" s="168"/>
      <c r="K42" s="139"/>
      <c r="L42" s="139"/>
      <c r="N42" s="150" t="str">
        <v>✅</v>
      </c>
      <c r="O42" s="150" t="str">
        <v>✅</v>
      </c>
      <c r="P42" s="139"/>
      <c r="Q42" s="150" t="str">
        <v>✅</v>
      </c>
      <c r="R42" s="150" t="str">
        <v>✅</v>
      </c>
      <c r="S42" s="150" t="str">
        <v>✅</v>
      </c>
      <c r="T42" s="150" t="str">
        <v>✅</v>
      </c>
      <c r="U42" s="16" t="str">
        <v>✅</v>
      </c>
      <c r="V42" s="150" t="str">
        <v>❌</v>
      </c>
      <c r="W42" s="16" t="str">
        <v>✅</v>
      </c>
      <c r="X42" s="150" t="str">
        <v>✅</v>
      </c>
      <c r="Y42" s="150" t="str">
        <v>✅</v>
      </c>
      <c r="Z42" s="16" t="inlineStr">
        <is>
          <r>
            <t>@刘晓帝</t>
          </r>
        </is>
      </c>
    </row>
    <row r="43" spans="1:30">
      <c r="A43" s="30" t="str">
        <v>空调控制</v>
      </c>
      <c r="B43" s="168"/>
      <c r="C43" s="16" t="str">
        <v>温度控制 - 上下文理解</v>
      </c>
      <c r="D43" s="16" t="str">
        <v>P0</v>
      </c>
      <c r="E43" s="16" t="str">
        <v>主驾再小点</v>
      </c>
      <c r="F43" s="167" t="str">
        <v>Y</v>
      </c>
      <c r="H43" s="30"/>
      <c r="I43" s="168"/>
      <c r="J43" s="30"/>
      <c r="K43" s="139"/>
      <c r="L43" s="139"/>
      <c r="N43" s="150" t="str">
        <v>✅</v>
      </c>
      <c r="O43" s="150" t="str">
        <v>✅</v>
      </c>
      <c r="P43" s="139"/>
      <c r="Q43" s="150" t="str">
        <v>❌</v>
      </c>
      <c r="R43" s="150" t="str">
        <v>✅</v>
      </c>
      <c r="S43" s="150" t="str">
        <v>✅</v>
      </c>
      <c r="T43" s="150" t="str">
        <v>✅</v>
      </c>
      <c r="U43" s="16" t="str">
        <v>✅</v>
      </c>
      <c r="V43" s="150" t="str">
        <v>❌</v>
      </c>
      <c r="W43" s="16" t="str">
        <v>✅</v>
      </c>
      <c r="X43" s="150" t="str">
        <v>✅</v>
      </c>
      <c r="Y43" s="150" t="str">
        <v>❌</v>
      </c>
      <c r="Z43" s="16" t="inlineStr">
        <is>
          <r>
            <t>@刘晓帝</t>
          </r>
        </is>
      </c>
      <c r="AC43" s="68" t="str">
        <v>20260723010529B4ECA90C14A8FFBAC1C5</v>
      </c>
      <c r="AD43" s="16" t="str">
        <v>调成了风量</v>
      </c>
    </row>
    <row r="44" spans="1:26">
      <c r="A44" s="30" t="str">
        <v>空调控制</v>
      </c>
      <c r="B44" s="168"/>
      <c r="C44" s="16" t="str">
        <v>吹风模式调节</v>
      </c>
      <c r="D44" s="16" t="str">
        <v>P0</v>
      </c>
      <c r="E44" s="16" t="str">
        <v>切换到吹脸</v>
      </c>
      <c r="F44" s="167" t="str">
        <v>Y</v>
      </c>
      <c r="H44" s="16" t="str">
        <v>✅</v>
      </c>
      <c r="I44" s="168"/>
      <c r="J44" s="166" t="str">
        <v>空调风向调节</v>
      </c>
      <c r="K44" s="139"/>
      <c r="L44" s="139"/>
      <c r="N44" s="150" t="str">
        <v>✅</v>
      </c>
      <c r="O44" s="150" t="str">
        <v>✅</v>
      </c>
      <c r="P44" s="139"/>
      <c r="Q44" s="16" t="str">
        <v>✅</v>
      </c>
      <c r="R44" s="150" t="str">
        <v>✅</v>
      </c>
      <c r="S44" s="150" t="str">
        <v>✅</v>
      </c>
      <c r="T44" s="150" t="str">
        <v>✅</v>
      </c>
      <c r="U44" s="16" t="str">
        <v>✅</v>
      </c>
      <c r="V44" s="16" t="str">
        <v>✅</v>
      </c>
      <c r="X44" s="16" t="str">
        <v>✅</v>
      </c>
      <c r="Z44" s="16" t="inlineStr">
        <is>
          <r>
            <t>@刘晓帝</t>
          </r>
        </is>
      </c>
    </row>
    <row r="45" spans="1:26">
      <c r="A45" s="30" t="str">
        <v>空调控制</v>
      </c>
      <c r="B45" s="168"/>
      <c r="C45" s="16" t="str">
        <v>吹风模式调节</v>
      </c>
      <c r="D45" s="16" t="str">
        <v>P0</v>
      </c>
      <c r="E45" s="16" t="str">
        <v>打开吹脸吹脚吹窗</v>
      </c>
      <c r="F45" s="167" t="str">
        <v>Y</v>
      </c>
      <c r="H45" s="16" t="str">
        <v>✅</v>
      </c>
      <c r="I45" s="168"/>
      <c r="J45" s="30"/>
      <c r="K45" s="139"/>
      <c r="L45" s="139"/>
      <c r="N45" s="150" t="str">
        <v>✅</v>
      </c>
      <c r="O45" s="150" t="str">
        <v>✅</v>
      </c>
      <c r="P45" s="139"/>
      <c r="Q45" s="16" t="str">
        <v>✅</v>
      </c>
      <c r="R45" s="150" t="str">
        <v>✅</v>
      </c>
      <c r="S45" s="150" t="str">
        <v>✅</v>
      </c>
      <c r="T45" s="150" t="str">
        <v>✅</v>
      </c>
      <c r="U45" s="16" t="str">
        <v>✅</v>
      </c>
      <c r="V45" s="16" t="str">
        <v>✅</v>
      </c>
      <c r="X45" s="16" t="str">
        <v>✅</v>
      </c>
      <c r="Z45" s="16" t="inlineStr">
        <is>
          <r>
            <t>@刘晓帝</t>
          </r>
        </is>
      </c>
    </row>
    <row r="46" spans="1:26">
      <c r="A46" s="30" t="str">
        <v>空调控制</v>
      </c>
      <c r="B46" s="168"/>
      <c r="C46" s="16" t="str">
        <v>风量调节 - 调高 / 低</v>
      </c>
      <c r="D46" s="16" t="str">
        <v>P0</v>
      </c>
      <c r="E46" s="16" t="str">
        <v>调高风量</v>
      </c>
      <c r="F46" s="167" t="str">
        <v>Y</v>
      </c>
      <c r="H46" s="16" t="str">
        <v>✅</v>
      </c>
      <c r="I46" s="168"/>
      <c r="J46" s="176" t="str">
        <v>空调风量调节</v>
      </c>
      <c r="K46" s="139"/>
      <c r="L46" s="139"/>
      <c r="N46" s="150" t="str">
        <v>✅</v>
      </c>
      <c r="O46" s="150" t="str">
        <v>✅</v>
      </c>
      <c r="P46" s="139"/>
      <c r="Q46" s="16" t="str">
        <v>✅</v>
      </c>
      <c r="R46" s="150" t="str">
        <v>❌</v>
      </c>
      <c r="S46" s="150" t="str">
        <v>✅</v>
      </c>
      <c r="T46" s="150" t="str">
        <v>✅</v>
      </c>
      <c r="U46" s="16" t="str">
        <v>✅</v>
      </c>
      <c r="V46" s="16" t="str">
        <v>✅</v>
      </c>
      <c r="X46" s="16" t="str">
        <v>✅</v>
      </c>
      <c r="Y46" s="16" t="str">
        <v>✅</v>
      </c>
      <c r="Z46" s="16" t="inlineStr">
        <is>
          <r>
            <t>@刘晓帝</t>
          </r>
        </is>
      </c>
    </row>
    <row r="47" spans="1:26">
      <c r="A47" s="30" t="str">
        <v>空调控制</v>
      </c>
      <c r="B47" s="168"/>
      <c r="C47" s="177" t="str">
        <v>风量调节 - 调高 / 低</v>
      </c>
      <c r="D47" s="16" t="str">
        <v>P0</v>
      </c>
      <c r="E47" s="177" t="str">
        <v>后排风量低一点</v>
      </c>
      <c r="F47" s="178" t="str">
        <v>N（IS4PR只有单区空调)</v>
      </c>
      <c r="G47" s="178" t="str">
        <v>NA</v>
      </c>
      <c r="I47" s="168"/>
      <c r="J47" s="76"/>
      <c r="K47" s="139"/>
      <c r="L47" s="139"/>
      <c r="N47" s="177" t="str">
        <v>✅</v>
      </c>
      <c r="P47" s="139"/>
      <c r="Q47" s="16" t="str">
        <v>✅</v>
      </c>
      <c r="R47" s="150" t="str">
        <v>✅</v>
      </c>
      <c r="S47" s="150" t="str">
        <v>✅</v>
      </c>
      <c r="T47" s="150" t="str">
        <v>✅</v>
      </c>
      <c r="U47" s="16" t="str">
        <v>✅</v>
      </c>
      <c r="V47" s="16" t="str">
        <v>✅</v>
      </c>
      <c r="X47" s="16" t="str">
        <v>✅</v>
      </c>
      <c r="Z47" s="16" t="inlineStr">
        <is>
          <r>
            <t>@刘晓帝</t>
          </r>
        </is>
      </c>
    </row>
    <row r="48" spans="1:26">
      <c r="A48" s="30" t="str">
        <v>空调控制</v>
      </c>
      <c r="B48" s="168"/>
      <c r="C48" s="16" t="str">
        <v>风量调节 - 调高 / 低 N 级</v>
      </c>
      <c r="D48" s="16" t="str">
        <v>P0</v>
      </c>
      <c r="E48" s="16" t="str">
        <v>风量调高 3 级</v>
      </c>
      <c r="F48" s="167" t="str">
        <v>Y</v>
      </c>
      <c r="H48" s="16" t="str">
        <v>✅</v>
      </c>
      <c r="I48" s="168"/>
      <c r="J48" s="76"/>
      <c r="K48" s="139"/>
      <c r="L48" s="139"/>
      <c r="N48" s="150" t="str">
        <v>✅</v>
      </c>
      <c r="O48" s="150" t="str">
        <v>✅</v>
      </c>
      <c r="P48" s="139"/>
      <c r="Q48" s="16" t="str">
        <v>✅</v>
      </c>
      <c r="R48" s="150" t="str">
        <v>❌</v>
      </c>
      <c r="S48" s="150" t="str">
        <v>✅</v>
      </c>
      <c r="T48" s="150" t="str">
        <v>✅</v>
      </c>
      <c r="U48" s="150" t="str">
        <v>❌</v>
      </c>
      <c r="V48" s="16" t="str">
        <v>✅</v>
      </c>
      <c r="W48" s="16" t="str">
        <v>✅</v>
      </c>
      <c r="X48" s="16" t="str">
        <v>✅</v>
      </c>
      <c r="Y48" s="16" t="str">
        <v>✅</v>
      </c>
      <c r="Z48" s="16" t="inlineStr">
        <is>
          <r>
            <t>@刘晓帝</t>
          </r>
        </is>
      </c>
    </row>
    <row r="49" spans="1:26">
      <c r="A49" s="30" t="str">
        <v>空调控制</v>
      </c>
      <c r="B49" s="168"/>
      <c r="C49" s="16" t="str">
        <v>风量调节 - 调高 / 低 N 级</v>
      </c>
      <c r="D49" s="16" t="str">
        <v>P0</v>
      </c>
      <c r="E49" s="16" t="str">
        <v>调低风量 5 级</v>
      </c>
      <c r="F49" s="167" t="str">
        <v>Y</v>
      </c>
      <c r="H49" s="16" t="str">
        <v>✅</v>
      </c>
      <c r="I49" s="168"/>
      <c r="J49" s="76"/>
      <c r="K49" s="139"/>
      <c r="L49" s="139"/>
      <c r="N49" s="150" t="str">
        <v>✅</v>
      </c>
      <c r="O49" s="150" t="str">
        <v>✅</v>
      </c>
      <c r="P49" s="139"/>
      <c r="Q49" s="16" t="str">
        <v>✅</v>
      </c>
      <c r="R49" s="150" t="str">
        <v>❌</v>
      </c>
      <c r="S49" s="150" t="str">
        <v>✅</v>
      </c>
      <c r="T49" s="150" t="str">
        <v>✅</v>
      </c>
      <c r="U49" s="150" t="str">
        <v>❌</v>
      </c>
      <c r="V49" s="16" t="str">
        <v>✅</v>
      </c>
      <c r="W49" s="16" t="str">
        <v>✅</v>
      </c>
      <c r="X49" s="16" t="str">
        <v>✅</v>
      </c>
      <c r="Y49" s="16" t="str">
        <v>✅</v>
      </c>
      <c r="Z49" s="16" t="inlineStr">
        <is>
          <r>
            <t>@刘晓帝</t>
          </r>
        </is>
      </c>
    </row>
    <row r="50" spans="1:26">
      <c r="A50" s="30" t="str">
        <v>空调控制</v>
      </c>
      <c r="B50" s="168"/>
      <c r="C50" s="16" t="str">
        <v>风量调节 - 最高 / 低</v>
      </c>
      <c r="D50" s="16" t="str">
        <v>P0</v>
      </c>
      <c r="E50" s="16" t="str">
        <v>风量调到最高</v>
      </c>
      <c r="F50" s="167" t="str">
        <v>Y</v>
      </c>
      <c r="H50" s="16" t="str">
        <v>✅</v>
      </c>
      <c r="I50" s="168"/>
      <c r="J50" s="76"/>
      <c r="K50" s="139"/>
      <c r="L50" s="139"/>
      <c r="N50" s="150" t="str">
        <v>✅</v>
      </c>
      <c r="O50" s="150" t="str">
        <v>✅</v>
      </c>
      <c r="P50" s="139"/>
      <c r="Q50" s="16" t="str">
        <v>✅</v>
      </c>
      <c r="R50" s="150" t="str">
        <v>❌</v>
      </c>
      <c r="S50" s="150" t="str">
        <v>✅</v>
      </c>
      <c r="T50" s="150" t="str">
        <v>✅</v>
      </c>
      <c r="U50" s="16" t="str">
        <v>✅</v>
      </c>
      <c r="V50" s="16" t="str">
        <v>✅</v>
      </c>
      <c r="X50" s="16" t="str">
        <v>✅</v>
      </c>
      <c r="Y50" s="16" t="str">
        <v>✅</v>
      </c>
      <c r="Z50" s="16" t="inlineStr">
        <is>
          <r>
            <t>@刘晓帝</t>
          </r>
        </is>
      </c>
    </row>
    <row r="51" spans="1:26">
      <c r="A51" s="30" t="str">
        <v>空调控制</v>
      </c>
      <c r="B51" s="168"/>
      <c r="C51" s="16" t="str">
        <v>风量调节 - 最高 / 低</v>
      </c>
      <c r="D51" s="16" t="str">
        <v>P0</v>
      </c>
      <c r="E51" s="16" t="str">
        <v>风量调到最低</v>
      </c>
      <c r="F51" s="167" t="str">
        <v>Y</v>
      </c>
      <c r="H51" s="16" t="str">
        <v>✅</v>
      </c>
      <c r="I51" s="168"/>
      <c r="J51" s="76"/>
      <c r="K51" s="139"/>
      <c r="L51" s="139"/>
      <c r="N51" s="150" t="str">
        <v>✅</v>
      </c>
      <c r="O51" s="150" t="str">
        <v>✅</v>
      </c>
      <c r="P51" s="139"/>
      <c r="Q51" s="16" t="str">
        <v>✅</v>
      </c>
      <c r="R51" s="150" t="str">
        <v>❌</v>
      </c>
      <c r="S51" s="150" t="str">
        <v>✅</v>
      </c>
      <c r="T51" s="150" t="str">
        <v>✅</v>
      </c>
      <c r="U51" s="16" t="str">
        <v>✅</v>
      </c>
      <c r="V51" s="16" t="str">
        <v>✅</v>
      </c>
      <c r="X51" s="16" t="str">
        <v>✅</v>
      </c>
      <c r="Y51" s="16" t="str">
        <v>✅</v>
      </c>
      <c r="Z51" s="16" t="inlineStr">
        <is>
          <r>
            <t>@刘晓帝</t>
          </r>
        </is>
      </c>
    </row>
    <row r="52" spans="1:26">
      <c r="A52" s="30" t="str">
        <v>空调控制</v>
      </c>
      <c r="B52" s="168"/>
      <c r="C52" s="16" t="str">
        <v>风量调节 - 调到 X 级</v>
      </c>
      <c r="D52" s="16" t="str">
        <v>P0</v>
      </c>
      <c r="E52" s="16" t="str">
        <v>风量调到 6 级</v>
      </c>
      <c r="F52" s="167" t="str">
        <v>Y</v>
      </c>
      <c r="H52" s="16" t="str">
        <v>✅</v>
      </c>
      <c r="I52" s="168"/>
      <c r="J52" s="76"/>
      <c r="K52" s="139"/>
      <c r="L52" s="139"/>
      <c r="N52" s="150" t="str">
        <v>✅</v>
      </c>
      <c r="O52" s="150" t="str">
        <v>✅</v>
      </c>
      <c r="P52" s="139"/>
      <c r="Q52" s="16" t="str">
        <v>✅</v>
      </c>
      <c r="R52" s="150" t="str">
        <v>❌</v>
      </c>
      <c r="S52" s="150" t="str">
        <v>✅</v>
      </c>
      <c r="T52" s="150" t="str">
        <v>✅</v>
      </c>
      <c r="U52" s="16" t="str">
        <v>✅</v>
      </c>
      <c r="V52" s="16" t="str">
        <v>✅</v>
      </c>
      <c r="X52" s="16" t="str">
        <v>✅</v>
      </c>
      <c r="Y52" s="16" t="str">
        <v>✅</v>
      </c>
      <c r="Z52" s="16" t="inlineStr">
        <is>
          <r>
            <t>@刘晓帝</t>
          </r>
        </is>
      </c>
    </row>
    <row r="53" spans="1:26">
      <c r="A53" s="30" t="str">
        <v>空调控制</v>
      </c>
      <c r="B53" s="168"/>
      <c r="C53" s="16" t="str">
        <v>风量调节 - 上下文理解</v>
      </c>
      <c r="D53" s="16" t="str">
        <v>P0</v>
      </c>
      <c r="E53" s="16" t="str">
        <v>再大一点</v>
      </c>
      <c r="F53" s="167" t="str">
        <v>Y</v>
      </c>
      <c r="H53" s="16" t="str">
        <v>不适用实车前置验证</v>
      </c>
      <c r="I53" s="168"/>
      <c r="J53" s="183"/>
      <c r="K53" s="139"/>
      <c r="L53" s="139"/>
      <c r="N53" s="150" t="str">
        <v>✅</v>
      </c>
      <c r="O53" s="150" t="str">
        <v>✅</v>
      </c>
      <c r="P53" s="139"/>
      <c r="Q53" s="16" t="str">
        <v>✅</v>
      </c>
      <c r="R53" s="150" t="str">
        <v>❌</v>
      </c>
      <c r="S53" s="150" t="str">
        <v>✅</v>
      </c>
      <c r="T53" s="150" t="str">
        <v>✅</v>
      </c>
      <c r="U53" s="16" t="str">
        <v>✅</v>
      </c>
      <c r="V53" s="16" t="str">
        <v>✅</v>
      </c>
      <c r="X53" s="16" t="str">
        <v>✅</v>
      </c>
      <c r="Y53" s="16" t="str">
        <v>✅</v>
      </c>
      <c r="Z53" s="16" t="inlineStr">
        <is>
          <r>
            <t>@刘晓帝</t>
          </r>
        </is>
      </c>
    </row>
    <row r="54" spans="1:26">
      <c r="A54" s="30" t="str">
        <v>空调控制</v>
      </c>
      <c r="B54" s="168"/>
      <c r="C54" s="16" t="str">
        <v>AUTO 风量设置</v>
      </c>
      <c r="D54" s="16" t="str">
        <v>P0</v>
      </c>
      <c r="E54" s="16" t="str">
        <v>打开轻柔风量</v>
      </c>
      <c r="F54" s="167" t="str">
        <v>Y</v>
      </c>
      <c r="H54" s="16" t="str">
        <v>✅</v>
      </c>
      <c r="I54" s="168"/>
      <c r="J54" s="166" t="str">
        <v>空调自动风量模式调节</v>
      </c>
      <c r="K54" s="139"/>
      <c r="L54" s="139"/>
      <c r="N54" s="150" t="str">
        <v>✅</v>
      </c>
      <c r="O54" s="150" t="str">
        <v>✅</v>
      </c>
      <c r="P54" s="139"/>
      <c r="Q54" s="16" t="str">
        <v>✅</v>
      </c>
      <c r="R54" s="150" t="str">
        <v>✅</v>
      </c>
      <c r="S54" s="150" t="str">
        <v>✅</v>
      </c>
      <c r="T54" s="150" t="str">
        <v>✅</v>
      </c>
      <c r="U54" s="16" t="str">
        <v>✅</v>
      </c>
      <c r="V54" s="16" t="str">
        <v>✅</v>
      </c>
      <c r="X54" s="16" t="str">
        <v>✅</v>
      </c>
      <c r="Z54" s="16" t="inlineStr">
        <is>
          <r>
            <t>@刘晓帝</t>
          </r>
        </is>
      </c>
    </row>
    <row r="55" spans="1:26">
      <c r="A55" s="30" t="str">
        <v>空调控制</v>
      </c>
      <c r="B55" s="168"/>
      <c r="C55" s="16" t="str">
        <v>AUTO 风量设置</v>
      </c>
      <c r="D55" s="16" t="str">
        <v>P0</v>
      </c>
      <c r="E55" s="16" t="str">
        <v>风量设置为强劲模式</v>
      </c>
      <c r="F55" s="167" t="str">
        <v>Y</v>
      </c>
      <c r="H55" s="16" t="str">
        <v>✅</v>
      </c>
      <c r="I55" s="168"/>
      <c r="J55" s="30"/>
      <c r="K55" s="139"/>
      <c r="L55" s="139"/>
      <c r="N55" s="150" t="str">
        <v>✅</v>
      </c>
      <c r="O55" s="150" t="str">
        <v>✅</v>
      </c>
      <c r="P55" s="139"/>
      <c r="Q55" s="16" t="str">
        <v>✅</v>
      </c>
      <c r="R55" s="150" t="str">
        <v>✅</v>
      </c>
      <c r="S55" s="150" t="str">
        <v>✅</v>
      </c>
      <c r="T55" s="150" t="str">
        <v>✅</v>
      </c>
      <c r="U55" s="150" t="str">
        <v>❌</v>
      </c>
      <c r="V55" s="16" t="str">
        <v>✅</v>
      </c>
      <c r="W55" s="16" t="str">
        <v>✅</v>
      </c>
      <c r="X55" s="150" t="str">
        <v>✅</v>
      </c>
      <c r="Y55" s="16" t="str">
        <v>✅</v>
      </c>
      <c r="Z55" s="16" t="inlineStr">
        <is>
          <r>
            <t>@刘晓帝</t>
          </r>
        </is>
      </c>
    </row>
    <row r="56" spans="1:26">
      <c r="A56" s="30" t="str">
        <v>空调控制</v>
      </c>
      <c r="B56" s="168"/>
      <c r="C56" s="16" t="str">
        <v>打开 AUTO</v>
      </c>
      <c r="D56" s="16" t="str">
        <v>P0</v>
      </c>
      <c r="E56" s="16" t="str">
        <v>打开自动空调</v>
      </c>
      <c r="F56" s="167" t="str">
        <v>Y</v>
      </c>
      <c r="H56" s="16" t="str">
        <v>✅</v>
      </c>
      <c r="I56" s="168"/>
      <c r="J56" s="166" t="str">
        <v>空调开关</v>
      </c>
      <c r="K56" s="139"/>
      <c r="L56" s="139"/>
      <c r="N56" s="16" t="str">
        <v>✅</v>
      </c>
      <c r="O56" s="16" t="str">
        <v>✅</v>
      </c>
      <c r="P56" s="139"/>
      <c r="Q56" s="16" t="str">
        <v>✅</v>
      </c>
      <c r="R56" s="150" t="str">
        <v>✅</v>
      </c>
      <c r="S56" s="150" t="str">
        <v>✅</v>
      </c>
      <c r="T56" s="150" t="str">
        <v>✅</v>
      </c>
      <c r="U56" s="16" t="str">
        <v>✅</v>
      </c>
      <c r="V56" s="16" t="str">
        <v>✅</v>
      </c>
      <c r="X56" s="16" t="str">
        <v>✅</v>
      </c>
      <c r="Z56" s="16" t="inlineStr">
        <is>
          <r>
            <t>@刘晓帝</t>
          </r>
        </is>
      </c>
    </row>
    <row r="57" spans="1:26">
      <c r="A57" s="30" t="str">
        <v>空调控制</v>
      </c>
      <c r="B57" s="168"/>
      <c r="C57" s="16" t="str">
        <v>关闭 AUTO</v>
      </c>
      <c r="D57" s="16" t="str">
        <v>P0</v>
      </c>
      <c r="E57" s="16" t="str">
        <v>关闭 AUTO</v>
      </c>
      <c r="F57" s="167" t="str">
        <v>Y</v>
      </c>
      <c r="H57" s="16" t="str">
        <v>✅</v>
      </c>
      <c r="I57" s="168"/>
      <c r="J57" s="30"/>
      <c r="K57" s="139"/>
      <c r="L57" s="139"/>
      <c r="N57" s="16" t="str">
        <v>✅</v>
      </c>
      <c r="O57" s="16" t="str">
        <v>✅</v>
      </c>
      <c r="P57" s="139"/>
      <c r="Q57" s="16" t="str">
        <v>✅</v>
      </c>
      <c r="R57" s="150" t="str">
        <v>✅</v>
      </c>
      <c r="S57" s="150" t="str">
        <v>✅</v>
      </c>
      <c r="T57" s="150" t="str">
        <v>✅</v>
      </c>
      <c r="U57" s="16" t="str">
        <v>✅</v>
      </c>
      <c r="V57" s="16" t="str">
        <v>✅</v>
      </c>
      <c r="X57" s="16" t="str">
        <v>✅</v>
      </c>
      <c r="Z57" s="16" t="inlineStr">
        <is>
          <r>
            <t>@刘晓帝</t>
          </r>
        </is>
      </c>
    </row>
    <row r="58" spans="1:26">
      <c r="A58" s="30" t="str">
        <v>空调控制</v>
      </c>
      <c r="B58" s="168"/>
      <c r="C58" s="16" t="str">
        <v>打开除霜除雾</v>
      </c>
      <c r="D58" s="16" t="str">
        <v>P0</v>
      </c>
      <c r="E58" s="16" t="str">
        <v>打开前除霜</v>
      </c>
      <c r="F58" s="167" t="str">
        <v>Y</v>
      </c>
      <c r="H58" s="16" t="str">
        <v>✅</v>
      </c>
      <c r="I58" s="168"/>
      <c r="J58" s="166" t="str">
        <v>空调除雾除霜开关</v>
      </c>
      <c r="K58" s="139"/>
      <c r="L58" s="139"/>
      <c r="N58" s="150" t="str">
        <v>✅</v>
      </c>
      <c r="O58" s="150" t="str">
        <v>✅</v>
      </c>
      <c r="P58" s="139"/>
      <c r="Q58" s="16" t="str">
        <v>✅</v>
      </c>
      <c r="R58" s="150" t="str">
        <v>✅</v>
      </c>
      <c r="S58" s="150" t="str">
        <v>✅</v>
      </c>
      <c r="T58" s="150" t="str">
        <v>✅</v>
      </c>
      <c r="U58" s="16" t="str">
        <v>✅</v>
      </c>
      <c r="V58" s="16" t="str">
        <v>✅</v>
      </c>
      <c r="X58" s="16" t="str">
        <v>✅</v>
      </c>
      <c r="Z58" s="16" t="inlineStr">
        <is>
          <r>
            <t>@刘晓帝</t>
          </r>
        </is>
      </c>
    </row>
    <row r="59" spans="1:26">
      <c r="A59" s="30" t="str">
        <v>空调控制</v>
      </c>
      <c r="B59" s="168"/>
      <c r="C59" s="16" t="str">
        <v>打开除霜除雾</v>
      </c>
      <c r="D59" s="16" t="str">
        <v>P0</v>
      </c>
      <c r="E59" s="16" t="str">
        <v>激活后除雾</v>
      </c>
      <c r="F59" s="167" t="str">
        <v>Y</v>
      </c>
      <c r="H59" s="16" t="str">
        <v>✅</v>
      </c>
      <c r="I59" s="168"/>
      <c r="J59" s="168"/>
      <c r="K59" s="139"/>
      <c r="L59" s="139"/>
      <c r="N59" s="150" t="str">
        <v>✅</v>
      </c>
      <c r="O59" s="150" t="str">
        <v>✅</v>
      </c>
      <c r="P59" s="139"/>
      <c r="Q59" s="16" t="str">
        <v>✅</v>
      </c>
      <c r="R59" s="150" t="str">
        <v>✅</v>
      </c>
      <c r="S59" s="150" t="str">
        <v>✅</v>
      </c>
      <c r="T59" s="150" t="str">
        <v>✅</v>
      </c>
      <c r="U59" s="16" t="str">
        <v>✅</v>
      </c>
      <c r="V59" s="16" t="str">
        <v>✅</v>
      </c>
      <c r="X59" s="16" t="str">
        <v>✅</v>
      </c>
      <c r="Z59" s="16" t="inlineStr">
        <is>
          <r>
            <t>@刘晓帝</t>
          </r>
        </is>
      </c>
    </row>
    <row r="60" spans="1:26">
      <c r="A60" s="30" t="str">
        <v>空调控制</v>
      </c>
      <c r="B60" s="168"/>
      <c r="C60" s="16" t="str">
        <v>关闭除霜除雾</v>
      </c>
      <c r="D60" s="16" t="str">
        <v>P0</v>
      </c>
      <c r="E60" s="16" t="str">
        <v>关闭除霜</v>
      </c>
      <c r="F60" s="167" t="str">
        <v>Y</v>
      </c>
      <c r="H60" s="16" t="str">
        <v>✅</v>
      </c>
      <c r="I60" s="168"/>
      <c r="J60" s="168"/>
      <c r="K60" s="139"/>
      <c r="L60" s="139"/>
      <c r="N60" s="150" t="str">
        <v>✅</v>
      </c>
      <c r="O60" s="150" t="str">
        <v>✅</v>
      </c>
      <c r="P60" s="139"/>
      <c r="Q60" s="16" t="str">
        <v>✅</v>
      </c>
      <c r="R60" s="150" t="str">
        <v>✅</v>
      </c>
      <c r="S60" s="150" t="str">
        <v>✅</v>
      </c>
      <c r="T60" s="150" t="str">
        <v>✅</v>
      </c>
      <c r="U60" s="150" t="str">
        <v>❌</v>
      </c>
      <c r="V60" s="16" t="str">
        <v>✅</v>
      </c>
      <c r="W60" s="16" t="str">
        <v>✅</v>
      </c>
      <c r="X60" s="150" t="str">
        <v>✅</v>
      </c>
      <c r="Y60" s="16" t="str">
        <v>✅</v>
      </c>
      <c r="Z60" s="16" t="inlineStr">
        <is>
          <r>
            <t>@刘晓帝</t>
          </r>
        </is>
      </c>
    </row>
    <row r="61" spans="1:26">
      <c r="A61" s="30" t="str">
        <v>空调控制</v>
      </c>
      <c r="B61" s="168"/>
      <c r="C61" s="16" t="str">
        <v>关闭除霜除雾</v>
      </c>
      <c r="D61" s="16" t="str">
        <v>P0</v>
      </c>
      <c r="E61" s="16" t="str">
        <v>关前除雾</v>
      </c>
      <c r="F61" s="167" t="str">
        <v>Y</v>
      </c>
      <c r="H61" s="16" t="str">
        <v>✅</v>
      </c>
      <c r="I61" s="168"/>
      <c r="J61" s="30"/>
      <c r="K61" s="139"/>
      <c r="L61" s="139"/>
      <c r="N61" s="150" t="str">
        <v>✅</v>
      </c>
      <c r="O61" s="150" t="str">
        <v>✅</v>
      </c>
      <c r="P61" s="139"/>
      <c r="Q61" s="16" t="str">
        <v>✅</v>
      </c>
      <c r="R61" s="150" t="str">
        <v>✅</v>
      </c>
      <c r="S61" s="150" t="str">
        <v>✅</v>
      </c>
      <c r="T61" s="150" t="str">
        <v>✅</v>
      </c>
      <c r="U61" s="16" t="str">
        <v>✅</v>
      </c>
      <c r="V61" s="16" t="str">
        <v>✅</v>
      </c>
      <c r="X61" s="16" t="str">
        <v>✅</v>
      </c>
      <c r="Z61" s="16" t="inlineStr">
        <is>
          <r>
            <t>@刘晓帝</t>
          </r>
        </is>
      </c>
    </row>
    <row r="62" spans="1:26">
      <c r="A62" s="30" t="str">
        <v>空调控制</v>
      </c>
      <c r="B62" s="168"/>
      <c r="C62" s="16" t="str">
        <v>打开后视镜加热</v>
      </c>
      <c r="D62" s="16" t="str">
        <v>P0</v>
      </c>
      <c r="E62" s="16" t="str">
        <v>打开后视镜加热</v>
      </c>
      <c r="F62" s="167" t="str">
        <v>Y</v>
      </c>
      <c r="H62" s="16" t="str">
        <v>✅</v>
      </c>
      <c r="I62" s="168"/>
      <c r="J62" s="166" t="str">
        <v>外后视镜加热开关</v>
      </c>
      <c r="K62" s="139"/>
      <c r="L62" s="139"/>
      <c r="M62" s="1"/>
      <c r="N62" s="150" t="str">
        <v>✅</v>
      </c>
      <c r="O62" s="150" t="str">
        <v>✅</v>
      </c>
      <c r="P62" s="139"/>
      <c r="Q62" s="16" t="str">
        <v>✅</v>
      </c>
      <c r="R62" s="150" t="str">
        <v>❌</v>
      </c>
      <c r="S62" s="150" t="str">
        <v>✅</v>
      </c>
      <c r="T62" s="150" t="str">
        <v>✅</v>
      </c>
      <c r="U62" s="16" t="str">
        <v>✅</v>
      </c>
      <c r="V62" s="16" t="str">
        <v>✅</v>
      </c>
      <c r="X62" s="16" t="str">
        <v>✅</v>
      </c>
      <c r="Y62" s="16" t="str">
        <v>✅</v>
      </c>
      <c r="Z62" s="16" t="inlineStr">
        <is>
          <r>
            <t>@刘晓帝</t>
          </r>
        </is>
      </c>
    </row>
    <row r="63" spans="1:26">
      <c r="A63" s="30" t="str">
        <v>空调控制</v>
      </c>
      <c r="B63" s="168"/>
      <c r="C63" s="16" t="str">
        <v>关闭后视镜加热</v>
      </c>
      <c r="D63" s="16" t="str">
        <v>P0</v>
      </c>
      <c r="E63" s="16" t="str">
        <v>关闭后视镜加热</v>
      </c>
      <c r="F63" s="167" t="str">
        <v>Y</v>
      </c>
      <c r="H63" s="16" t="str">
        <v>✅</v>
      </c>
      <c r="I63" s="168"/>
      <c r="J63" s="30"/>
      <c r="K63" s="139"/>
      <c r="L63" s="139"/>
      <c r="M63" s="1"/>
      <c r="N63" s="150" t="str">
        <v>✅</v>
      </c>
      <c r="O63" s="150" t="str">
        <v>✅</v>
      </c>
      <c r="P63" s="139"/>
      <c r="Q63" s="16" t="str">
        <v>✅</v>
      </c>
      <c r="R63" s="150" t="str">
        <v>❌</v>
      </c>
      <c r="S63" s="150" t="str">
        <v>✅</v>
      </c>
      <c r="T63" s="150" t="str">
        <v>✅</v>
      </c>
      <c r="U63" s="16" t="str">
        <v>✅</v>
      </c>
      <c r="V63" s="150" t="str">
        <v>❌</v>
      </c>
      <c r="W63" s="16" t="str">
        <v>✅</v>
      </c>
      <c r="X63" s="16" t="str">
        <v>✅</v>
      </c>
      <c r="Y63" s="16" t="str">
        <v>✅</v>
      </c>
      <c r="Z63" s="16" t="inlineStr">
        <is>
          <r>
            <t>@刘晓帝</t>
          </r>
        </is>
      </c>
    </row>
    <row r="64" spans="1:26">
      <c r="A64" s="30" t="str">
        <v>空调控制</v>
      </c>
      <c r="B64" s="168"/>
      <c r="C64" s="16" t="str">
        <v>查询车外温度</v>
      </c>
      <c r="D64" s="16" t="str">
        <v>P0</v>
      </c>
      <c r="E64" s="16" t="str">
        <v>车外温度是多少</v>
      </c>
      <c r="F64" s="167" t="str">
        <v>Y</v>
      </c>
      <c r="H64" s="16" t="str">
        <v>✅</v>
      </c>
      <c r="I64" s="168"/>
      <c r="J64" s="166" t="str">
        <v>端状态</v>
      </c>
      <c r="K64" s="139"/>
      <c r="L64" s="139"/>
      <c r="N64" s="16" t="str">
        <v>✅</v>
      </c>
      <c r="O64" s="16" t="str">
        <v>✅</v>
      </c>
      <c r="P64" s="139"/>
      <c r="Q64" s="16" t="str">
        <v>✅</v>
      </c>
      <c r="R64" s="150" t="str">
        <v>✅</v>
      </c>
      <c r="S64" s="150" t="str">
        <v>✅</v>
      </c>
      <c r="T64" s="150" t="str">
        <v>✅</v>
      </c>
      <c r="U64" s="16" t="str">
        <v>✅</v>
      </c>
      <c r="V64" s="16" t="str">
        <v>✅</v>
      </c>
      <c r="X64" s="16" t="str">
        <v>✅</v>
      </c>
      <c r="Z64" s="16" t="inlineStr">
        <is>
          <r>
            <t>@刘晓帝</t>
          </r>
        </is>
      </c>
    </row>
    <row r="65" spans="1:26">
      <c r="A65" s="30" t="str">
        <v>空调控制</v>
      </c>
      <c r="B65" s="168"/>
      <c r="C65" s="16" t="str">
        <v>查询车外温度</v>
      </c>
      <c r="D65" s="16" t="str">
        <v>P0</v>
      </c>
      <c r="E65" s="16" t="str">
        <v>外面几度</v>
      </c>
      <c r="F65" s="167" t="str">
        <v>Y</v>
      </c>
      <c r="H65" s="16" t="str">
        <v>✅</v>
      </c>
      <c r="I65" s="168"/>
      <c r="J65" s="168"/>
      <c r="K65" s="139"/>
      <c r="L65" s="139"/>
      <c r="N65" s="16" t="str">
        <v>✅</v>
      </c>
      <c r="O65" s="16" t="str">
        <v>✅</v>
      </c>
      <c r="P65" s="139"/>
      <c r="Q65" s="16" t="str">
        <v>✅</v>
      </c>
      <c r="R65" s="150" t="str">
        <v>✅</v>
      </c>
      <c r="S65" s="150" t="str">
        <v>✅</v>
      </c>
      <c r="T65" s="150" t="str">
        <v>✅</v>
      </c>
      <c r="U65" s="16" t="str">
        <v>✅</v>
      </c>
      <c r="V65" s="16" t="str">
        <v>✅</v>
      </c>
      <c r="X65" s="16" t="str">
        <v>✅</v>
      </c>
      <c r="Z65" s="16" t="inlineStr">
        <is>
          <r>
            <t>@刘晓帝</t>
          </r>
        </is>
      </c>
    </row>
    <row r="66" spans="1:26">
      <c r="A66" s="30" t="str">
        <v>空调控制</v>
      </c>
      <c r="B66" s="168"/>
      <c r="C66" s="16" t="str">
        <v>查询空调温度和风量大小</v>
      </c>
      <c r="D66" s="16" t="str">
        <v>P0</v>
      </c>
      <c r="E66" s="16" t="str">
        <v>查询主驾空调温度</v>
      </c>
      <c r="F66" s="167" t="str">
        <v>Y</v>
      </c>
      <c r="H66" s="16" t="str">
        <v>✅</v>
      </c>
      <c r="I66" s="168"/>
      <c r="J66" s="168"/>
      <c r="K66" s="139"/>
      <c r="L66" s="139"/>
      <c r="N66" s="16" t="str">
        <v>✅</v>
      </c>
      <c r="O66" s="16" t="str">
        <v>✅</v>
      </c>
      <c r="P66" s="139"/>
      <c r="Q66" s="16" t="str">
        <v>✅</v>
      </c>
      <c r="R66" s="150" t="str">
        <v>❌</v>
      </c>
      <c r="S66" s="150" t="str">
        <v>✅</v>
      </c>
      <c r="T66" s="150" t="str">
        <v>✅</v>
      </c>
      <c r="U66" s="16" t="str">
        <v>✅</v>
      </c>
      <c r="V66" s="16" t="str">
        <v>✅</v>
      </c>
      <c r="X66" s="16" t="str">
        <v>✅</v>
      </c>
      <c r="Y66" s="16" t="str">
        <v>✅</v>
      </c>
      <c r="Z66" s="16" t="inlineStr">
        <is>
          <r>
            <t>@刘晓帝</t>
          </r>
        </is>
      </c>
    </row>
    <row r="67" spans="1:26">
      <c r="A67" s="30" t="str">
        <v>空调控制</v>
      </c>
      <c r="B67" s="168"/>
      <c r="C67" s="16" t="str">
        <v>查询空调温度和风量大小</v>
      </c>
      <c r="D67" s="16" t="str">
        <v>P0</v>
      </c>
      <c r="E67" s="16" t="str">
        <v>查询风量是多少</v>
      </c>
      <c r="F67" s="167" t="str">
        <v>Y</v>
      </c>
      <c r="H67" s="16" t="str">
        <v>✅</v>
      </c>
      <c r="I67" s="168"/>
      <c r="J67" s="30"/>
      <c r="K67" s="139"/>
      <c r="L67" s="139"/>
      <c r="N67" s="16" t="str">
        <v>✅</v>
      </c>
      <c r="O67" s="16" t="str">
        <v>✅</v>
      </c>
      <c r="P67" s="139"/>
      <c r="Q67" s="16" t="str">
        <v>✅</v>
      </c>
      <c r="R67" s="150" t="str">
        <v>❌</v>
      </c>
      <c r="S67" s="150" t="str">
        <v>✅</v>
      </c>
      <c r="T67" s="150" t="str">
        <v>✅</v>
      </c>
      <c r="U67" s="16" t="str">
        <v>✅</v>
      </c>
      <c r="V67" s="16" t="str">
        <v>✅</v>
      </c>
      <c r="X67" s="16" t="str">
        <v>✅</v>
      </c>
      <c r="Y67" s="16" t="str">
        <v>✅</v>
      </c>
      <c r="Z67" s="16" t="inlineStr">
        <is>
          <r>
            <t>@刘晓帝</t>
          </r>
        </is>
      </c>
    </row>
    <row r="68" spans="1:26">
      <c r="A68" s="30" t="str">
        <v>空调控制</v>
      </c>
      <c r="B68" s="168"/>
      <c r="C68" s="16" t="str">
        <v>打开温度同步</v>
      </c>
      <c r="D68" s="16" t="str">
        <v>P0</v>
      </c>
      <c r="E68" s="16" t="str">
        <v>打开温度同步设置</v>
      </c>
      <c r="F68" s="167" t="str">
        <v>Y</v>
      </c>
      <c r="H68" s="16" t="str">
        <v>✅</v>
      </c>
      <c r="I68" s="168"/>
      <c r="J68" s="176" t="str">
        <v>空调同步开关</v>
      </c>
      <c r="K68" s="139"/>
      <c r="L68" s="139"/>
      <c r="N68" s="16" t="str">
        <v>✅</v>
      </c>
      <c r="O68" s="16" t="str">
        <v>✅</v>
      </c>
      <c r="P68" s="139"/>
      <c r="Q68" s="16" t="str">
        <v>✅</v>
      </c>
      <c r="R68" s="150" t="str">
        <v>✅</v>
      </c>
      <c r="S68" s="150" t="str">
        <v>✅</v>
      </c>
      <c r="T68" s="150" t="str">
        <v>✅</v>
      </c>
      <c r="U68" s="16" t="str">
        <v>✅</v>
      </c>
      <c r="V68" s="16" t="str">
        <v>✅</v>
      </c>
      <c r="X68" s="16" t="str">
        <v>✅</v>
      </c>
      <c r="Z68" s="16" t="inlineStr">
        <is>
          <r>
            <t>@刘晓帝</t>
          </r>
        </is>
      </c>
    </row>
    <row r="69" spans="1:26">
      <c r="A69" s="30" t="str">
        <v>空调控制</v>
      </c>
      <c r="B69" s="168"/>
      <c r="C69" s="16" t="str">
        <v>打开温度同步</v>
      </c>
      <c r="D69" s="16" t="str">
        <v>P0</v>
      </c>
      <c r="E69" s="16" t="str">
        <v>车内温度一致</v>
      </c>
      <c r="F69" s="167" t="str">
        <v>Y</v>
      </c>
      <c r="H69" s="16" t="str">
        <v>✅</v>
      </c>
      <c r="I69" s="168"/>
      <c r="J69" s="76"/>
      <c r="K69" s="139"/>
      <c r="L69" s="139"/>
      <c r="N69" s="16" t="str">
        <v>✅</v>
      </c>
      <c r="O69" s="16" t="str">
        <v>✅</v>
      </c>
      <c r="P69" s="139"/>
      <c r="Q69" s="16" t="str">
        <v>✅</v>
      </c>
      <c r="R69" s="150" t="str">
        <v>✅</v>
      </c>
      <c r="S69" s="150" t="str">
        <v>✅</v>
      </c>
      <c r="T69" s="150" t="str">
        <v>✅</v>
      </c>
      <c r="U69" s="16" t="str">
        <v>✅</v>
      </c>
      <c r="V69" s="16" t="str">
        <v>✅</v>
      </c>
      <c r="X69" s="16" t="str">
        <v>✅</v>
      </c>
      <c r="Z69" s="16" t="inlineStr">
        <is>
          <r>
            <t>@刘晓帝</t>
          </r>
        </is>
      </c>
    </row>
    <row r="70" spans="1:26">
      <c r="A70" s="30" t="str">
        <v>空调控制</v>
      </c>
      <c r="B70" s="168"/>
      <c r="C70" s="16" t="str">
        <v>关闭温度同步</v>
      </c>
      <c r="D70" s="16" t="str">
        <v>P0</v>
      </c>
      <c r="E70" s="16" t="str">
        <v>关闭温度同步</v>
      </c>
      <c r="F70" s="167" t="str">
        <v>Y</v>
      </c>
      <c r="H70" s="16" t="str">
        <v>✅</v>
      </c>
      <c r="I70" s="168"/>
      <c r="J70" s="76"/>
      <c r="K70" s="139"/>
      <c r="L70" s="139"/>
      <c r="N70" s="150" t="str">
        <v>✅</v>
      </c>
      <c r="O70" s="150" t="str">
        <v>✅</v>
      </c>
      <c r="P70" s="139"/>
      <c r="Q70" s="16" t="str">
        <v>✅</v>
      </c>
      <c r="R70" s="150" t="str">
        <v>✅</v>
      </c>
      <c r="S70" s="150" t="str">
        <v>✅</v>
      </c>
      <c r="T70" s="150" t="str">
        <v>✅</v>
      </c>
      <c r="U70" s="16" t="str">
        <v>✅</v>
      </c>
      <c r="V70" s="16" t="str">
        <v>✅</v>
      </c>
      <c r="X70" s="16" t="str">
        <v>✅</v>
      </c>
      <c r="Z70" s="16" t="inlineStr">
        <is>
          <r>
            <t>@刘晓帝</t>
          </r>
        </is>
      </c>
    </row>
    <row r="71" spans="1:26">
      <c r="A71" s="30" t="str">
        <v>空调控制</v>
      </c>
      <c r="B71" s="168"/>
      <c r="C71" s="16" t="str">
        <v>关闭温度同步</v>
      </c>
      <c r="D71" s="16" t="str">
        <v>P0</v>
      </c>
      <c r="E71" s="16" t="str">
        <v>取消温度同步</v>
      </c>
      <c r="F71" s="167" t="str">
        <v>Y</v>
      </c>
      <c r="H71" s="16" t="str">
        <v>✅</v>
      </c>
      <c r="I71" s="168"/>
      <c r="J71" s="183"/>
      <c r="K71" s="139"/>
      <c r="L71" s="139"/>
      <c r="N71" s="150" t="str">
        <v>✅</v>
      </c>
      <c r="O71" s="150" t="str">
        <v>✅</v>
      </c>
      <c r="P71" s="139"/>
      <c r="Q71" s="16" t="str">
        <v>✅</v>
      </c>
      <c r="R71" s="150" t="str">
        <v>✅</v>
      </c>
      <c r="S71" s="150" t="str">
        <v>✅</v>
      </c>
      <c r="T71" s="150" t="str">
        <v>✅</v>
      </c>
      <c r="U71" s="16" t="str">
        <v>✅</v>
      </c>
      <c r="V71" s="16" t="str">
        <v>✅</v>
      </c>
      <c r="X71" s="16" t="str">
        <v>✅</v>
      </c>
      <c r="Z71" s="16" t="inlineStr">
        <is>
          <r>
            <t>@刘晓帝</t>
          </r>
        </is>
      </c>
    </row>
    <row r="72" spans="1:26">
      <c r="A72" s="30" t="str">
        <v>空调控制</v>
      </c>
      <c r="B72" s="168"/>
      <c r="C72" s="16" t="str">
        <v>循环切换</v>
      </c>
      <c r="D72" s="16" t="str">
        <v>P0</v>
      </c>
      <c r="E72" s="16" t="str">
        <v>切换到内循环</v>
      </c>
      <c r="F72" s="167" t="str">
        <v>Y</v>
      </c>
      <c r="H72" s="16" t="str">
        <v>✅</v>
      </c>
      <c r="I72" s="168"/>
      <c r="J72" s="166" t="str">
        <v>空调内外循环控制</v>
      </c>
      <c r="K72" s="139"/>
      <c r="L72" s="139"/>
      <c r="N72" s="16" t="str">
        <v>✅</v>
      </c>
      <c r="O72" s="16" t="str">
        <v>✅</v>
      </c>
      <c r="P72" s="139"/>
      <c r="Q72" s="16" t="str">
        <v>✅</v>
      </c>
      <c r="R72" s="150" t="str">
        <v>✅</v>
      </c>
      <c r="S72" s="150" t="str">
        <v>✅</v>
      </c>
      <c r="T72" s="150" t="str">
        <v>✅</v>
      </c>
      <c r="U72" s="16" t="str">
        <v>✅</v>
      </c>
      <c r="V72" s="16" t="str">
        <v>✅</v>
      </c>
      <c r="X72" s="16" t="str">
        <v>✅</v>
      </c>
      <c r="Z72" s="16" t="inlineStr">
        <is>
          <r>
            <t>@刘晓帝</t>
          </r>
        </is>
      </c>
    </row>
    <row r="73" spans="1:26">
      <c r="A73" s="30" t="str">
        <v>空调控制</v>
      </c>
      <c r="B73" s="168"/>
      <c r="C73" s="16" t="str">
        <v>循环切换</v>
      </c>
      <c r="D73" s="16" t="str">
        <v>P0</v>
      </c>
      <c r="E73" s="16" t="str">
        <v>打开外循环</v>
      </c>
      <c r="F73" s="167" t="str">
        <v>Y</v>
      </c>
      <c r="H73" s="16" t="str">
        <v>✅</v>
      </c>
      <c r="I73" s="168"/>
      <c r="J73" s="168"/>
      <c r="K73" s="139"/>
      <c r="L73" s="139"/>
      <c r="N73" s="150" t="str">
        <v>✅</v>
      </c>
      <c r="O73" s="150" t="str">
        <v>✅</v>
      </c>
      <c r="P73" s="139"/>
      <c r="Q73" s="16" t="str">
        <v>✅</v>
      </c>
      <c r="R73" s="150" t="str">
        <v>✅</v>
      </c>
      <c r="S73" s="150" t="str">
        <v>✅</v>
      </c>
      <c r="T73" s="150" t="str">
        <v>✅</v>
      </c>
      <c r="U73" s="16" t="str">
        <v>✅</v>
      </c>
      <c r="V73" s="16" t="str">
        <v>✅</v>
      </c>
      <c r="X73" s="16" t="str">
        <v>✅</v>
      </c>
      <c r="Z73" s="16" t="inlineStr">
        <is>
          <r>
            <t>@刘晓帝</t>
          </r>
        </is>
      </c>
    </row>
    <row r="74" spans="1:26">
      <c r="A74" s="30" t="str">
        <v>空调控制</v>
      </c>
      <c r="B74" s="168"/>
      <c r="C74" s="16" t="str">
        <v>循环切换</v>
      </c>
      <c r="D74" s="16" t="str">
        <v>P0</v>
      </c>
      <c r="E74" s="16" t="str">
        <v>激活自动循环</v>
      </c>
      <c r="F74" s="167" t="str">
        <v>Y</v>
      </c>
      <c r="H74" s="16" t="str">
        <v>✅</v>
      </c>
      <c r="I74" s="168"/>
      <c r="J74" s="30"/>
      <c r="K74" s="139"/>
      <c r="L74" s="139"/>
      <c r="N74" s="150" t="str">
        <v>✅</v>
      </c>
      <c r="O74" s="150" t="str">
        <v>✅</v>
      </c>
      <c r="P74" s="139"/>
      <c r="Q74" s="16" t="str">
        <v>✅</v>
      </c>
      <c r="R74" s="150" t="str">
        <v>✅</v>
      </c>
      <c r="S74" s="150" t="str">
        <v>✅</v>
      </c>
      <c r="T74" s="150" t="str">
        <v>✅</v>
      </c>
      <c r="U74" s="16" t="str">
        <v>✅</v>
      </c>
      <c r="V74" s="16" t="str">
        <v>✅</v>
      </c>
      <c r="X74" s="16" t="str">
        <v>✅</v>
      </c>
      <c r="Z74" s="16" t="inlineStr">
        <is>
          <r>
            <t>@刘晓帝</t>
          </r>
        </is>
      </c>
    </row>
    <row r="75" spans="1:26">
      <c r="A75" s="30" t="str">
        <v>空调控制</v>
      </c>
      <c r="B75" s="168"/>
      <c r="C75" s="16" t="str">
        <v>打开 / 关闭制冷</v>
      </c>
      <c r="D75" s="16" t="str">
        <v>P0</v>
      </c>
      <c r="E75" s="16" t="str">
        <v>打开制冷</v>
      </c>
      <c r="F75" s="167" t="str">
        <v>Y</v>
      </c>
      <c r="H75" s="16" t="str">
        <v>✅</v>
      </c>
      <c r="I75" s="168"/>
      <c r="J75" s="166" t="str">
        <v>空调开关</v>
      </c>
      <c r="K75" s="139"/>
      <c r="L75" s="139"/>
      <c r="N75" s="150" t="str">
        <v>✅</v>
      </c>
      <c r="O75" s="150" t="str">
        <v>✅</v>
      </c>
      <c r="P75" s="139"/>
      <c r="Q75" s="16" t="str">
        <v>✅</v>
      </c>
      <c r="R75" s="150" t="str">
        <v>✅</v>
      </c>
      <c r="S75" s="150" t="str">
        <v>✅</v>
      </c>
      <c r="T75" s="150" t="str">
        <v>✅</v>
      </c>
      <c r="U75" s="16" t="str">
        <v>✅</v>
      </c>
      <c r="V75" s="16" t="str">
        <v>✅</v>
      </c>
      <c r="X75" s="16" t="str">
        <v>✅</v>
      </c>
      <c r="Z75" s="16" t="inlineStr">
        <is>
          <r>
            <t>@刘晓帝</t>
          </r>
        </is>
      </c>
    </row>
    <row r="76" spans="1:26">
      <c r="A76" s="30" t="str">
        <v>空调控制</v>
      </c>
      <c r="B76" s="168"/>
      <c r="C76" s="16" t="str">
        <v>打开 / 关闭制冷</v>
      </c>
      <c r="D76" s="16" t="str">
        <v>P0</v>
      </c>
      <c r="E76" s="16" t="str">
        <v>关闭制冷</v>
      </c>
      <c r="F76" s="167" t="str">
        <v>Y</v>
      </c>
      <c r="H76" s="16" t="str">
        <v>✅</v>
      </c>
      <c r="I76" s="168"/>
      <c r="J76" s="30"/>
      <c r="K76" s="139"/>
      <c r="L76" s="139"/>
      <c r="N76" s="150" t="str">
        <v>✅</v>
      </c>
      <c r="O76" s="150" t="str">
        <v>✅</v>
      </c>
      <c r="P76" s="139"/>
      <c r="Q76" s="16" t="str">
        <v>✅</v>
      </c>
      <c r="R76" s="150" t="str">
        <v>✅</v>
      </c>
      <c r="S76" s="150" t="str">
        <v>✅</v>
      </c>
      <c r="T76" s="150" t="str">
        <v>✅</v>
      </c>
      <c r="U76" s="16" t="str">
        <v>✅</v>
      </c>
      <c r="V76" s="16" t="str">
        <v>✅</v>
      </c>
      <c r="X76" s="16" t="str">
        <v>✅</v>
      </c>
      <c r="Z76" s="16" t="inlineStr">
        <is>
          <r>
            <t>@刘晓帝</t>
          </r>
        </is>
      </c>
    </row>
    <row r="77" spans="1:26">
      <c r="A77" s="30" t="str">
        <v>空调控制</v>
      </c>
      <c r="B77" s="168"/>
      <c r="C77" s="16" t="str">
        <v>打开 / 关闭空调应用</v>
      </c>
      <c r="D77" s="16" t="str">
        <v>P0</v>
      </c>
      <c r="E77" s="16" t="str">
        <v>打开空调界面</v>
      </c>
      <c r="F77" s="167" t="str">
        <v>Y</v>
      </c>
      <c r="H77" s="16" t="str">
        <v>✅</v>
      </c>
      <c r="I77" s="168"/>
      <c r="J77" s="157" t="str">
        <v>空调设置页面（page=其他）</v>
      </c>
      <c r="K77" s="139"/>
      <c r="L77" s="139"/>
      <c r="M77" s="166" t="str">
        <v>API文档内没有接口说明</v>
      </c>
      <c r="N77" s="16" t="str">
        <v>✅</v>
      </c>
      <c r="O77" s="16" t="str">
        <v>✅</v>
      </c>
      <c r="P77" s="139"/>
      <c r="Q77" s="16" t="str">
        <v>✅</v>
      </c>
      <c r="R77" s="150" t="str">
        <v>✅</v>
      </c>
      <c r="S77" s="150" t="str">
        <v>✅</v>
      </c>
      <c r="T77" s="150" t="str">
        <v>✅</v>
      </c>
      <c r="U77" s="150" t="str">
        <v>❌</v>
      </c>
      <c r="V77" s="16" t="str">
        <v>✅</v>
      </c>
      <c r="W77" s="16" t="str">
        <v>✅</v>
      </c>
      <c r="X77" s="150" t="str">
        <v>✅</v>
      </c>
      <c r="Y77" s="16" t="str">
        <v>✅</v>
      </c>
      <c r="Z77" s="16" t="inlineStr">
        <is>
          <r>
            <t>@刘晓帝</t>
          </r>
        </is>
      </c>
    </row>
    <row r="78" spans="1:30">
      <c r="A78" s="30" t="str">
        <v>空调控制</v>
      </c>
      <c r="B78" s="168"/>
      <c r="C78" s="16" t="str">
        <v>打开 / 关闭空调应用</v>
      </c>
      <c r="D78" s="16" t="str">
        <v>P0</v>
      </c>
      <c r="E78" s="16" t="str">
        <v>关闭空调界面</v>
      </c>
      <c r="F78" s="167" t="str">
        <v>Y</v>
      </c>
      <c r="H78" s="16" t="str">
        <v>✅</v>
      </c>
      <c r="I78" s="168"/>
      <c r="J78" s="160"/>
      <c r="K78" s="139"/>
      <c r="L78" s="139"/>
      <c r="M78" s="30"/>
      <c r="N78" s="16" t="str">
        <v>✅</v>
      </c>
      <c r="O78" s="16" t="str">
        <v>✅</v>
      </c>
      <c r="P78" s="139"/>
      <c r="Q78" s="16" t="str">
        <v>❌</v>
      </c>
      <c r="R78" s="150" t="str">
        <v>❌</v>
      </c>
      <c r="S78" s="150" t="str">
        <v>✅</v>
      </c>
      <c r="T78" s="150" t="str">
        <v>✅</v>
      </c>
      <c r="U78" s="16" t="str">
        <v>✅</v>
      </c>
      <c r="V78" s="16" t="str">
        <v>✅</v>
      </c>
      <c r="X78" s="16" t="str">
        <v>✅</v>
      </c>
      <c r="Y78" s="16" t="str">
        <v>❌</v>
      </c>
      <c r="Z78" s="16" t="inlineStr">
        <is>
          <r>
            <t>@刘晓帝</t>
          </r>
        </is>
      </c>
      <c r="AC78" s="16" t="str">
        <v>20260723003658D23FC36183C211CA8B1F</v>
      </c>
      <c r="AD78" s="16" t="str">
        <v>关闭空调界面失败</v>
      </c>
    </row>
    <row r="79" spans="1:26">
      <c r="A79" s="30" t="str">
        <v>空调控制</v>
      </c>
      <c r="B79" s="168"/>
      <c r="C79" s="16" t="str">
        <v>打开 / 关闭智能空调</v>
      </c>
      <c r="D79" s="16" t="str">
        <v>P1</v>
      </c>
      <c r="E79" s="16" t="str">
        <v>打开智能空调
打开智能auto空调</v>
      </c>
      <c r="F79" s="185" t="str">
        <v>Y</v>
      </c>
      <c r="G79" s="186" t="str">
        <v>TBD（预计P基线）（开发可验证和开发，但无法实车测试）</v>
      </c>
      <c r="H79" s="81" t="str">
        <v>不支持</v>
      </c>
      <c r="I79" s="168"/>
      <c r="J79" s="187" t="str">
        <v>空调开关</v>
      </c>
      <c r="K79" s="139"/>
      <c r="L79" s="139"/>
      <c r="O79" s="150" t="str">
        <v>0708 fc下发错误已提bug，单号看总表</v>
      </c>
      <c r="P79" s="139"/>
      <c r="Q79" s="16" t="str">
        <v>✅</v>
      </c>
      <c r="X79" s="16" t="str">
        <v>✅</v>
      </c>
      <c r="Z79" s="16" t="inlineStr">
        <is>
          <r>
            <t>@刘晓帝</t>
          </r>
        </is>
      </c>
    </row>
    <row r="80" spans="1:26">
      <c r="A80" s="30" t="str">
        <v>空调控制</v>
      </c>
      <c r="B80" s="168"/>
      <c r="C80" s="16" t="str">
        <v>打开 / 关闭智能空调</v>
      </c>
      <c r="D80" s="16" t="str">
        <v>P1</v>
      </c>
      <c r="E80" s="16" t="str">
        <v>关闭智能空调
关闭智能auto空调</v>
      </c>
      <c r="F80" s="185" t="str">
        <v>Y</v>
      </c>
      <c r="G80" s="186" t="str">
        <v>TBD（预计P基线）（开发可验证和开发，但无法实车测试）</v>
      </c>
      <c r="H80" s="81" t="str">
        <v>不支持</v>
      </c>
      <c r="I80" s="168"/>
      <c r="J80" s="188"/>
      <c r="K80" s="139"/>
      <c r="L80" s="139"/>
      <c r="O80" s="150" t="str">
        <v>0708 fc下发错误已提bug，单号看总表</v>
      </c>
      <c r="P80" s="139"/>
      <c r="Q80" s="16" t="str">
        <v>✅</v>
      </c>
      <c r="X80" s="16" t="str">
        <v>✅</v>
      </c>
      <c r="Z80" s="16" t="inlineStr">
        <is>
          <r>
            <t>@刘晓帝</t>
          </r>
        </is>
      </c>
    </row>
    <row r="81" spans="1:26">
      <c r="A81" s="30" t="str">
        <v>空调控制</v>
      </c>
      <c r="B81" s="168"/>
      <c r="C81" s="150" t="str">
        <v>打开 / 关闭空调设置界面</v>
      </c>
      <c r="D81" s="16" t="str">
        <v>P1</v>
      </c>
      <c r="E81" s="150" t="str">
        <v>打开空调设置页面</v>
      </c>
      <c r="F81" s="167" t="str">
        <v>Y</v>
      </c>
      <c r="H81" s="16" t="str">
        <v>✅</v>
      </c>
      <c r="I81" s="168"/>
      <c r="J81" s="166" t="str">
        <v>空调设置页面（page=空）</v>
      </c>
      <c r="K81" s="139"/>
      <c r="L81" s="139"/>
      <c r="M81" s="166" t="str">
        <v>API文档内没有接口说明，如果是原生方式，需要提供包名。</v>
      </c>
      <c r="N81" s="16" t="str">
        <v>✅</v>
      </c>
      <c r="O81" s="16" t="str">
        <v>✅</v>
      </c>
      <c r="P81" s="139"/>
      <c r="Q81" s="16" t="str">
        <v>✅</v>
      </c>
      <c r="R81" s="150" t="str">
        <v>✅</v>
      </c>
      <c r="S81" s="150" t="str">
        <v>✅</v>
      </c>
      <c r="T81" s="150" t="str">
        <v>✅</v>
      </c>
      <c r="U81" s="150" t="str">
        <v>❌</v>
      </c>
      <c r="V81" s="16" t="str">
        <v>✅</v>
      </c>
      <c r="W81" s="16" t="str">
        <v>✅</v>
      </c>
      <c r="X81" s="150" t="str">
        <v>✅</v>
      </c>
      <c r="Y81" s="16" t="str">
        <v>✅</v>
      </c>
      <c r="Z81" s="16" t="inlineStr">
        <is>
          <r>
            <t>@刘晓帝</t>
          </r>
        </is>
      </c>
    </row>
    <row r="82" spans="1:30">
      <c r="A82" s="30" t="str">
        <v>空调控制</v>
      </c>
      <c r="B82" s="168"/>
      <c r="C82" s="150" t="str">
        <v>打开 / 关闭空调设置界面</v>
      </c>
      <c r="D82" s="16" t="str">
        <v>P1</v>
      </c>
      <c r="E82" s="150" t="str">
        <v>关闭空调设置页</v>
      </c>
      <c r="F82" s="167" t="str">
        <v>Y</v>
      </c>
      <c r="H82" s="16" t="str">
        <v>✅</v>
      </c>
      <c r="I82" s="168"/>
      <c r="J82" s="30"/>
      <c r="K82" s="139"/>
      <c r="L82" s="139"/>
      <c r="M82" s="30"/>
      <c r="N82" s="16" t="str">
        <v>✅</v>
      </c>
      <c r="O82" s="16" t="str">
        <v>✅</v>
      </c>
      <c r="P82" s="139"/>
      <c r="Q82" s="16" t="str">
        <v>❌</v>
      </c>
      <c r="R82" s="150" t="str">
        <v>❌</v>
      </c>
      <c r="S82" s="150" t="str">
        <v>✅</v>
      </c>
      <c r="T82" s="150" t="str">
        <v>✅</v>
      </c>
      <c r="U82" s="16" t="str">
        <v>✅</v>
      </c>
      <c r="V82" s="16" t="str">
        <v>✅</v>
      </c>
      <c r="X82" s="16" t="str">
        <v>✅</v>
      </c>
      <c r="Y82" s="16" t="str">
        <v>❌</v>
      </c>
      <c r="Z82" s="16" t="inlineStr">
        <is>
          <r>
            <t>@刘晓帝</t>
          </r>
        </is>
      </c>
      <c r="AC82" s="189" t="str">
        <v>20260723003848B33C03BCACD81533A64E</v>
      </c>
      <c r="AD82" s="16" t="str">
        <v>同上</v>
      </c>
    </row>
    <row r="83" spans="1:26">
      <c r="A83" s="30" t="str">
        <v>空调控制</v>
      </c>
      <c r="B83" s="168"/>
      <c r="C83" s="16" t="str">
        <v>打开 / 关闭空气自干燥除味功能</v>
      </c>
      <c r="D83" s="16" t="str">
        <v>P1</v>
      </c>
      <c r="E83" s="16" t="str">
        <v>打开空气自干燥除味功能</v>
      </c>
      <c r="F83" s="167" t="str">
        <v>Y</v>
      </c>
      <c r="H83" s="122" t="str">
        <v>不支持
上汽反馈预计03.30支持</v>
      </c>
      <c r="I83" s="168"/>
      <c r="J83" s="166" t="str">
        <v>空调开关</v>
      </c>
      <c r="K83" s="139"/>
      <c r="L83" s="139"/>
      <c r="N83" s="16" t="str">
        <v>✅</v>
      </c>
      <c r="O83" s="16" t="str">
        <v>✅</v>
      </c>
      <c r="P83" s="139"/>
      <c r="Q83" s="16" t="str">
        <v>✅</v>
      </c>
      <c r="R83" s="150" t="str">
        <v>❌</v>
      </c>
      <c r="S83" s="150" t="str">
        <v>✅</v>
      </c>
      <c r="T83" s="150" t="str">
        <v>✅</v>
      </c>
      <c r="U83" s="16" t="str">
        <v>✅</v>
      </c>
      <c r="V83" s="150" t="str">
        <v>❌</v>
      </c>
      <c r="W83" s="16" t="str">
        <v>✅</v>
      </c>
      <c r="X83" s="16" t="str">
        <v>✅</v>
      </c>
      <c r="Y83" s="16" t="str">
        <v>✅</v>
      </c>
      <c r="Z83" s="16" t="inlineStr">
        <is>
          <r>
            <t>@刘晓帝</t>
          </r>
        </is>
      </c>
    </row>
    <row r="84" spans="1:26">
      <c r="A84" s="30" t="str">
        <v>空调控制</v>
      </c>
      <c r="B84" s="168"/>
      <c r="C84" s="16" t="str">
        <v>打开 / 关闭空气自干燥除味功能</v>
      </c>
      <c r="D84" s="16" t="str">
        <v>P1</v>
      </c>
      <c r="E84" s="16" t="str">
        <v>关闭空气自干燥除味功能</v>
      </c>
      <c r="F84" s="167" t="str">
        <v>Y</v>
      </c>
      <c r="H84" s="190"/>
      <c r="I84" s="168"/>
      <c r="J84" s="30"/>
      <c r="K84" s="139"/>
      <c r="L84" s="139"/>
      <c r="N84" s="16" t="str">
        <v>✅</v>
      </c>
      <c r="O84" s="16" t="str">
        <v>✅</v>
      </c>
      <c r="P84" s="139"/>
      <c r="Q84" s="16" t="str">
        <v>✅</v>
      </c>
      <c r="R84" s="150" t="str">
        <v>❌</v>
      </c>
      <c r="S84" s="150" t="str">
        <v>✅</v>
      </c>
      <c r="T84" s="150" t="str">
        <v>✅</v>
      </c>
      <c r="U84" s="16" t="str">
        <v>✅</v>
      </c>
      <c r="V84" s="150" t="str">
        <v>❌</v>
      </c>
      <c r="W84" s="16" t="str">
        <v>✅</v>
      </c>
      <c r="X84" s="16" t="str">
        <v>✅</v>
      </c>
      <c r="Y84" s="16" t="str">
        <v>✅</v>
      </c>
      <c r="Z84" s="16" t="inlineStr">
        <is>
          <r>
            <t>@刘晓帝</t>
          </r>
        </is>
      </c>
    </row>
    <row r="85" spans="1:26">
      <c r="A85" s="30" t="str">
        <v>空调控制</v>
      </c>
      <c r="B85" s="168"/>
      <c r="C85" s="171" t="str">
        <v>打开 / 关闭智能除雾</v>
      </c>
      <c r="D85" s="16" t="str">
        <v>P1</v>
      </c>
      <c r="E85" s="171" t="str">
        <v>打开自动除雾</v>
      </c>
      <c r="F85" s="191" t="str">
        <v>Y</v>
      </c>
      <c r="H85" s="122" t="str">
        <v>不支持
上汽反馈预计03.30支持</v>
      </c>
      <c r="I85" s="168"/>
      <c r="J85" s="157" t="str">
        <v>空调除雾除霜开关</v>
      </c>
      <c r="K85" s="139"/>
      <c r="L85" s="139"/>
      <c r="M85" s="166" t="str">
        <v>下发指令无效状态返回值：3010015</v>
      </c>
      <c r="N85" s="16" t="str">
        <v>✅</v>
      </c>
      <c r="O85" s="16" t="str">
        <v>✅</v>
      </c>
      <c r="P85" s="139"/>
      <c r="Q85" s="150" t="str">
        <v>✅</v>
      </c>
      <c r="R85" s="150" t="str">
        <v>✅</v>
      </c>
      <c r="S85" s="150" t="str">
        <v>❌</v>
      </c>
      <c r="T85" s="16" t="str">
        <v>✅</v>
      </c>
      <c r="U85" s="16" t="str">
        <v>✅</v>
      </c>
      <c r="V85" s="16" t="str">
        <v>✅</v>
      </c>
      <c r="X85" s="150" t="str">
        <v>✅</v>
      </c>
      <c r="Y85" s="150" t="str">
        <v>✅</v>
      </c>
      <c r="Z85" s="16" t="inlineStr">
        <is>
          <r>
            <t>@刘晓帝</t>
          </r>
        </is>
      </c>
    </row>
    <row r="86" spans="1:26">
      <c r="A86" s="30" t="str">
        <v>空调控制</v>
      </c>
      <c r="B86" s="168"/>
      <c r="C86" s="171" t="str">
        <v>打开 / 关闭智能除雾</v>
      </c>
      <c r="D86" s="16" t="str">
        <v>P1</v>
      </c>
      <c r="E86" s="171" t="str">
        <v>关闭自动除雾</v>
      </c>
      <c r="F86" s="191" t="str">
        <v>Y</v>
      </c>
      <c r="H86" s="190"/>
      <c r="I86" s="168"/>
      <c r="J86" s="160"/>
      <c r="K86" s="156"/>
      <c r="L86" s="139"/>
      <c r="M86" s="30"/>
      <c r="N86" s="16" t="str">
        <v>✅</v>
      </c>
      <c r="O86" s="16" t="str">
        <v>✅</v>
      </c>
      <c r="P86" s="156"/>
      <c r="Q86" s="16" t="str">
        <v>✅</v>
      </c>
      <c r="R86" s="150" t="str">
        <v>❌</v>
      </c>
      <c r="S86" s="150" t="str">
        <v>❌</v>
      </c>
      <c r="T86" s="16" t="str">
        <v>✅</v>
      </c>
      <c r="U86" s="16" t="str">
        <v>✅</v>
      </c>
      <c r="V86" s="16" t="str">
        <v>✅</v>
      </c>
      <c r="X86" s="16" t="str">
        <v>✅</v>
      </c>
      <c r="Y86" s="16" t="str">
        <v>✅</v>
      </c>
      <c r="Z86" s="16" t="inlineStr">
        <is>
          <r>
            <t>@刘晓帝</t>
          </r>
        </is>
      </c>
    </row>
    <row r="87" spans="1:12">
      <c r="A87" s="30" t="str">
        <v>空调控制</v>
      </c>
      <c r="B87" s="168"/>
      <c r="C87" s="171" t="str">
        <v>打开 / 关闭智能除味</v>
      </c>
      <c r="D87" s="16" t="str">
        <v>P1</v>
      </c>
      <c r="E87" s="171" t="str">
        <v>空调开关</v>
      </c>
      <c r="F87" s="191" t="str">
        <v>7/22 新增</v>
      </c>
      <c r="I87" s="168"/>
      <c r="L87" s="139"/>
    </row>
    <row r="88" spans="1:12">
      <c r="A88" s="30" t="str">
        <v>空调控制</v>
      </c>
      <c r="B88" s="168"/>
      <c r="C88" s="171" t="str">
        <v>打开 / 关闭智能除味</v>
      </c>
      <c r="D88" s="16" t="str">
        <v>P1</v>
      </c>
      <c r="E88" s="171" t="str">
        <v>空调开关</v>
      </c>
      <c r="F88" s="191" t="str">
        <v>7/22 新增</v>
      </c>
      <c r="I88" s="168"/>
      <c r="L88" s="139"/>
    </row>
    <row r="89" spans="1:26">
      <c r="A89" s="30" t="str">
        <v>空调控制</v>
      </c>
      <c r="B89" s="168"/>
      <c r="C89" s="171" t="str">
        <v>打开/关闭新风</v>
      </c>
      <c r="D89" s="16" t="str">
        <v>P1</v>
      </c>
      <c r="E89" s="171" t="str">
        <v>打开新风
打开空调新风
关闭新风
关闭空调新风</v>
      </c>
      <c r="F89" s="192" t="str">
        <v>Y</v>
      </c>
      <c r="I89" s="168"/>
      <c r="J89" s="174" t="str">
        <v>空调开关</v>
      </c>
      <c r="L89" s="139"/>
      <c r="N89" s="16" t="str">
        <v>✅</v>
      </c>
      <c r="O89" s="16" t="str">
        <v>✅</v>
      </c>
      <c r="Q89" s="16" t="str">
        <v>✅</v>
      </c>
      <c r="X89" s="16" t="str">
        <v>✅</v>
      </c>
      <c r="Z89" s="16" t="inlineStr">
        <is>
          <r>
            <t>@刘晓帝</t>
          </r>
        </is>
      </c>
    </row>
    <row r="90" spans="1:26">
      <c r="A90" s="30" t="str">
        <v>空调控制</v>
      </c>
      <c r="B90" s="168"/>
      <c r="C90" s="171" t="str">
        <v>打开/关闭智能送风</v>
      </c>
      <c r="D90" s="16" t="str">
        <v>P1</v>
      </c>
      <c r="E90" s="171" t="str">
        <v>打开智能送风
打开空调智能送风
关闭智能送风
关闭空调智能送风</v>
      </c>
      <c r="F90" s="192" t="str">
        <v>Y</v>
      </c>
      <c r="I90" s="168"/>
      <c r="J90" s="193"/>
      <c r="L90" s="139"/>
      <c r="N90" s="16" t="str">
        <v>✅</v>
      </c>
      <c r="O90" s="16" t="str">
        <v>✅</v>
      </c>
      <c r="Q90" s="16" t="str">
        <v>✅</v>
      </c>
      <c r="X90" s="16" t="str">
        <v>❌</v>
      </c>
      <c r="Y90" s="16" t="str">
        <v>✅</v>
      </c>
      <c r="Z90" s="16" t="inlineStr">
        <is>
          <r>
            <t>@刘晓帝</t>
          </r>
        </is>
      </c>
    </row>
    <row r="91" spans="1:26">
      <c r="A91" s="30" t="str">
        <v>空调控制</v>
      </c>
      <c r="B91" s="168"/>
      <c r="C91" s="171" t="str">
        <v>打开/关闭智能温区</v>
      </c>
      <c r="D91" s="16" t="str">
        <v>P1</v>
      </c>
      <c r="E91" s="171" t="str">
        <v>打开智能温区
打开空调智能温区
关闭智能温
关闭空调智能温区</v>
      </c>
      <c r="F91" s="192" t="str">
        <v>Y</v>
      </c>
      <c r="I91" s="168"/>
      <c r="J91" s="193"/>
      <c r="L91" s="139"/>
      <c r="N91" s="16" t="str">
        <v>✅</v>
      </c>
      <c r="O91" s="16" t="str">
        <v>✅</v>
      </c>
      <c r="Q91" s="16" t="str">
        <v>✅</v>
      </c>
      <c r="X91" s="16" t="str">
        <v>✅</v>
      </c>
      <c r="Z91" s="16" t="inlineStr">
        <is>
          <r>
            <t>@刘晓帝</t>
          </r>
        </is>
      </c>
    </row>
    <row r="92" spans="1:26">
      <c r="A92" s="30" t="str">
        <v>空调控制</v>
      </c>
      <c r="B92" s="30"/>
      <c r="C92" s="171" t="str">
        <v>打开/关闭智能新风</v>
      </c>
      <c r="D92" s="16" t="str">
        <v>P1</v>
      </c>
      <c r="E92" s="171" t="str">
        <v>打开智能新风
打开空调智能新风
关闭智能新风
关闭空调值新风</v>
      </c>
      <c r="F92" s="192" t="str">
        <v>Y</v>
      </c>
      <c r="I92" s="168"/>
      <c r="J92" s="175"/>
      <c r="L92" s="139"/>
      <c r="N92" s="16" t="str">
        <v>✅</v>
      </c>
      <c r="O92" s="16" t="str">
        <v>✅</v>
      </c>
      <c r="Q92" s="16" t="str">
        <v>✅</v>
      </c>
      <c r="X92" s="16" t="str">
        <v>✅</v>
      </c>
      <c r="Z92" s="16" t="inlineStr">
        <is>
          <r>
            <t>@刘晓帝</t>
          </r>
        </is>
      </c>
    </row>
    <row r="93" spans="1:26">
      <c r="A93" s="30" t="str">
        <v>电动出风口控制</v>
      </c>
      <c r="B93" s="166" t="str">
        <v>03电动出风口控制</v>
      </c>
      <c r="C93" s="166" t="str">
        <v>打开电动出风口</v>
      </c>
      <c r="D93" s="166" t="str">
        <v>P0</v>
      </c>
      <c r="E93" s="16" t="str">
        <v>打开主驾出风口</v>
      </c>
      <c r="F93" s="167" t="str">
        <v>Y</v>
      </c>
      <c r="H93" s="122" t="str">
        <v>✅</v>
      </c>
      <c r="I93" s="168"/>
      <c r="J93" s="46" t="str">
        <v>空调出风口模式设置</v>
      </c>
      <c r="K93" s="61" t="str">
        <v>【03】【电动出风口0313】Vehicle_Platform1.0_IS4PR_Yu_Yin_Kong_Zhi_IS4PR_Dian_Dong_Chu_Feng_Kou_PRD.pdf</v>
      </c>
      <c r="L93" s="139"/>
      <c r="M93" s="11" t="str">
        <v>无电动出风口开关</v>
      </c>
      <c r="N93" s="16" t="str">
        <v>✅</v>
      </c>
      <c r="O93" s="16" t="str">
        <v>✅</v>
      </c>
      <c r="Q93" s="16" t="str">
        <v>✅</v>
      </c>
      <c r="R93" s="150" t="str">
        <v>❌</v>
      </c>
      <c r="S93" s="150" t="str">
        <v>✅</v>
      </c>
      <c r="T93" s="150" t="str">
        <v>✅</v>
      </c>
      <c r="U93" s="16" t="str">
        <v>✅</v>
      </c>
      <c r="V93" s="16" t="str">
        <v>✅</v>
      </c>
      <c r="X93" s="16" t="str">
        <v>✅</v>
      </c>
      <c r="Y93" s="16" t="str">
        <v>✅</v>
      </c>
      <c r="Z93" s="16" t="inlineStr">
        <is>
          <r>
            <t>@刘晓帝</t>
          </r>
        </is>
      </c>
    </row>
    <row r="94" spans="1:26">
      <c r="A94" s="30" t="str">
        <v>电动出风口控制</v>
      </c>
      <c r="B94" s="168"/>
      <c r="C94" s="30"/>
      <c r="D94" s="30"/>
      <c r="E94" s="16" t="str">
        <v>把电动出风口打开</v>
      </c>
      <c r="F94" s="167" t="str">
        <v>Y</v>
      </c>
      <c r="H94" s="194"/>
      <c r="I94" s="168"/>
      <c r="J94" s="60"/>
      <c r="K94" s="139"/>
      <c r="L94" s="139"/>
      <c r="M94" s="11" t="str">
        <v>无电动出风口模式接口</v>
      </c>
      <c r="N94" s="16" t="str">
        <v>✅</v>
      </c>
      <c r="O94" s="16" t="str">
        <v>✅</v>
      </c>
      <c r="Q94" s="16" t="str">
        <v>✅</v>
      </c>
      <c r="R94" s="150" t="str">
        <v>❌</v>
      </c>
      <c r="S94" s="150" t="str">
        <v>❌</v>
      </c>
      <c r="T94" s="150" t="str">
        <v>❌</v>
      </c>
      <c r="U94" s="16" t="str">
        <v>✅</v>
      </c>
      <c r="V94" s="16" t="str">
        <v>✅</v>
      </c>
      <c r="X94" s="16" t="str">
        <v>✅</v>
      </c>
      <c r="Y94" s="16" t="str">
        <v>✅</v>
      </c>
      <c r="Z94" s="16" t="inlineStr">
        <is>
          <r>
            <t>@刘晓帝</t>
          </r>
        </is>
      </c>
    </row>
    <row r="95" spans="1:26">
      <c r="A95" s="30" t="str">
        <v>电动出风口控制</v>
      </c>
      <c r="B95" s="168"/>
      <c r="C95" s="166" t="str">
        <v>关闭电动出风口</v>
      </c>
      <c r="D95" s="166" t="str">
        <v>P0</v>
      </c>
      <c r="E95" s="16" t="str">
        <v>关闭电动出风口</v>
      </c>
      <c r="F95" s="167" t="str">
        <v>Y</v>
      </c>
      <c r="H95" s="194"/>
      <c r="I95" s="168"/>
      <c r="J95" s="60"/>
      <c r="K95" s="139"/>
      <c r="L95" s="139"/>
      <c r="N95" s="16" t="str">
        <v>✅</v>
      </c>
      <c r="O95" s="16" t="str">
        <v>✅</v>
      </c>
      <c r="Q95" s="16" t="str">
        <v>✅</v>
      </c>
      <c r="R95" s="150" t="str">
        <v>❌</v>
      </c>
      <c r="S95" s="150" t="str">
        <v>✅</v>
      </c>
      <c r="T95" s="150" t="str">
        <v>✅</v>
      </c>
      <c r="U95" s="16" t="str">
        <v>✅</v>
      </c>
      <c r="V95" s="16" t="str">
        <v>✅</v>
      </c>
      <c r="X95" s="16" t="str">
        <v>✅</v>
      </c>
      <c r="Y95" s="16" t="str">
        <v>✅</v>
      </c>
      <c r="Z95" s="16" t="inlineStr">
        <is>
          <r>
            <t>@刘晓帝</t>
          </r>
        </is>
      </c>
    </row>
    <row r="96" spans="1:26">
      <c r="A96" s="30" t="str">
        <v>电动出风口控制</v>
      </c>
      <c r="B96" s="168"/>
      <c r="C96" s="30"/>
      <c r="D96" s="30"/>
      <c r="E96" s="16" t="str">
        <v>关主驾出风口</v>
      </c>
      <c r="F96" s="167" t="str">
        <v>Y</v>
      </c>
      <c r="H96" s="194"/>
      <c r="I96" s="168"/>
      <c r="J96" s="110"/>
      <c r="K96" s="139"/>
      <c r="L96" s="139"/>
      <c r="N96" s="16" t="str">
        <v>✅</v>
      </c>
      <c r="O96" s="16" t="str">
        <v>✅</v>
      </c>
      <c r="Q96" s="16" t="str">
        <v>✅</v>
      </c>
      <c r="R96" s="150" t="str">
        <v>❌</v>
      </c>
      <c r="S96" s="150" t="str">
        <v>✅</v>
      </c>
      <c r="T96" s="150" t="str">
        <v>✅</v>
      </c>
      <c r="U96" s="16" t="str">
        <v>✅</v>
      </c>
      <c r="V96" s="16" t="str">
        <v>✅</v>
      </c>
      <c r="X96" s="16" t="str">
        <v>✅</v>
      </c>
      <c r="Y96" s="16" t="str">
        <v>✅</v>
      </c>
      <c r="Z96" s="16" t="inlineStr">
        <is>
          <r>
            <t>@刘晓帝</t>
          </r>
        </is>
      </c>
    </row>
    <row r="97" spans="1:26">
      <c r="A97" s="30" t="str">
        <v>电动出风口控制</v>
      </c>
      <c r="B97" s="168"/>
      <c r="C97" s="166" t="str">
        <v>激活 “对人吹” 模式</v>
      </c>
      <c r="D97" s="166" t="str">
        <v>P0</v>
      </c>
      <c r="E97" s="16" t="str">
        <v>打开对人吹</v>
      </c>
      <c r="F97" s="167" t="str">
        <v>Y</v>
      </c>
      <c r="H97" s="194"/>
      <c r="I97" s="168"/>
      <c r="J97" s="46" t="str">
        <v>空调风向调节</v>
      </c>
      <c r="K97" s="139"/>
      <c r="L97" s="139"/>
      <c r="N97" s="16" t="str">
        <v>✅</v>
      </c>
      <c r="O97" s="16" t="str">
        <v>✅</v>
      </c>
      <c r="Q97" s="16" t="str">
        <v>✅</v>
      </c>
      <c r="R97" s="150" t="str">
        <v>❌</v>
      </c>
      <c r="S97" s="150" t="str">
        <v>❌</v>
      </c>
      <c r="T97" s="150" t="str">
        <v>❌</v>
      </c>
      <c r="U97" s="16" t="str">
        <v>✅</v>
      </c>
      <c r="V97" s="16" t="str">
        <v>✅</v>
      </c>
      <c r="X97" s="16" t="str">
        <v>✅</v>
      </c>
      <c r="Y97" s="16" t="str">
        <v>✅</v>
      </c>
      <c r="Z97" s="16" t="inlineStr">
        <is>
          <r>
            <t>@刘晓帝</t>
          </r>
        </is>
      </c>
    </row>
    <row r="98" spans="1:26">
      <c r="A98" s="30" t="str">
        <v>电动出风口控制</v>
      </c>
      <c r="B98" s="168"/>
      <c r="C98" s="168"/>
      <c r="D98" s="168"/>
      <c r="E98" s="16" t="str">
        <v>激活对人吹</v>
      </c>
      <c r="F98" s="167" t="str">
        <v>Y</v>
      </c>
      <c r="H98" s="194"/>
      <c r="I98" s="168"/>
      <c r="J98" s="60"/>
      <c r="K98" s="139"/>
      <c r="L98" s="139"/>
      <c r="N98" s="16" t="str">
        <v>✅</v>
      </c>
      <c r="O98" s="16" t="str">
        <v>✅</v>
      </c>
      <c r="Q98" s="16" t="str">
        <v>✅</v>
      </c>
      <c r="R98" s="150" t="str">
        <v>❌</v>
      </c>
      <c r="S98" s="150" t="str">
        <v>❌</v>
      </c>
      <c r="T98" s="150" t="str">
        <v>❌</v>
      </c>
      <c r="U98" s="16" t="str">
        <v>✅</v>
      </c>
      <c r="V98" s="16" t="str">
        <v>✅</v>
      </c>
      <c r="X98" s="16" t="str">
        <v>✅</v>
      </c>
      <c r="Y98" s="16" t="str">
        <v>✅</v>
      </c>
      <c r="Z98" s="16" t="inlineStr">
        <is>
          <r>
            <t>@刘晓帝</t>
          </r>
        </is>
      </c>
    </row>
    <row r="99" spans="1:26">
      <c r="A99" s="30" t="str">
        <v>电动出风口控制</v>
      </c>
      <c r="B99" s="168"/>
      <c r="C99" s="30"/>
      <c r="D99" s="30"/>
      <c r="E99" s="179" t="str">
        <v>打开后排对人吹</v>
      </c>
      <c r="F99" s="195" t="str">
        <v>N（开发未收到后排需求)</v>
      </c>
      <c r="G99" s="195" t="str">
        <v>NA</v>
      </c>
      <c r="H99" s="194"/>
      <c r="I99" s="168"/>
      <c r="J99" s="110"/>
      <c r="K99" s="139"/>
      <c r="L99" s="139"/>
      <c r="N99" s="16" t="str">
        <v>✅</v>
      </c>
      <c r="O99" s="196" t="str">
        <v>后排无音区权限</v>
      </c>
      <c r="Q99" s="16" t="str">
        <v>✅</v>
      </c>
      <c r="R99" s="196" t="str">
        <v>后排无电动出风口</v>
      </c>
      <c r="U99" s="16" t="str">
        <v>✅</v>
      </c>
      <c r="V99" s="16" t="str">
        <v>✅</v>
      </c>
      <c r="X99" s="16" t="str">
        <v>✅</v>
      </c>
      <c r="Z99" s="16" t="inlineStr">
        <is>
          <r>
            <t>@刘晓帝</t>
          </r>
        </is>
      </c>
    </row>
    <row r="100" spans="1:26">
      <c r="A100" s="30" t="str">
        <v>电动出风口控制</v>
      </c>
      <c r="B100" s="168"/>
      <c r="C100" s="166" t="str">
        <v>激活 “避人吹” 模式</v>
      </c>
      <c r="D100" s="166" t="str">
        <v>P0</v>
      </c>
      <c r="E100" s="16" t="str">
        <v>打开避人吹</v>
      </c>
      <c r="F100" s="167" t="str">
        <v>Y</v>
      </c>
      <c r="H100" s="194"/>
      <c r="I100" s="168"/>
      <c r="J100" s="46" t="str">
        <v>空调出风口模式设置</v>
      </c>
      <c r="K100" s="139"/>
      <c r="L100" s="139"/>
      <c r="N100" s="16" t="str">
        <v>✅</v>
      </c>
      <c r="O100" s="16" t="str">
        <v>✅</v>
      </c>
      <c r="Q100" s="150" t="str">
        <v>✅</v>
      </c>
      <c r="R100" s="150" t="str">
        <v>✅</v>
      </c>
      <c r="S100" s="150" t="str">
        <v>❌</v>
      </c>
      <c r="T100" s="150" t="str">
        <v>❌</v>
      </c>
      <c r="U100" s="16" t="str">
        <v>✅</v>
      </c>
      <c r="V100" s="16" t="str">
        <v>✅</v>
      </c>
      <c r="X100" s="150" t="str">
        <v>✅</v>
      </c>
      <c r="Y100" s="150" t="str">
        <v>✅</v>
      </c>
      <c r="Z100" s="16" t="inlineStr">
        <is>
          <r>
            <t>@刘晓帝</t>
          </r>
        </is>
      </c>
    </row>
    <row r="101" spans="1:26">
      <c r="A101" s="30" t="str">
        <v>电动出风口控制</v>
      </c>
      <c r="B101" s="168"/>
      <c r="C101" s="168"/>
      <c r="D101" s="168"/>
      <c r="E101" s="16" t="str">
        <v>激活避人吹</v>
      </c>
      <c r="F101" s="167" t="str">
        <v>Y</v>
      </c>
      <c r="H101" s="194"/>
      <c r="I101" s="168"/>
      <c r="J101" s="60"/>
      <c r="K101" s="139"/>
      <c r="L101" s="139"/>
      <c r="N101" s="16" t="str">
        <v>✅</v>
      </c>
      <c r="O101" s="16" t="str">
        <v>✅</v>
      </c>
      <c r="Q101" s="16" t="str">
        <v>✅</v>
      </c>
      <c r="R101" s="150" t="str">
        <v>✅</v>
      </c>
      <c r="S101" s="150" t="str">
        <v>✅</v>
      </c>
      <c r="T101" s="150" t="str">
        <v>✅</v>
      </c>
      <c r="U101" s="16" t="str">
        <v>✅</v>
      </c>
      <c r="V101" s="16" t="str">
        <v>✅</v>
      </c>
      <c r="X101" s="16" t="str">
        <v>✅</v>
      </c>
      <c r="Z101" s="16" t="inlineStr">
        <is>
          <r>
            <t>@刘晓帝</t>
          </r>
        </is>
      </c>
    </row>
    <row r="102" spans="1:26">
      <c r="A102" s="30" t="str">
        <v>电动出风口控制</v>
      </c>
      <c r="B102" s="168"/>
      <c r="C102" s="30"/>
      <c r="D102" s="30"/>
      <c r="E102" s="179" t="str">
        <v>打开后排避人吹</v>
      </c>
      <c r="F102" s="195" t="str">
        <v>N（开发未收到后排需求)</v>
      </c>
      <c r="G102" s="195" t="str">
        <v>NA</v>
      </c>
      <c r="H102" s="194"/>
      <c r="I102" s="168"/>
      <c r="J102" s="60"/>
      <c r="K102" s="139"/>
      <c r="L102" s="139"/>
      <c r="N102" s="16" t="str">
        <v>✅</v>
      </c>
      <c r="O102" s="196" t="str">
        <v>后排无音区权限</v>
      </c>
      <c r="Q102" s="16" t="str">
        <v>✅</v>
      </c>
      <c r="R102" s="196" t="str">
        <v>后排无电动出风口</v>
      </c>
      <c r="S102" s="150" t="str">
        <v>✅</v>
      </c>
      <c r="T102" s="150" t="str">
        <v>✅</v>
      </c>
      <c r="U102" s="16" t="str">
        <v>✅</v>
      </c>
      <c r="V102" s="16" t="str">
        <v>✅</v>
      </c>
      <c r="X102" s="16" t="str">
        <v>✅</v>
      </c>
      <c r="Z102" s="16" t="inlineStr">
        <is>
          <r>
            <t>@刘晓帝</t>
          </r>
        </is>
      </c>
    </row>
    <row r="103" spans="1:26">
      <c r="A103" s="30" t="str">
        <v>电动出风口控制</v>
      </c>
      <c r="B103" s="168"/>
      <c r="C103" s="166" t="str">
        <v>激活 “扫风” 模式</v>
      </c>
      <c r="D103" s="166" t="str">
        <v>P0</v>
      </c>
      <c r="E103" s="16" t="str">
        <v>打开扫风</v>
      </c>
      <c r="F103" s="167" t="str">
        <v>Y</v>
      </c>
      <c r="H103" s="194"/>
      <c r="I103" s="168"/>
      <c r="J103" s="60"/>
      <c r="K103" s="139"/>
      <c r="L103" s="139"/>
      <c r="N103" s="16" t="str">
        <v>✅</v>
      </c>
      <c r="O103" s="16" t="str">
        <v>✅</v>
      </c>
      <c r="Q103" s="16" t="str">
        <v>✅</v>
      </c>
      <c r="R103" s="150" t="str">
        <v>❌</v>
      </c>
      <c r="S103" s="150" t="str">
        <v>✅</v>
      </c>
      <c r="T103" s="150" t="str">
        <v>✅</v>
      </c>
      <c r="U103" s="16" t="str">
        <v>✅</v>
      </c>
      <c r="V103" s="16" t="str">
        <v>✅</v>
      </c>
      <c r="X103" s="16" t="str">
        <v>✅</v>
      </c>
      <c r="Y103" s="16" t="str">
        <v>✅</v>
      </c>
      <c r="Z103" s="16" t="inlineStr">
        <is>
          <r>
            <t>@刘晓帝</t>
          </r>
        </is>
      </c>
    </row>
    <row r="104" spans="1:26">
      <c r="A104" s="30" t="str">
        <v>电动出风口控制</v>
      </c>
      <c r="B104" s="168"/>
      <c r="C104" s="168"/>
      <c r="D104" s="168"/>
      <c r="E104" s="16" t="str">
        <v>激活扫风</v>
      </c>
      <c r="F104" s="167" t="str">
        <v>Y</v>
      </c>
      <c r="H104" s="194"/>
      <c r="I104" s="168"/>
      <c r="J104" s="60"/>
      <c r="K104" s="139"/>
      <c r="L104" s="139"/>
      <c r="N104" s="16" t="str">
        <v>✅</v>
      </c>
      <c r="O104" s="16" t="str">
        <v>✅</v>
      </c>
      <c r="Q104" s="16" t="str">
        <v>✅</v>
      </c>
      <c r="R104" s="150" t="str">
        <v>❌</v>
      </c>
      <c r="S104" s="150" t="str">
        <v>✅</v>
      </c>
      <c r="T104" s="150" t="str">
        <v>✅</v>
      </c>
      <c r="U104" s="16" t="str">
        <v>✅</v>
      </c>
      <c r="V104" s="16" t="str">
        <v>✅</v>
      </c>
      <c r="X104" s="16" t="str">
        <v>✅</v>
      </c>
      <c r="Y104" s="16" t="str">
        <v>✅</v>
      </c>
      <c r="Z104" s="16" t="inlineStr">
        <is>
          <r>
            <t>@刘晓帝</t>
          </r>
        </is>
      </c>
    </row>
    <row r="105" spans="1:26">
      <c r="A105" s="30" t="str">
        <v>电动出风口控制</v>
      </c>
      <c r="B105" s="168"/>
      <c r="C105" s="168"/>
      <c r="D105" s="168"/>
      <c r="E105" s="16" t="str">
        <v>打开副驾扫风</v>
      </c>
      <c r="F105" s="167" t="str">
        <v>Y</v>
      </c>
      <c r="H105" s="194"/>
      <c r="I105" s="168"/>
      <c r="J105" s="60"/>
      <c r="K105" s="139"/>
      <c r="L105" s="139"/>
      <c r="N105" s="16" t="str">
        <v>✅</v>
      </c>
      <c r="O105" s="16" t="str">
        <v>✅</v>
      </c>
      <c r="Q105" s="16" t="str">
        <v>✅</v>
      </c>
      <c r="R105" s="150" t="str">
        <v>❌</v>
      </c>
      <c r="S105" s="150" t="str">
        <v>✅</v>
      </c>
      <c r="T105" s="150" t="str">
        <v>✅</v>
      </c>
      <c r="U105" s="16" t="str">
        <v>✅</v>
      </c>
      <c r="V105" s="16" t="str">
        <v>✅</v>
      </c>
      <c r="X105" s="16" t="str">
        <v>✅</v>
      </c>
      <c r="Y105" s="16" t="str">
        <v>✅</v>
      </c>
      <c r="Z105" s="16" t="inlineStr">
        <is>
          <r>
            <t>@刘晓帝</t>
          </r>
        </is>
      </c>
    </row>
    <row r="106" spans="1:26">
      <c r="A106" s="30" t="str">
        <v>电动出风口控制</v>
      </c>
      <c r="B106" s="168"/>
      <c r="C106" s="30"/>
      <c r="D106" s="30"/>
      <c r="E106" s="179" t="str">
        <v>打开后排扫风</v>
      </c>
      <c r="F106" s="195" t="str">
        <v>N（开发未收到后排需求)</v>
      </c>
      <c r="G106" s="195" t="str">
        <v>NA</v>
      </c>
      <c r="H106" s="194"/>
      <c r="I106" s="168"/>
      <c r="J106" s="110"/>
      <c r="K106" s="139"/>
      <c r="L106" s="139"/>
      <c r="N106" s="16" t="str">
        <v>✅</v>
      </c>
      <c r="O106" s="196" t="str">
        <v>后排无音区权限</v>
      </c>
      <c r="Q106" s="16" t="str">
        <v>✅</v>
      </c>
      <c r="R106" s="196" t="str">
        <v>后排无电动出风口</v>
      </c>
      <c r="U106" s="16" t="str">
        <v>✅</v>
      </c>
      <c r="V106" s="16" t="str">
        <v>✅</v>
      </c>
      <c r="X106" s="16" t="str">
        <v>✅</v>
      </c>
      <c r="Z106" s="16" t="inlineStr">
        <is>
          <r>
            <t>@刘晓帝</t>
          </r>
        </is>
      </c>
    </row>
    <row r="107" spans="1:26">
      <c r="A107" s="30" t="str">
        <v>电动出风口控制</v>
      </c>
      <c r="B107" s="168"/>
      <c r="C107" s="166" t="str">
        <v>关闭吹风模式</v>
      </c>
      <c r="D107" s="166" t="str">
        <v>P0</v>
      </c>
      <c r="E107" s="16" t="str">
        <v>关闭对人吹</v>
      </c>
      <c r="F107" s="167" t="str">
        <v>Y</v>
      </c>
      <c r="H107" s="194"/>
      <c r="I107" s="168"/>
      <c r="J107" s="11" t="str">
        <v>空调风向调节</v>
      </c>
      <c r="K107" s="139"/>
      <c r="L107" s="139"/>
      <c r="N107" s="16" t="str">
        <v>✅</v>
      </c>
      <c r="O107" s="16" t="str">
        <v>✅</v>
      </c>
      <c r="Q107" s="16" t="str">
        <v>✅</v>
      </c>
      <c r="R107" s="150" t="str">
        <v>❌</v>
      </c>
      <c r="S107" s="150" t="str">
        <v>❌</v>
      </c>
      <c r="T107" s="150" t="str">
        <v>❌</v>
      </c>
      <c r="U107" s="16" t="str">
        <v>✅</v>
      </c>
      <c r="V107" s="16" t="str">
        <v>✅</v>
      </c>
      <c r="X107" s="16" t="str">
        <v>✅</v>
      </c>
      <c r="Y107" s="16" t="str">
        <v>✅</v>
      </c>
      <c r="Z107" s="16" t="inlineStr">
        <is>
          <r>
            <t>@刘晓帝</t>
          </r>
        </is>
      </c>
    </row>
    <row r="108" spans="1:26">
      <c r="A108" s="30" t="str">
        <v>电动出风口控制</v>
      </c>
      <c r="B108" s="168"/>
      <c r="C108" s="168"/>
      <c r="D108" s="168"/>
      <c r="E108" s="179" t="str">
        <v>关闭后排避人吹</v>
      </c>
      <c r="F108" s="195" t="str">
        <v>N（开发未收到后排需求)</v>
      </c>
      <c r="G108" s="195" t="str">
        <v>NA</v>
      </c>
      <c r="H108" s="194"/>
      <c r="I108" s="168"/>
      <c r="J108" s="46" t="str">
        <v>空调出风口模式设置</v>
      </c>
      <c r="K108" s="139"/>
      <c r="L108" s="139"/>
      <c r="N108" s="16" t="str">
        <v>✅</v>
      </c>
      <c r="O108" s="196" t="str">
        <v>后排无音区权限</v>
      </c>
      <c r="Q108" s="16" t="str">
        <v>✅</v>
      </c>
      <c r="R108" s="196" t="str">
        <v>后排无电动出风口</v>
      </c>
      <c r="U108" s="16" t="str">
        <v>✅</v>
      </c>
      <c r="V108" s="16" t="str">
        <v>✅</v>
      </c>
      <c r="X108" s="16" t="str">
        <v>✅</v>
      </c>
      <c r="Z108" s="16" t="inlineStr">
        <is>
          <r>
            <t>@刘晓帝</t>
          </r>
        </is>
      </c>
    </row>
    <row r="109" spans="1:26">
      <c r="A109" s="30" t="str">
        <v>电动出风口控制</v>
      </c>
      <c r="B109" s="30"/>
      <c r="C109" s="30"/>
      <c r="D109" s="30"/>
      <c r="E109" s="16" t="str">
        <v>关闭前排扫风</v>
      </c>
      <c r="F109" s="167" t="str">
        <v>Y</v>
      </c>
      <c r="H109" s="190"/>
      <c r="I109" s="30"/>
      <c r="J109" s="110"/>
      <c r="K109" s="156"/>
      <c r="L109" s="156"/>
      <c r="N109" s="16" t="str">
        <v>✅</v>
      </c>
      <c r="O109" s="16" t="str">
        <v>✅</v>
      </c>
      <c r="Q109" s="16" t="str">
        <v>✅</v>
      </c>
      <c r="R109" s="150" t="str">
        <v>❌</v>
      </c>
      <c r="S109" s="150" t="str">
        <v>❌</v>
      </c>
      <c r="T109" s="150" t="str">
        <v>❌</v>
      </c>
      <c r="U109" s="150" t="str">
        <v>❌</v>
      </c>
      <c r="V109" s="150" t="str">
        <v>❌</v>
      </c>
      <c r="W109" s="16" t="str">
        <v>❌</v>
      </c>
      <c r="X109" s="150" t="str">
        <v>✅</v>
      </c>
      <c r="Y109" s="16" t="str">
        <v>✅</v>
      </c>
      <c r="Z109" s="16" t="inlineStr">
        <is>
          <r>
            <t>@刘晓帝</t>
          </r>
        </is>
      </c>
    </row>
    <row r="110" spans="1:26">
      <c r="A110" s="30" t="str">
        <v>座椅控制</v>
      </c>
      <c r="B110" s="166" t="str">
        <v>04座椅控制</v>
      </c>
      <c r="C110" s="16" t="str">
        <v>座椅加热 - 打开</v>
      </c>
      <c r="D110" s="16" t="str">
        <v>P0</v>
      </c>
      <c r="E110" s="16" t="str">
        <v>打开座椅加热
开启主驾座椅加热
打开前排座椅加热</v>
      </c>
      <c r="F110" s="167" t="str">
        <v>Y</v>
      </c>
      <c r="G110" s="197" t="str">
        <v>座椅所有的get和set请求接口可见附件： javadoc/com/zone/api/vehicle/function/seat/ISeatInterface.html
座椅所有的回调接口可见附件： javadoc/com/zone/api/vehicle/function/seat/ISeatCallback.html
座椅所有回调接口的FLAG可见附件：javadoc/com/zone/api/vehicle/function/seat/SeatCallbackFlag.html
1.（打开|关闭）座椅（加热|通风）接口
int setSeatHeatLevel(int seatType, int level) 座椅加热强度设置
int setSeatVentilationLevel(int seatType, int level) 座椅通风强度设置（支持坐靠分离配置时该接口是整体通风强度设置）
2.获取座椅（加热|通风）状态接口
int getSeatHeatLevel(int seatType, @NonNull IntResult result) 座椅加热强度获取（支持坐靠分离配置时该接口是整体加热强度获取）
int getSeatVentilationLevel(int seatType, @NonNull IntResult result) 座椅通风强度获取（支持坐靠分离配置时该接口是整体通风强度获取
default void onSeatHeatLevelChanged(int seatType, IntResult result) 座椅加热强度通知
SEAT_HEAT_LEVEL 座椅加热强度通知FLAG
default void onSeatVentilationLevelChanged(int seatType, IntResult result) 座椅通风强度通知
SEAT_VENTILATION 座椅通风强度通知FLAG
3.设置座椅（加热|通风）挡位接口
包含在1.（打开|关闭）座椅（加热|通风）接口座椅加热强度设置 中
4.接口入参描述
seatType - 设置值 SeatConstants.SeatType
DRIVER = 0: 主驾
COPILOT = 1: 副驾
REAR_LEFT = 2: 后左 || 二排左
REAR_RIGHT = 3: 后右 || 二排右
public @interface SeatHeatLevel
int HEAT_OFF = 0;
int HEAT_LEVEL_1 = 1;
int HEAT_LEVEL_2 = 2;
int HEAT_LEVEL_3 = 3;</v>
      </c>
      <c r="H110" s="122" t="str">
        <v>EP实车不支持座椅电控</v>
      </c>
      <c r="I110" s="157" t="str">
        <v>✅
点检标准：HMI控制座椅电控（位置、加热、通风、按摩及对应档位控制）</v>
      </c>
      <c r="J110" s="176" t="str">
        <v>座椅加热通风开关</v>
      </c>
      <c r="K110" s="61" t="str">
        <v>【座椅】Vehicle_Platform1.0_IS4PR_Yu_Yin_Kong_Zhi_IS4PR_Zuo_Yi__Yu_Yin_Kong_Zhi___PRD.pdf</v>
      </c>
      <c r="N110" s="150" t="str">
        <v>✅</v>
      </c>
      <c r="Q110" s="16" t="str">
        <v>✅</v>
      </c>
      <c r="R110" s="150" t="str">
        <v>✅</v>
      </c>
      <c r="S110" s="150" t="str">
        <v>✅</v>
      </c>
      <c r="T110" s="150" t="str">
        <v>✅</v>
      </c>
      <c r="U110" s="150" t="str">
        <v>✅</v>
      </c>
      <c r="V110" s="150" t="str">
        <v>❌</v>
      </c>
      <c r="W110" s="16" t="str">
        <v>✅</v>
      </c>
      <c r="X110" s="16" t="str">
        <v>✅</v>
      </c>
      <c r="Y110" s="16" t="str">
        <v>✅</v>
      </c>
      <c r="Z110" s="11" t="inlineStr">
        <is>
          <r>
            <t>@王东旭</t>
          </r>
        </is>
      </c>
    </row>
    <row r="111" spans="1:26">
      <c r="A111" s="30" t="str">
        <v>座椅控制</v>
      </c>
      <c r="B111" s="168"/>
      <c r="C111" s="16" t="str">
        <v>座椅加热 - 关闭</v>
      </c>
      <c r="D111" s="16" t="str">
        <v>P0</v>
      </c>
      <c r="E111" s="16" t="str">
        <v>关闭座椅加热
关掉主驾座椅加热
关闭前排座椅加热</v>
      </c>
      <c r="F111" s="167" t="str">
        <v>Y</v>
      </c>
      <c r="G111" s="198"/>
      <c r="H111" s="194"/>
      <c r="I111" s="158"/>
      <c r="J111" s="183"/>
      <c r="K111" s="139"/>
      <c r="N111" s="150" t="str">
        <v>✅</v>
      </c>
      <c r="Q111" s="16" t="str">
        <v>✅</v>
      </c>
      <c r="R111" s="150" t="str">
        <v>✅</v>
      </c>
      <c r="S111" s="150" t="str">
        <v>✅</v>
      </c>
      <c r="T111" s="150" t="str">
        <v>✅</v>
      </c>
      <c r="U111" s="150" t="str">
        <v>✅</v>
      </c>
      <c r="V111" s="150" t="str">
        <v>❌</v>
      </c>
      <c r="W111" s="16" t="str">
        <v>✅</v>
      </c>
      <c r="X111" s="16" t="str">
        <v>✅</v>
      </c>
      <c r="Y111" s="16" t="str">
        <v>✅</v>
      </c>
      <c r="Z111" s="11" t="inlineStr">
        <is>
          <r>
            <t>@王东旭</t>
          </r>
        </is>
      </c>
    </row>
    <row r="112" spans="1:26">
      <c r="A112" s="30" t="str">
        <v>座椅控制</v>
      </c>
      <c r="B112" s="168"/>
      <c r="C112" s="16" t="str">
        <v>座椅加热 - 调到 X 档</v>
      </c>
      <c r="D112" s="16" t="str">
        <v>P0</v>
      </c>
      <c r="E112" s="16" t="str">
        <v>座椅加热调到2档
主驾座椅加热调到2档
前排座椅加热调为2档
全部座椅加热调到2档</v>
      </c>
      <c r="F112" s="167" t="str">
        <v>Y</v>
      </c>
      <c r="G112" s="198"/>
      <c r="H112" s="194"/>
      <c r="I112" s="158"/>
      <c r="J112" s="46" t="str">
        <v>座椅加热通风档位调节
</v>
      </c>
      <c r="K112" s="139"/>
      <c r="N112" s="150" t="str">
        <v>✅</v>
      </c>
      <c r="P112" s="150" t="str">
        <v>✅</v>
      </c>
      <c r="Q112" s="16" t="str">
        <v>✅</v>
      </c>
      <c r="R112" s="150" t="str">
        <v>✅</v>
      </c>
      <c r="S112" s="11" t="str">
        <v>❌</v>
      </c>
      <c r="T112" s="11" t="str">
        <v>❌</v>
      </c>
      <c r="U112" s="150" t="str">
        <v>✅</v>
      </c>
      <c r="V112" s="150" t="str">
        <v>✅</v>
      </c>
      <c r="X112" s="16" t="str">
        <v>✅</v>
      </c>
      <c r="Y112" s="16" t="str">
        <v>✅</v>
      </c>
      <c r="Z112" s="11" t="inlineStr">
        <is>
          <r>
            <t>@王东旭</t>
          </r>
        </is>
      </c>
    </row>
    <row r="113" spans="1:26">
      <c r="A113" s="30" t="str">
        <v>座椅控制</v>
      </c>
      <c r="B113" s="168"/>
      <c r="C113" s="16" t="str">
        <v>座椅加热 - 调高 N 档</v>
      </c>
      <c r="D113" s="16" t="str">
        <v>P0</v>
      </c>
      <c r="E113" s="16" t="str">
        <v>主驾座椅加热调高 1 档</v>
      </c>
      <c r="F113" s="167" t="str">
        <v>Y</v>
      </c>
      <c r="G113" s="198"/>
      <c r="H113" s="194"/>
      <c r="I113" s="158"/>
      <c r="J113" s="60"/>
      <c r="K113" s="139"/>
      <c r="N113" s="150" t="str">
        <v>✅</v>
      </c>
      <c r="P113" s="150" t="str">
        <v>✅</v>
      </c>
      <c r="Q113" s="11" t="str">
        <v>✅</v>
      </c>
      <c r="R113" s="150" t="str">
        <v>✅</v>
      </c>
      <c r="S113" s="150" t="str">
        <v>✅</v>
      </c>
      <c r="T113" s="150" t="str">
        <v>✅</v>
      </c>
      <c r="U113" s="150" t="str">
        <v>✅</v>
      </c>
      <c r="V113" s="150" t="str">
        <v>✅</v>
      </c>
      <c r="X113" s="11" t="str">
        <v>✅</v>
      </c>
      <c r="Z113" s="11" t="inlineStr">
        <is>
          <r>
            <t>@王东旭</t>
          </r>
        </is>
      </c>
    </row>
    <row r="114" spans="1:26">
      <c r="A114" s="30" t="str">
        <v>座椅控制</v>
      </c>
      <c r="B114" s="168"/>
      <c r="C114" s="16" t="str">
        <v>座椅加热 - 调低 N 档</v>
      </c>
      <c r="D114" s="16" t="str">
        <v>P0</v>
      </c>
      <c r="E114" s="16" t="str">
        <v>副驾座椅加热调低 2 档</v>
      </c>
      <c r="F114" s="167" t="str">
        <v>Y</v>
      </c>
      <c r="G114" s="198"/>
      <c r="H114" s="194"/>
      <c r="I114" s="158"/>
      <c r="J114" s="60"/>
      <c r="K114" s="139"/>
      <c r="N114" s="150" t="str">
        <v>✅</v>
      </c>
      <c r="P114" s="150" t="str">
        <v>✅</v>
      </c>
      <c r="Q114" s="11" t="str">
        <v>✅</v>
      </c>
      <c r="R114" s="150" t="str">
        <v>✅</v>
      </c>
      <c r="S114" s="150" t="str">
        <v>✅</v>
      </c>
      <c r="T114" s="150" t="str">
        <v>✅</v>
      </c>
      <c r="U114" s="150" t="str">
        <v>✅</v>
      </c>
      <c r="V114" s="150" t="str">
        <v>✅</v>
      </c>
      <c r="X114" s="11" t="str">
        <v>✅</v>
      </c>
      <c r="Z114" s="11" t="inlineStr">
        <is>
          <r>
            <t>@王东旭</t>
          </r>
        </is>
      </c>
    </row>
    <row r="115" spans="1:26">
      <c r="A115" s="30" t="str">
        <v>座椅控制</v>
      </c>
      <c r="B115" s="168"/>
      <c r="C115" s="16" t="str">
        <v>座椅加热 - 调到最高/最低</v>
      </c>
      <c r="D115" s="16" t="str">
        <v>P0</v>
      </c>
      <c r="E115" s="16" t="str">
        <v>座椅加热调到最高/低档
主驾座椅加热调为最高/低
前排座椅加热调至最大/小</v>
      </c>
      <c r="F115" s="167" t="str">
        <v>Y</v>
      </c>
      <c r="G115" s="198"/>
      <c r="H115" s="194"/>
      <c r="I115" s="158"/>
      <c r="J115" s="60"/>
      <c r="K115" s="139"/>
      <c r="N115" s="150" t="str">
        <v>✅</v>
      </c>
      <c r="P115" s="150" t="str">
        <v>✅</v>
      </c>
      <c r="Q115" s="11" t="str">
        <v>✅</v>
      </c>
      <c r="R115" s="150" t="str">
        <v>✅</v>
      </c>
      <c r="S115" s="150" t="str">
        <v>✅</v>
      </c>
      <c r="T115" s="150" t="str">
        <v>✅</v>
      </c>
      <c r="U115" s="150" t="str">
        <v>✅</v>
      </c>
      <c r="V115" s="150" t="str">
        <v>✅</v>
      </c>
      <c r="X115" s="11" t="str">
        <v>✅</v>
      </c>
      <c r="Z115" s="11" t="inlineStr">
        <is>
          <r>
            <t>@王东旭</t>
          </r>
        </is>
      </c>
    </row>
    <row r="116" spans="1:26">
      <c r="A116" s="30" t="str">
        <v>座椅控制</v>
      </c>
      <c r="B116" s="168"/>
      <c r="C116" s="16" t="str">
        <v>座椅加热 - 调到高/低</v>
      </c>
      <c r="D116" s="16" t="str">
        <v>P0</v>
      </c>
      <c r="E116" s="16" t="str">
        <v>座椅加热调高/低一些
前排座椅加热调高/低
座椅加热太高了
主驾座椅加热太高了
座椅加热太低了
副驾座椅加热太低了</v>
      </c>
      <c r="F116" s="167" t="str">
        <v>Y</v>
      </c>
      <c r="G116" s="198"/>
      <c r="H116" s="194"/>
      <c r="I116" s="158"/>
      <c r="J116" s="60"/>
      <c r="K116" s="139"/>
      <c r="N116" s="150" t="str">
        <v>✅</v>
      </c>
      <c r="P116" s="150" t="str">
        <v>✅</v>
      </c>
      <c r="Q116" s="16" t="str">
        <v>✅</v>
      </c>
      <c r="R116" s="150" t="str">
        <v>✅</v>
      </c>
      <c r="S116" s="11" t="str">
        <v>❌</v>
      </c>
      <c r="T116" s="150" t="str">
        <v>✅</v>
      </c>
      <c r="U116" s="150" t="str">
        <v>✅</v>
      </c>
      <c r="V116" s="150" t="str">
        <v>✅</v>
      </c>
      <c r="X116" s="16" t="str">
        <v>✅</v>
      </c>
      <c r="Y116" s="16" t="str">
        <v>✅</v>
      </c>
      <c r="Z116" s="11" t="inlineStr">
        <is>
          <r>
            <t>@王东旭</t>
          </r>
        </is>
      </c>
    </row>
    <row r="117" spans="1:26">
      <c r="A117" s="30" t="str">
        <v>座椅控制</v>
      </c>
      <c r="B117" s="168"/>
      <c r="C117" s="16" t="str">
        <v>座椅加热 - 上下文理解 (大小调节)</v>
      </c>
      <c r="D117" s="16" t="str">
        <v>P0</v>
      </c>
      <c r="E117" s="16" t="str">
        <v>再大/小一点
再大/小点
主驾再高/低一些
调到最高/低
最大/小吧
主驾调节到最高/低</v>
      </c>
      <c r="F117" s="167" t="str">
        <v>Y</v>
      </c>
      <c r="G117" s="198"/>
      <c r="H117" s="194"/>
      <c r="I117" s="158"/>
      <c r="J117" s="110"/>
      <c r="K117" s="139"/>
      <c r="N117" s="150" t="str">
        <v>✅</v>
      </c>
      <c r="P117" s="150" t="str">
        <v>✅</v>
      </c>
      <c r="Q117" s="11" t="str">
        <v>✅</v>
      </c>
      <c r="R117" s="150" t="str">
        <v>✅</v>
      </c>
      <c r="S117" s="150" t="str">
        <v>✅</v>
      </c>
      <c r="T117" s="150" t="str">
        <v>✅</v>
      </c>
      <c r="U117" s="150" t="str">
        <v>✅</v>
      </c>
      <c r="V117" s="150" t="str">
        <v>✅</v>
      </c>
      <c r="X117" s="11" t="str">
        <v>✅</v>
      </c>
      <c r="Z117" s="11" t="inlineStr">
        <is>
          <r>
            <t>@王东旭</t>
          </r>
        </is>
      </c>
    </row>
    <row r="118" spans="1:26">
      <c r="A118" s="30" t="str">
        <v>座椅控制</v>
      </c>
      <c r="B118" s="168"/>
      <c r="C118" s="16" t="str">
        <v>座椅通风 - 打开</v>
      </c>
      <c r="D118" s="16" t="str">
        <v>P0</v>
      </c>
      <c r="E118" s="16" t="str">
        <v>打开后排座椅通风</v>
      </c>
      <c r="F118" s="167" t="str">
        <v>Y</v>
      </c>
      <c r="G118" s="198"/>
      <c r="H118" s="194"/>
      <c r="I118" s="158"/>
      <c r="J118" s="46" t="str">
        <v>座椅加热通风开关
</v>
      </c>
      <c r="K118" s="139"/>
      <c r="N118" s="150" t="str">
        <v>✅</v>
      </c>
      <c r="P118" s="150" t="str">
        <v>✅</v>
      </c>
      <c r="Q118" s="11" t="str">
        <v>✅</v>
      </c>
      <c r="R118" s="150" t="str">
        <v>✅</v>
      </c>
      <c r="S118" s="150" t="str">
        <v>✅</v>
      </c>
      <c r="T118" s="150" t="str">
        <v>✅</v>
      </c>
      <c r="U118" s="150" t="str">
        <v>✅</v>
      </c>
      <c r="V118" s="150" t="str">
        <v>✅</v>
      </c>
      <c r="X118" s="11" t="str">
        <v>✅</v>
      </c>
      <c r="Z118" s="11" t="inlineStr">
        <is>
          <r>
            <t>@王东旭</t>
          </r>
        </is>
      </c>
    </row>
    <row r="119" spans="1:26">
      <c r="A119" s="30" t="str">
        <v>座椅控制</v>
      </c>
      <c r="B119" s="168"/>
      <c r="C119" s="16" t="str">
        <v>座椅通风 - 关闭</v>
      </c>
      <c r="D119" s="16" t="str">
        <v>P0</v>
      </c>
      <c r="E119" s="16" t="str">
        <v>关闭副驾座椅通风</v>
      </c>
      <c r="F119" s="167" t="str">
        <v>Y</v>
      </c>
      <c r="G119" s="198"/>
      <c r="H119" s="194"/>
      <c r="I119" s="158"/>
      <c r="J119" s="110"/>
      <c r="K119" s="139"/>
      <c r="N119" s="150" t="str">
        <v>✅</v>
      </c>
      <c r="P119" s="150" t="str">
        <v>✅</v>
      </c>
      <c r="Q119" s="16" t="str">
        <v>✅</v>
      </c>
      <c r="R119" s="150" t="str">
        <v>✅</v>
      </c>
      <c r="S119" s="11" t="str">
        <v>❌</v>
      </c>
      <c r="T119" s="150" t="str">
        <v>✅</v>
      </c>
      <c r="U119" s="150" t="str">
        <v>✅</v>
      </c>
      <c r="V119" s="150" t="str">
        <v>✅</v>
      </c>
      <c r="X119" s="16" t="str">
        <v>✅</v>
      </c>
      <c r="Y119" s="16" t="str">
        <v>✅</v>
      </c>
      <c r="Z119" s="11" t="inlineStr">
        <is>
          <r>
            <t>@王东旭</t>
          </r>
        </is>
      </c>
    </row>
    <row r="120" spans="1:26">
      <c r="A120" s="30" t="str">
        <v>座椅控制</v>
      </c>
      <c r="B120" s="168"/>
      <c r="C120" s="16" t="str">
        <v>座椅通风 - 调到 X 档</v>
      </c>
      <c r="D120" s="16" t="str">
        <v>P0</v>
      </c>
      <c r="E120" s="16" t="str">
        <v>座椅通风调到2档
主驾通风加热调到2档
前排通风加热调为2档
全部通风加热调到2档</v>
      </c>
      <c r="F120" s="167" t="str">
        <v>Y</v>
      </c>
      <c r="G120" s="198"/>
      <c r="H120" s="194"/>
      <c r="I120" s="158"/>
      <c r="J120" s="46" t="str">
        <v>座椅加热通风档位调节</v>
      </c>
      <c r="K120" s="139"/>
      <c r="N120" s="150" t="str">
        <v>✅</v>
      </c>
      <c r="P120" s="150" t="str">
        <v>✅</v>
      </c>
      <c r="Q120" s="16" t="str">
        <v>✅</v>
      </c>
      <c r="R120" s="150" t="str">
        <v>✅</v>
      </c>
      <c r="S120" s="11" t="str">
        <v>❌</v>
      </c>
      <c r="T120" s="150" t="str">
        <v>✅</v>
      </c>
      <c r="U120" s="150" t="str">
        <v>✅</v>
      </c>
      <c r="V120" s="150" t="str">
        <v>✅</v>
      </c>
      <c r="X120" s="16" t="str">
        <v>✅</v>
      </c>
      <c r="Y120" s="16" t="str">
        <v>✅</v>
      </c>
      <c r="Z120" s="11" t="inlineStr">
        <is>
          <r>
            <t>@王东旭</t>
          </r>
        </is>
      </c>
    </row>
    <row r="121" spans="1:26">
      <c r="A121" s="30" t="str">
        <v>座椅控制</v>
      </c>
      <c r="B121" s="168"/>
      <c r="C121" s="16" t="str">
        <v>座椅通风 - 调高 N 档</v>
      </c>
      <c r="D121" s="16" t="str">
        <v>P0</v>
      </c>
      <c r="E121" s="16" t="str">
        <v>主驾座椅通风调高 1 档</v>
      </c>
      <c r="F121" s="167" t="str">
        <v>Y</v>
      </c>
      <c r="G121" s="198"/>
      <c r="H121" s="194"/>
      <c r="I121" s="158"/>
      <c r="J121" s="60"/>
      <c r="K121" s="139"/>
      <c r="N121" s="150" t="str">
        <v>✅</v>
      </c>
      <c r="P121" s="150" t="str">
        <v>✅</v>
      </c>
      <c r="Q121" s="11" t="str">
        <v>✅</v>
      </c>
      <c r="R121" s="150" t="str">
        <v>✅</v>
      </c>
      <c r="S121" s="150" t="str">
        <v>✅</v>
      </c>
      <c r="T121" s="150" t="str">
        <v>✅</v>
      </c>
      <c r="U121" s="150" t="str">
        <v>✅</v>
      </c>
      <c r="V121" s="150" t="str">
        <v>✅</v>
      </c>
      <c r="X121" s="11" t="str">
        <v>✅</v>
      </c>
      <c r="Z121" s="11" t="inlineStr">
        <is>
          <r>
            <t>@王东旭</t>
          </r>
        </is>
      </c>
    </row>
    <row r="122" spans="1:28">
      <c r="A122" s="30" t="str">
        <v>座椅控制</v>
      </c>
      <c r="B122" s="168"/>
      <c r="C122" s="16" t="str">
        <v>座椅通风 - 调低 N 档</v>
      </c>
      <c r="D122" s="16" t="str">
        <v>P0</v>
      </c>
      <c r="E122" s="16" t="str">
        <v>副驾座椅通风调低 2 档</v>
      </c>
      <c r="F122" s="167" t="str">
        <v>Y</v>
      </c>
      <c r="G122" s="198"/>
      <c r="H122" s="194"/>
      <c r="I122" s="158"/>
      <c r="J122" s="60"/>
      <c r="K122" s="139"/>
      <c r="N122" s="150" t="str">
        <v>✅</v>
      </c>
      <c r="Q122" s="16" t="str">
        <v>✅</v>
      </c>
      <c r="R122" s="150" t="str">
        <v>✅</v>
      </c>
      <c r="S122" s="11" t="str">
        <v>❌</v>
      </c>
      <c r="T122" s="150" t="str">
        <v>✅</v>
      </c>
      <c r="U122" s="11" t="str">
        <v>❌</v>
      </c>
      <c r="V122" s="150" t="str">
        <v>✅</v>
      </c>
      <c r="W122" s="150" t="str">
        <v>✅</v>
      </c>
      <c r="X122" s="16" t="str">
        <v>✅</v>
      </c>
      <c r="Y122" s="16" t="str">
        <v>✅</v>
      </c>
      <c r="Z122" s="11" t="inlineStr">
        <is>
          <r>
            <t>@王东旭</t>
          </r>
        </is>
      </c>
      <c r="AB122" s="11" t="str">
        <v>回复调了 实际没调</v>
      </c>
    </row>
    <row r="123" spans="1:26">
      <c r="A123" s="30" t="str">
        <v>座椅控制</v>
      </c>
      <c r="B123" s="168"/>
      <c r="C123" s="16" t="str">
        <v>座椅通风- 调到最高/最低</v>
      </c>
      <c r="D123" s="16" t="str">
        <v>P0</v>
      </c>
      <c r="E123" s="16" t="str">
        <v>座椅通风调到最高/低档
主驾座椅通风调为最高/低
前排座椅通风调至最大/小</v>
      </c>
      <c r="F123" s="167" t="str">
        <v>Y</v>
      </c>
      <c r="G123" s="198"/>
      <c r="H123" s="194"/>
      <c r="I123" s="158"/>
      <c r="J123" s="60"/>
      <c r="K123" s="139"/>
      <c r="N123" s="150" t="str">
        <v>✅</v>
      </c>
      <c r="P123" s="150" t="str">
        <v>✅</v>
      </c>
      <c r="Q123" s="11" t="str">
        <v>✅</v>
      </c>
      <c r="R123" s="150" t="str">
        <v>✅</v>
      </c>
      <c r="S123" s="150" t="str">
        <v>✅</v>
      </c>
      <c r="T123" s="150" t="str">
        <v>✅</v>
      </c>
      <c r="U123" s="150" t="str">
        <v>✅</v>
      </c>
      <c r="V123" s="150" t="str">
        <v>✅</v>
      </c>
      <c r="X123" s="11" t="str">
        <v>✅</v>
      </c>
      <c r="Z123" s="11" t="inlineStr">
        <is>
          <r>
            <t>@王东旭</t>
          </r>
        </is>
      </c>
    </row>
    <row r="124" spans="1:26">
      <c r="A124" s="30" t="str">
        <v>座椅控制</v>
      </c>
      <c r="B124" s="168"/>
      <c r="C124" s="16" t="str">
        <v>座椅通风- 调到高/低</v>
      </c>
      <c r="D124" s="16" t="str">
        <v>P0</v>
      </c>
      <c r="E124" s="16" t="str">
        <v>座椅通风调高/低一些
前排座椅通风调高/低
座椅通风太高了
主驾座椅通风太高了
座椅通风太低了
副驾座椅通风太低了</v>
      </c>
      <c r="F124" s="167" t="str">
        <v>Y</v>
      </c>
      <c r="G124" s="198"/>
      <c r="H124" s="194"/>
      <c r="I124" s="158"/>
      <c r="J124" s="60"/>
      <c r="K124" s="139"/>
      <c r="N124" s="150" t="str">
        <v>✅</v>
      </c>
      <c r="P124" s="150" t="str">
        <v>✅</v>
      </c>
      <c r="Q124" s="11" t="str">
        <v>✅</v>
      </c>
      <c r="R124" s="150" t="str">
        <v>✅</v>
      </c>
      <c r="S124" s="150" t="str">
        <v>✅</v>
      </c>
      <c r="T124" s="150" t="str">
        <v>✅</v>
      </c>
      <c r="U124" s="150" t="str">
        <v>✅</v>
      </c>
      <c r="V124" s="150" t="str">
        <v>✅</v>
      </c>
      <c r="X124" s="11" t="str">
        <v>✅</v>
      </c>
      <c r="Z124" s="11" t="inlineStr">
        <is>
          <r>
            <t>@王东旭</t>
          </r>
        </is>
      </c>
    </row>
    <row r="125" spans="1:28">
      <c r="A125" s="30" t="str">
        <v>座椅控制</v>
      </c>
      <c r="B125" s="168"/>
      <c r="C125" s="16" t="str">
        <v>座椅通风 - 上下文理解 (大小调节)</v>
      </c>
      <c r="D125" s="16" t="str">
        <v>P0</v>
      </c>
      <c r="E125" s="16" t="str">
        <v>再大/小一点
再大/小点
主驾再高/低一些
调到最高/低
最大/小吧
主驾调节到最高/低</v>
      </c>
      <c r="F125" s="167" t="str">
        <v>Y</v>
      </c>
      <c r="G125" s="199"/>
      <c r="H125" s="194"/>
      <c r="I125" s="158"/>
      <c r="J125" s="110"/>
      <c r="K125" s="139"/>
      <c r="N125" s="150" t="str">
        <v>✅</v>
      </c>
      <c r="Q125" s="16" t="str">
        <v>✅</v>
      </c>
      <c r="R125" s="150" t="str">
        <v>✅</v>
      </c>
      <c r="S125" s="150" t="str">
        <v>✅</v>
      </c>
      <c r="T125" s="150" t="str">
        <v>✅</v>
      </c>
      <c r="U125" s="11" t="str">
        <v>❌</v>
      </c>
      <c r="V125" s="150" t="str">
        <v>✅</v>
      </c>
      <c r="W125" s="150" t="str">
        <v>✅</v>
      </c>
      <c r="X125" s="16" t="str">
        <v>✅</v>
      </c>
      <c r="Y125" s="16" t="str">
        <v>✅</v>
      </c>
      <c r="Z125" s="11" t="inlineStr">
        <is>
          <r>
            <t>@王东旭</t>
          </r>
        </is>
      </c>
      <c r="AB125" s="11" t="str">
        <v>调低和调高反了</v>
      </c>
    </row>
    <row r="126" spans="1:26">
      <c r="A126" s="30" t="str">
        <v>座椅控制</v>
      </c>
      <c r="B126" s="168"/>
      <c r="C126" s="16" t="str">
        <v>座椅按摩 - 打开</v>
      </c>
      <c r="D126" s="16" t="str">
        <v>P0</v>
      </c>
      <c r="E126" s="16" t="str">
        <v>打开座椅按摩
开主驾座椅按摩
打开前排座椅按摩</v>
      </c>
      <c r="F126" s="167" t="str">
        <v>Y</v>
      </c>
      <c r="H126" s="194"/>
      <c r="I126" s="158"/>
      <c r="J126" s="46" t="str">
        <v>座椅按摩开关</v>
      </c>
      <c r="K126" s="139"/>
      <c r="N126" s="150" t="str">
        <v>✅</v>
      </c>
      <c r="P126" s="150" t="str">
        <v>✅</v>
      </c>
      <c r="Q126" s="16" t="str">
        <v>✅</v>
      </c>
      <c r="R126" s="150" t="str">
        <v>❌</v>
      </c>
      <c r="S126" s="150" t="str">
        <v>❌</v>
      </c>
      <c r="T126" s="150" t="str">
        <v>✅</v>
      </c>
      <c r="U126" s="150" t="str">
        <v>✅</v>
      </c>
      <c r="V126" s="150" t="str">
        <v>✅</v>
      </c>
      <c r="X126" s="16" t="str">
        <v>✅</v>
      </c>
      <c r="Y126" s="16" t="str">
        <v>✅</v>
      </c>
      <c r="Z126" s="11" t="inlineStr">
        <is>
          <r>
            <t>@王东旭</t>
          </r>
        </is>
      </c>
    </row>
    <row r="127" spans="1:26">
      <c r="A127" s="30" t="str">
        <v>座椅控制</v>
      </c>
      <c r="B127" s="168"/>
      <c r="C127" s="16" t="str">
        <v>座椅按摩 - 关闭</v>
      </c>
      <c r="D127" s="16" t="str">
        <v>P0</v>
      </c>
      <c r="E127" s="16" t="str">
        <v>关闭座椅按摩
关掉主驾座椅按摩
关闭前排座椅按摩</v>
      </c>
      <c r="F127" s="167" t="str">
        <v>Y</v>
      </c>
      <c r="H127" s="194"/>
      <c r="I127" s="158"/>
      <c r="J127" s="110"/>
      <c r="K127" s="139"/>
      <c r="N127" s="150" t="str">
        <v>✅</v>
      </c>
      <c r="P127" s="150" t="str">
        <v>✅</v>
      </c>
      <c r="Q127" s="16" t="str">
        <v>✅</v>
      </c>
      <c r="R127" s="150" t="str">
        <v>✅</v>
      </c>
      <c r="S127" s="150" t="str">
        <v>❌</v>
      </c>
      <c r="T127" s="150" t="str">
        <v>❌</v>
      </c>
      <c r="U127" s="150" t="str">
        <v>✅</v>
      </c>
      <c r="V127" s="150" t="str">
        <v>✅</v>
      </c>
      <c r="X127" s="16" t="str">
        <v>✅</v>
      </c>
      <c r="Y127" s="16" t="str">
        <v>✅</v>
      </c>
      <c r="Z127" s="11" t="inlineStr">
        <is>
          <r>
            <t>@王东旭</t>
          </r>
        </is>
      </c>
    </row>
    <row r="128" spans="1:26">
      <c r="A128" s="30" t="str">
        <v>座椅控制</v>
      </c>
      <c r="B128" s="168"/>
      <c r="C128" s="16" t="str">
        <v>座椅按摩 - 模式强度时长调节</v>
      </c>
      <c r="D128" s="16" t="str">
        <v>P0</v>
      </c>
      <c r="E128" s="16" t="str">
        <v>座椅按摩设为猫步然后力度为中,时长为15min
主驾座椅按摩调为波浪强度强
副驾座椅按摩调为腰部,时长为持续
前排座椅按摩强度设为弱,时长为30min
主驾座椅按摩强度调为中
副驾座椅按摩时长设为30min
座椅按摩设为舒缓</v>
      </c>
      <c r="F128" s="167" t="str">
        <v>Y</v>
      </c>
      <c r="G128" s="167" t="str">
        <v>5/8 已删除座椅按摩时长功能</v>
      </c>
      <c r="H128" s="194"/>
      <c r="I128" s="158"/>
      <c r="J128" s="11" t="str">
        <v>座椅按摩力度调节
座椅按摩开关
座椅按摩模式调节</v>
      </c>
      <c r="K128" s="139"/>
      <c r="N128" s="150" t="str">
        <v>✅</v>
      </c>
      <c r="P128" s="150" t="str">
        <v>✅</v>
      </c>
      <c r="Q128" s="11" t="str">
        <v>NA</v>
      </c>
      <c r="R128" s="150" t="str">
        <v>❌</v>
      </c>
      <c r="S128" s="150" t="str">
        <v>✅</v>
      </c>
      <c r="T128" s="150" t="str">
        <v>✅</v>
      </c>
      <c r="U128" s="150" t="str">
        <v>✅</v>
      </c>
      <c r="V128" s="150" t="str">
        <v>✅</v>
      </c>
      <c r="X128" s="11" t="str">
        <v>NA</v>
      </c>
      <c r="Y128" s="11" t="str">
        <v>NA</v>
      </c>
      <c r="Z128" s="11" t="inlineStr">
        <is>
          <r>
            <t>@王东旭</t>
          </r>
        </is>
      </c>
    </row>
    <row r="129" spans="1:30">
      <c r="A129" s="30" t="str">
        <v>座椅控制</v>
      </c>
      <c r="B129" s="168"/>
      <c r="C129" s="16" t="str">
        <v>座椅按摩 --调高/低按摩强度</v>
      </c>
      <c r="D129" s="16" t="str">
        <v>P0</v>
      </c>
      <c r="E129" s="16" t="str">
        <v>调高座椅按摩
调低座椅按摩
调高一点座椅按摩
调低一点座椅按摩
调高主驾座椅按摩
调低副驾座椅按摩</v>
      </c>
      <c r="F129" s="167" t="str">
        <v>Y</v>
      </c>
      <c r="H129" s="194"/>
      <c r="I129" s="158"/>
      <c r="J129" s="11" t="str">
        <v>座椅按摩力度调节</v>
      </c>
      <c r="K129" s="139"/>
      <c r="N129" s="150" t="str">
        <v>✅</v>
      </c>
      <c r="P129" s="150" t="str">
        <v>✅</v>
      </c>
      <c r="Q129" s="16" t="str">
        <v>❌</v>
      </c>
      <c r="R129" s="150" t="str">
        <v>❌</v>
      </c>
      <c r="S129" s="150" t="str">
        <v>✅</v>
      </c>
      <c r="T129" s="150" t="str">
        <v>✅</v>
      </c>
      <c r="U129" s="150" t="str">
        <v>✅</v>
      </c>
      <c r="V129" s="150" t="str">
        <v>✅</v>
      </c>
      <c r="X129" s="16" t="str">
        <v>✅</v>
      </c>
      <c r="Y129" s="16" t="str">
        <v>❌</v>
      </c>
      <c r="Z129" s="11" t="inlineStr">
        <is>
          <r>
            <t>@王东旭</t>
          </r>
        </is>
      </c>
      <c r="AC129" s="11" t="str">
        <v>20260723004654A9D7258FCD189CF5C15D</v>
      </c>
      <c r="AD129" s="11" t="str">
        <v>只调高了副驾的，没有调主驾</v>
      </c>
    </row>
    <row r="130" spans="1:26">
      <c r="A130" s="30" t="str">
        <v>座椅控制</v>
      </c>
      <c r="B130" s="168"/>
      <c r="C130" s="16" t="str">
        <v>座椅按摩 - ·调高/低N档按摩强度</v>
      </c>
      <c r="D130" s="16" t="str">
        <v>P0</v>
      </c>
      <c r="E130" s="16" t="str">
        <v>调高座椅按摩
调低座椅按摩
调高一点座椅按摩
调低一点座椅按摩
调高主驾座椅按摩
调低副驾座椅按摩</v>
      </c>
      <c r="F130" s="167" t="str">
        <v>Y</v>
      </c>
      <c r="H130" s="194"/>
      <c r="I130" s="158"/>
      <c r="J130" s="11" t="str">
        <v>座椅按摩力度调节</v>
      </c>
      <c r="K130" s="139"/>
      <c r="N130" s="150" t="str">
        <v>✅</v>
      </c>
      <c r="P130" s="150" t="str">
        <v>✅</v>
      </c>
      <c r="Q130" s="16" t="str">
        <v>✅</v>
      </c>
      <c r="R130" s="150" t="str">
        <v>❌</v>
      </c>
      <c r="S130" s="150" t="str">
        <v>✅</v>
      </c>
      <c r="T130" s="150" t="str">
        <v>✅</v>
      </c>
      <c r="U130" s="150" t="str">
        <v>✅</v>
      </c>
      <c r="V130" s="150" t="str">
        <v>✅</v>
      </c>
      <c r="X130" s="16" t="str">
        <v>✅</v>
      </c>
      <c r="Y130" s="16" t="str">
        <v>✅</v>
      </c>
      <c r="Z130" s="11" t="inlineStr">
        <is>
          <r>
            <t>@王东旭</t>
          </r>
        </is>
      </c>
    </row>
    <row r="131" spans="1:26">
      <c r="A131" s="30" t="str">
        <v>座椅控制</v>
      </c>
      <c r="B131" s="168"/>
      <c r="C131" s="16" t="str">
        <v>座椅按摩 - ·调到最高高/最低按摩强度</v>
      </c>
      <c r="D131" s="16" t="str">
        <v>P0</v>
      </c>
      <c r="E131" s="16" t="str">
        <v>座椅按摩调到最大
座椅按摩调到最小
主驾座椅按摩调到最大</v>
      </c>
      <c r="F131" s="167" t="str">
        <v>Y</v>
      </c>
      <c r="H131" s="194"/>
      <c r="I131" s="158"/>
      <c r="J131" s="11" t="str">
        <v>座椅按摩力度调节</v>
      </c>
      <c r="K131" s="139"/>
      <c r="N131" s="150" t="str">
        <v>✅</v>
      </c>
      <c r="P131" s="150" t="str">
        <v>✅</v>
      </c>
      <c r="Q131" s="16" t="str">
        <v>✅</v>
      </c>
      <c r="R131" s="150" t="str">
        <v>❌</v>
      </c>
      <c r="S131" s="150" t="str">
        <v>✅</v>
      </c>
      <c r="T131" s="150" t="str">
        <v>✅</v>
      </c>
      <c r="U131" s="150" t="str">
        <v>✅</v>
      </c>
      <c r="V131" s="150" t="str">
        <v>✅</v>
      </c>
      <c r="X131" s="16" t="str">
        <v>✅</v>
      </c>
      <c r="Y131" s="16" t="str">
        <v>✅</v>
      </c>
      <c r="Z131" s="11" t="inlineStr">
        <is>
          <r>
            <t>@王东旭</t>
          </r>
        </is>
      </c>
    </row>
    <row r="132" spans="1:26">
      <c r="A132" s="30" t="str">
        <v>座椅控制</v>
      </c>
      <c r="B132" s="168"/>
      <c r="C132" s="16" t="str">
        <v>座椅按摩-上下文理解-再大/小一点&amp;调到最大/小</v>
      </c>
      <c r="D132" s="16" t="str">
        <v>P0</v>
      </c>
      <c r="E132" s="16" t="str">
        <v>再大/小一点
再大/小点
主驾再高/低一些
调到最高/低
最大/小吧
主驾调节到最高/低</v>
      </c>
      <c r="F132" s="167" t="str">
        <v>Y</v>
      </c>
      <c r="H132" s="194"/>
      <c r="I132" s="158"/>
      <c r="J132" s="11" t="str">
        <v>座椅按摩力度调节</v>
      </c>
      <c r="K132" s="139"/>
      <c r="N132" s="150" t="str">
        <v>✅</v>
      </c>
      <c r="P132" s="150" t="str">
        <v>✅</v>
      </c>
      <c r="Q132" s="16" t="str">
        <v>✅</v>
      </c>
      <c r="R132" s="150" t="str">
        <v>❌</v>
      </c>
      <c r="S132" s="150" t="str">
        <v>✅</v>
      </c>
      <c r="T132" s="150" t="str">
        <v>✅</v>
      </c>
      <c r="U132" s="150" t="str">
        <v>✅</v>
      </c>
      <c r="V132" s="150" t="str">
        <v>✅</v>
      </c>
      <c r="X132" s="16" t="str">
        <v>✅</v>
      </c>
      <c r="Y132" s="16" t="str">
        <v>✅</v>
      </c>
      <c r="Z132" s="11" t="inlineStr">
        <is>
          <r>
            <t>@王东旭</t>
          </r>
        </is>
      </c>
    </row>
    <row r="133" spans="1:26">
      <c r="A133" s="30" t="str">
        <v>座椅控制</v>
      </c>
      <c r="B133" s="168"/>
      <c r="C133" s="16" t="str">
        <v>方向盘加热 - 打开</v>
      </c>
      <c r="D133" s="16" t="str">
        <v>P0</v>
      </c>
      <c r="E133" s="16" t="str">
        <v>打开方向盘加热</v>
      </c>
      <c r="F133" s="167" t="str">
        <v>Y</v>
      </c>
      <c r="G133" s="197" t="str">
        <v>8.（打开|关闭）方向盘加热接口
9.获取方向盘加热状态接口
int setSteeringWheelHeatingLevel(@HvacSteeringWheelHeatingLevel int level); 方向盘加热开关设置
int getSteeringWheelHeatingLevel(IntResult result); 方向盘加热开关状态获取
default void onSteeringWheelHeatingLevelChanged(IntResult result) 方向盘加热开关状态通知
STEERING_WHEEL_HEATING_LEVEL 方向盘加热开关状态通知FLAG
HvacSteeringWheelHeatingLevel
/*OFF = 0 ：关闭/
int OFF = 0;
/*LEVEL_1 = 1 ：暂未使用/
int LEVEL_1 = 1;
/*LEVEL_2 = 2 ：暂未使用/
int LEVEL_2 = 2;
/*LEVEL_3 = 3 ：开启/
int LEVEL_3 = 3;</v>
      </c>
      <c r="H133" s="194"/>
      <c r="I133" s="158"/>
      <c r="J133" s="176" t="str">
        <v>方向盘加热开关</v>
      </c>
      <c r="K133" s="139"/>
      <c r="N133" s="150" t="str">
        <v>✅</v>
      </c>
      <c r="P133" s="150" t="str">
        <v>✅</v>
      </c>
      <c r="Q133" s="11" t="str">
        <v>✅</v>
      </c>
      <c r="R133" s="150" t="str">
        <v>✅</v>
      </c>
      <c r="S133" s="150" t="str">
        <v>✅</v>
      </c>
      <c r="T133" s="150" t="str">
        <v>✅</v>
      </c>
      <c r="U133" s="150" t="str">
        <v>✅</v>
      </c>
      <c r="V133" s="150" t="str">
        <v>✅</v>
      </c>
      <c r="X133" s="11" t="str">
        <v>✅</v>
      </c>
      <c r="Z133" s="11" t="inlineStr">
        <is>
          <r>
            <t>@王东旭</t>
          </r>
        </is>
      </c>
    </row>
    <row r="134" spans="1:26">
      <c r="A134" s="30" t="str">
        <v>座椅控制</v>
      </c>
      <c r="B134" s="168"/>
      <c r="C134" s="16" t="str">
        <v>方向盘加热 - 关闭</v>
      </c>
      <c r="D134" s="16" t="str">
        <v>P0</v>
      </c>
      <c r="E134" s="16" t="str">
        <v>关闭方向盘加热</v>
      </c>
      <c r="F134" s="167" t="str">
        <v>Y</v>
      </c>
      <c r="G134" s="199"/>
      <c r="H134" s="194"/>
      <c r="I134" s="158"/>
      <c r="J134" s="183"/>
      <c r="K134" s="139"/>
      <c r="N134" s="150" t="str">
        <v>✅</v>
      </c>
      <c r="P134" s="150" t="str">
        <v>✅</v>
      </c>
      <c r="Q134" s="11" t="str">
        <v>✅</v>
      </c>
      <c r="R134" s="150" t="str">
        <v>✅</v>
      </c>
      <c r="S134" s="150" t="str">
        <v>✅</v>
      </c>
      <c r="T134" s="150" t="str">
        <v>✅</v>
      </c>
      <c r="U134" s="150" t="str">
        <v>✅</v>
      </c>
      <c r="V134" s="150" t="str">
        <v>✅</v>
      </c>
      <c r="X134" s="11" t="str">
        <v>✅</v>
      </c>
      <c r="Z134" s="11" t="inlineStr">
        <is>
          <r>
            <t>@王东旭</t>
          </r>
        </is>
      </c>
    </row>
    <row r="135" spans="1:26">
      <c r="A135" s="30" t="str">
        <v>座椅控制</v>
      </c>
      <c r="B135" s="168"/>
      <c r="C135" s="16" t="str">
        <v>关闭所有加热通风按摩</v>
      </c>
      <c r="D135" s="16" t="str">
        <v>P0</v>
      </c>
      <c r="E135" s="16" t="str">
        <v>关闭所有座椅的加热通风按摩</v>
      </c>
      <c r="F135" s="167" t="str">
        <v>Y</v>
      </c>
      <c r="H135" s="194"/>
      <c r="I135" s="158"/>
      <c r="J135" s="11" t="str">
        <v>待定
座椅加热通风开关
座椅按摩开关</v>
      </c>
      <c r="K135" s="139"/>
      <c r="N135" s="150" t="str">
        <v>✅</v>
      </c>
      <c r="P135" s="150" t="str">
        <v>✅</v>
      </c>
      <c r="Q135" s="11" t="str">
        <v>✅</v>
      </c>
      <c r="R135" s="150" t="str">
        <v>✅</v>
      </c>
      <c r="S135" s="150" t="str">
        <v>✅</v>
      </c>
      <c r="T135" s="150" t="str">
        <v>✅</v>
      </c>
      <c r="U135" s="150" t="str">
        <v>✅</v>
      </c>
      <c r="V135" s="150" t="str">
        <v>✅</v>
      </c>
      <c r="X135" s="11" t="str">
        <v>✅</v>
      </c>
      <c r="Z135" s="11" t="inlineStr">
        <is>
          <r>
            <t>@王东旭</t>
          </r>
        </is>
      </c>
    </row>
    <row r="136" spans="1:26">
      <c r="A136" s="30" t="str">
        <v>座椅控制</v>
      </c>
      <c r="B136" s="168"/>
      <c r="C136" s="150" t="str">
        <v>座椅调节 - 整体</v>
      </c>
      <c r="D136" s="150" t="str">
        <v>P0</v>
      </c>
      <c r="E136" s="150" t="str">
        <v>座椅位置向前/向后/向上/向下
主驾座椅位置向前/向后/向上/向下
座椅调到最前/最后/最上/最下</v>
      </c>
      <c r="F136" s="184" t="str">
        <v>Y</v>
      </c>
      <c r="H136" s="194"/>
      <c r="I136" s="158"/>
      <c r="J136" s="200" t="str">
        <v>座椅前后调节
座椅高度调节</v>
      </c>
      <c r="K136" s="139"/>
      <c r="N136" s="164" t="str">
        <v>✅</v>
      </c>
      <c r="Q136" s="16" t="str">
        <v>✅</v>
      </c>
      <c r="R136" s="164" t="str">
        <v>❌</v>
      </c>
      <c r="S136" s="164" t="str">
        <v>✅</v>
      </c>
      <c r="T136" s="164" t="str">
        <v>✅</v>
      </c>
      <c r="U136" s="164" t="str">
        <v>❌</v>
      </c>
      <c r="V136" s="164" t="str">
        <v>❌</v>
      </c>
      <c r="W136" s="16" t="str">
        <v>✅</v>
      </c>
      <c r="X136" s="16" t="str">
        <v>✅</v>
      </c>
      <c r="Y136" s="16" t="str">
        <v>✅</v>
      </c>
      <c r="Z136" s="200" t="inlineStr">
        <is>
          <r>
            <t>@王东旭</t>
          </r>
        </is>
      </c>
    </row>
    <row r="137" spans="1:26">
      <c r="A137" s="30" t="str">
        <v>座椅控制</v>
      </c>
      <c r="B137" s="168"/>
      <c r="C137" s="16" t="str">
        <v>座椅调节 - 靠背</v>
      </c>
      <c r="D137" s="16" t="str">
        <v>P0</v>
      </c>
      <c r="E137" s="16" t="str">
        <v>靠背向前/后/
主驾靠背向前/后
靠背调到最前/最后</v>
      </c>
      <c r="F137" s="167" t="str">
        <v>Y</v>
      </c>
      <c r="H137" s="194"/>
      <c r="I137" s="158"/>
      <c r="J137" s="11" t="str">
        <v>座椅靠背角度调节</v>
      </c>
      <c r="K137" s="139"/>
      <c r="N137" s="150" t="str">
        <v>✅</v>
      </c>
      <c r="Q137" s="16" t="str">
        <v>✅</v>
      </c>
      <c r="R137" s="150" t="str">
        <v>✅</v>
      </c>
      <c r="S137" s="150" t="str">
        <v>✅</v>
      </c>
      <c r="T137" s="150" t="str">
        <v>✅</v>
      </c>
      <c r="U137" s="150" t="str">
        <v>❌</v>
      </c>
      <c r="V137" s="150" t="str">
        <v>❌</v>
      </c>
      <c r="W137" s="16" t="str">
        <v>✅</v>
      </c>
      <c r="X137" s="16" t="str">
        <v>✅</v>
      </c>
      <c r="Y137" s="16" t="str">
        <v>✅</v>
      </c>
      <c r="Z137" s="11" t="inlineStr">
        <is>
          <r>
            <t>@王东旭</t>
          </r>
        </is>
      </c>
    </row>
    <row r="138" spans="1:28">
      <c r="A138" s="30" t="str">
        <v>座椅控制</v>
      </c>
      <c r="B138" s="168"/>
      <c r="C138" s="16" t="str">
        <v>座椅调节 - 坐垫</v>
      </c>
      <c r="D138" s="16" t="str">
        <v>P0</v>
      </c>
      <c r="E138" s="16" t="str">
        <v>坐垫向上
主驾坐垫向上
副驾坐垫向下
坐垫调到最上/最下</v>
      </c>
      <c r="F138" s="167" t="str">
        <v>Y</v>
      </c>
      <c r="H138" s="194"/>
      <c r="I138" s="158"/>
      <c r="J138" s="11" t="str">
        <v>座椅坐垫高度调节</v>
      </c>
      <c r="K138" s="139"/>
      <c r="N138" s="150" t="str">
        <v>✅</v>
      </c>
      <c r="Q138" s="16" t="str">
        <v>✅</v>
      </c>
      <c r="R138" s="150" t="str">
        <v>❌</v>
      </c>
      <c r="S138" s="150" t="str">
        <v>❌</v>
      </c>
      <c r="T138" s="150" t="str">
        <v>❌</v>
      </c>
      <c r="U138" s="150" t="str">
        <v>❌</v>
      </c>
      <c r="V138" s="150" t="str">
        <v>❌</v>
      </c>
      <c r="W138" s="16" t="str">
        <v>✅</v>
      </c>
      <c r="X138" s="16" t="str">
        <v>✅</v>
      </c>
      <c r="Y138" s="16" t="str">
        <v>✅</v>
      </c>
      <c r="Z138" s="11" t="inlineStr">
        <is>
          <r>
            <t>@王东旭</t>
          </r>
        </is>
      </c>
      <c r="AB138" s="16" t="str">
        <v>调节失败。播报无问题</v>
      </c>
    </row>
    <row r="139" spans="1:26">
      <c r="A139" s="30" t="str">
        <v>座椅控制</v>
      </c>
      <c r="B139" s="168"/>
      <c r="C139" s="16" t="str">
        <v>座椅调节 - 腰托</v>
      </c>
      <c r="D139" s="16" t="str">
        <v>P0</v>
      </c>
      <c r="E139" s="16" t="inlineStr">
        <is>
          <r>
            <rPr>
              <sz val="10"/>
              <color rgb="FF000000"/>
              <rFont val="Arial"/>
            </rPr>
            <t xml:space="preserve">座椅腰托位置向上/下/前/后
主驾座椅腰托位置向上/下/前/后
</t>
          </r>
          <r>
            <rPr>
              <strike/>
              <sz val="10"/>
              <color rgb="FFF54A45"/>
              <rFont val="Arial"/>
            </rPr>
            <t>腰托调到最前/最后/最上/最下</t>
          </r>
        </is>
      </c>
      <c r="F139" s="167" t="str">
        <v>Y</v>
      </c>
      <c r="G139" s="201" t="str">
        <v>预计P基线</v>
      </c>
      <c r="H139" s="194"/>
      <c r="I139" s="158"/>
      <c r="J139" s="11" t="str">
        <v>座椅腰托高度调节
座椅腰托前后调节</v>
      </c>
      <c r="K139" s="139"/>
      <c r="N139" s="150" t="str">
        <v>✅</v>
      </c>
      <c r="P139" s="150" t="str">
        <v>✅</v>
      </c>
      <c r="Q139" s="16" t="str">
        <v>✅</v>
      </c>
      <c r="R139" s="150" t="str">
        <v>✅</v>
      </c>
      <c r="S139" s="150" t="str">
        <v>❌</v>
      </c>
      <c r="X139" s="16" t="str">
        <v>✅</v>
      </c>
      <c r="Y139" s="16" t="str">
        <v>✅</v>
      </c>
      <c r="Z139" s="11" t="inlineStr">
        <is>
          <r>
            <t>@王东旭</t>
          </r>
        </is>
      </c>
    </row>
    <row r="140" spans="1:30">
      <c r="A140" s="30" t="str">
        <v>座椅控制</v>
      </c>
      <c r="B140" s="168"/>
      <c r="C140" s="16" t="str">
        <v>座椅调节 - 腿托</v>
      </c>
      <c r="D140" s="16" t="str">
        <v>P0</v>
      </c>
      <c r="E140" s="16" t="str">
        <v>腿托向上/向下/回缩/展开/向前/向后一点
副驾腿托向上/向下/回缩/展开/向前/向后一点
腿托调到最前/最后/最上/最下</v>
      </c>
      <c r="F140" s="167" t="str">
        <v>Y</v>
      </c>
      <c r="H140" s="194"/>
      <c r="I140" s="158"/>
      <c r="J140" s="11" t="str">
        <v>座椅腿托高度调节
座椅腿托前后调节</v>
      </c>
      <c r="K140" s="139"/>
      <c r="N140" s="150" t="str">
        <v>✅</v>
      </c>
      <c r="Q140" s="16" t="str">
        <v>✅</v>
      </c>
      <c r="R140" s="11" t="str">
        <v>Block/实车无腿拖</v>
      </c>
      <c r="S140" s="150" t="str">
        <v>❌</v>
      </c>
      <c r="T140" s="150" t="str">
        <v>❌</v>
      </c>
      <c r="U140" s="150" t="str">
        <v>❌</v>
      </c>
      <c r="V140" s="150" t="str">
        <v>❌</v>
      </c>
      <c r="W140" s="16" t="str">
        <v>❌</v>
      </c>
      <c r="X140" s="16" t="str">
        <v>✅</v>
      </c>
      <c r="Y140" s="16" t="str">
        <v>✅</v>
      </c>
      <c r="Z140" s="11" t="inlineStr">
        <is>
          <r>
            <t>@王东旭</t>
          </r>
        </is>
      </c>
      <c r="AB140" s="11" t="str">
        <v>没回不支持</v>
      </c>
      <c r="AD140" s="11" t="str">
        <v>腿托前后调节相反</v>
      </c>
    </row>
    <row r="141" spans="1:26">
      <c r="A141" s="30" t="str">
        <v>座椅控制</v>
      </c>
      <c r="B141" s="168"/>
      <c r="C141" s="202" t="str">
        <v>座椅调节-上下文理解-整体、靠背、坐垫、腰托、腿托、腿托相关内容调节</v>
      </c>
      <c r="D141" s="202" t="str">
        <v>P0</v>
      </c>
      <c r="E141" s="202" t="str">
        <v>向前面一点
往后面一些
调到最前/后
向上面一点
往下面一些
调到最上/下
展开一点
回缩一点
展开到最前
回缩到最后</v>
      </c>
      <c r="F141" s="203" t="str">
        <v>Y</v>
      </c>
      <c r="G141" s="203" t="str">
        <v>    /**
     * 座椅调节批量指令设置
     *  PermissionRequest(permissions = { zone.permission.vehicle.SEAT_SET })
     * @param seatType 设置值 {@link SeatType}
     * @param value 设置值 key: {@link SeatAdjBatchCmdSetKey } Value范围参照对应key得注释
     * @return resultCode 返回结果码 {@link ResultCode}
     */
    int setSeatAdjBatchCmd(@SeatType int  seatType, HashMap&lt;Integer, Object&gt; value)
    /**座椅调节操作命令相关key值*/
    @IntDef({SeatAdjBatchCmdSetKey.VERTICAL_POSITION,
            SeatAdjBatchCmdSetKey.HORIZONTAL_POSITION,
            SeatAdjBatchCmdSetKey.RECLINE_POSITION,
            SeatAdjBatchCmdSetKey.TILTING_POSITION,
            SeatAdjBatchCmdSetKey.LEG_RET_POSITION,
            SeatAdjBatchCmdSetKey.LEG_FOLD_POSITION,
            SeatAdjBatchCmdSetKey.RECLINE_ANGLE,
            SeatAdjBatchCmdSetKey.TILTING_ANGLE,
            SeatAdjBatchCmdSetKey.LEG_FOLD_ANGLE})
    @Target({ElementType.PARAMETER})
    @Retention(RetentionPolicy.SOURCE)
    public @interface SeatAdjBatchCmdSetKey {
        /**VERTICAL_POSITION = 0: 垂直位置 对应设置value范围以及类型: 0-100 int */
        int VERTICAL_POSITION = 0;
        /**HORIZONTAL_POSITION = 1: 水平位置 对应设置value范围以及类型: 0-100 int*/
        int HORIZONTAL_POSITION = 1;
        /**RECLINE_POSITION = 2 : 靠背位置 对应设置value范围以及类型: 0-100 int*/
        int RECLINE_POSITION = 2;
        /**TILTING_POSITION = 3: 坐垫倾斜位置  对应设置value范围以及类型: 0-100 int*/
        int TILTING_POSITION = 3;
        /**LEG_RET_POSITION = 4: 腿托延展 对应设置value范围以及类型: 0-100 int*/
        int LEG_RET_POSITION =  4;
        /**LEG_FOLD_POSITION = 5: 腿托折叠 对应设置value范围以及类型: 0-100 int*/
        int LEG_FOLD_POSITION = 5;
        /**RECLINE_ANGLE = 6: 靠背角度 对应设置value范围以及类型: 0-190 int*/
        int RECLINE_ANGLE = 6;
        /**TILTING_ANGLE = 7: 坐垫倾斜角度 对应设置value范围以及类型: 0-15 int*/
        int TILTING_ANGLE = 7;
        /**LEG_FOLD_ANGLE = 8: 腿托折叠角度 对应设置value范围以及类型: 0-70 int*/
        int LEG_FOLD_ANGLE = 8;
    }</v>
      </c>
      <c r="H141" s="194"/>
      <c r="I141" s="158"/>
      <c r="J141" s="11" t="str">
        <v>座椅前后调节
座椅高度调节
座椅靠背角度调节
座椅坐垫高度调节
座椅腰托高度调节
座椅腰托前后调节
座椅腿托高度调节
座椅腿托前后调节</v>
      </c>
      <c r="K141" s="139"/>
      <c r="N141" s="150" t="str">
        <v>✅</v>
      </c>
      <c r="Q141" s="16" t="str">
        <v>✅</v>
      </c>
      <c r="R141" s="11" t="str">
        <v>❌</v>
      </c>
      <c r="S141" s="150" t="str">
        <v>❌</v>
      </c>
      <c r="T141" s="150" t="str">
        <v>❌</v>
      </c>
      <c r="U141" s="150" t="str">
        <v>❌</v>
      </c>
      <c r="V141" s="150" t="str">
        <v>❌</v>
      </c>
      <c r="W141" s="11" t="str">
        <v>✅</v>
      </c>
      <c r="X141" s="16" t="str">
        <v>✅</v>
      </c>
      <c r="Y141" s="16" t="str">
        <v>✅</v>
      </c>
      <c r="Z141" s="11" t="inlineStr">
        <is>
          <r>
            <t>@王东旭</t>
          </r>
        </is>
      </c>
    </row>
    <row r="142" spans="1:26">
      <c r="A142" s="30" t="str">
        <v>座椅控制</v>
      </c>
      <c r="B142" s="168"/>
      <c r="C142" s="16" t="str">
        <v>打开座椅页面</v>
      </c>
      <c r="D142" s="16" t="str">
        <v>P1</v>
      </c>
      <c r="E142" s="16" t="str">
        <v>打开座椅设置页面</v>
      </c>
      <c r="F142" s="167" t="str">
        <v>Y</v>
      </c>
      <c r="G142" s="167" t="str">
        <v>onStartCommand action = " + intent.action
private val OPEN_SEAT_SCENE = "com.zone.hmi.hvac.service.open_seat_scene"
或
private val VOICE_OPEN_SEAT_SCENE = "com.zone.hmi.hvac.service.voice_open_seat_scene"
package=com.zone.hmi.hvac/.service.HvacService</v>
      </c>
      <c r="H142" s="194"/>
      <c r="I142" s="158"/>
      <c r="J142" s="46" t="str">
        <v>座椅设置页面</v>
      </c>
      <c r="K142" s="139"/>
      <c r="N142" s="150" t="str">
        <v>✅</v>
      </c>
      <c r="P142" s="150" t="str">
        <v>✅</v>
      </c>
      <c r="Q142" s="11" t="str">
        <v>✅</v>
      </c>
      <c r="R142" s="150" t="str">
        <v>✅</v>
      </c>
      <c r="S142" s="150" t="str">
        <v>✅</v>
      </c>
      <c r="T142" s="150" t="str">
        <v>✅</v>
      </c>
      <c r="U142" s="150" t="str">
        <v>✅</v>
      </c>
      <c r="V142" s="150" t="str">
        <v>✅</v>
      </c>
      <c r="X142" s="11" t="str">
        <v>✅</v>
      </c>
      <c r="Z142" s="11" t="inlineStr">
        <is>
          <r>
            <t>@王东旭</t>
          </r>
        </is>
      </c>
    </row>
    <row r="143" spans="1:26">
      <c r="A143" s="30" t="str">
        <v>座椅控制</v>
      </c>
      <c r="B143" s="168"/>
      <c r="C143" s="16" t="str">
        <v>关闭座椅页面</v>
      </c>
      <c r="D143" s="16" t="str">
        <v>P1</v>
      </c>
      <c r="E143" s="16" t="str">
        <v>关闭座椅界面</v>
      </c>
      <c r="F143" s="167" t="str">
        <v>Y</v>
      </c>
      <c r="H143" s="194"/>
      <c r="I143" s="158"/>
      <c r="J143" s="110"/>
      <c r="K143" s="139"/>
      <c r="N143" s="150" t="str">
        <v>✅</v>
      </c>
      <c r="P143" s="150" t="str">
        <v>✅</v>
      </c>
      <c r="Q143" s="16" t="str">
        <v>✅</v>
      </c>
      <c r="R143" s="150" t="str">
        <v>✅</v>
      </c>
      <c r="S143" s="11" t="str">
        <v>❌</v>
      </c>
      <c r="T143" s="16" t="str">
        <v>✅</v>
      </c>
      <c r="U143" s="150" t="str">
        <v>✅</v>
      </c>
      <c r="V143" s="150" t="str">
        <v>✅</v>
      </c>
      <c r="X143" s="16" t="str">
        <v>✅</v>
      </c>
      <c r="Y143" s="16" t="str">
        <v>✅</v>
      </c>
      <c r="Z143" s="11" t="inlineStr">
        <is>
          <r>
            <t>@王东旭</t>
          </r>
        </is>
      </c>
    </row>
    <row r="144" spans="1:26">
      <c r="A144" s="30" t="str">
        <v>座椅控制</v>
      </c>
      <c r="B144" s="168"/>
      <c r="C144" s="16" t="str">
        <v>座椅便利进出 - 打开</v>
      </c>
      <c r="D144" s="16" t="str">
        <v>P1</v>
      </c>
      <c r="E144" s="16" t="str">
        <v>打开主驾便利进出
打开便利进出
打开副驾便利进出
打开全车便利进出</v>
      </c>
      <c r="F144" s="167" t="str">
        <v>Y</v>
      </c>
      <c r="H144" s="194"/>
      <c r="I144" s="158"/>
      <c r="J144" s="46" t="str">
        <v>座椅方便进出开关</v>
      </c>
      <c r="K144" s="139"/>
      <c r="N144" s="150" t="str">
        <v>✅</v>
      </c>
      <c r="P144" s="150" t="str">
        <v>✅</v>
      </c>
      <c r="Q144" s="16" t="str">
        <v>✅</v>
      </c>
      <c r="R144" s="11" t="str">
        <v>❌</v>
      </c>
      <c r="S144" s="150" t="str">
        <v>✅</v>
      </c>
      <c r="T144" s="150" t="str">
        <v>✅</v>
      </c>
      <c r="U144" s="150" t="str">
        <v>✅</v>
      </c>
      <c r="V144" s="150" t="str">
        <v>✅</v>
      </c>
      <c r="X144" s="16" t="str">
        <v>✅</v>
      </c>
      <c r="Y144" s="16" t="str">
        <v>✅</v>
      </c>
      <c r="Z144" s="11" t="inlineStr">
        <is>
          <r>
            <t>@王东旭</t>
          </r>
        </is>
      </c>
    </row>
    <row r="145" spans="1:26">
      <c r="A145" s="30" t="str">
        <v>座椅控制</v>
      </c>
      <c r="B145" s="168"/>
      <c r="C145" s="16" t="str">
        <v>座椅便利进出 - 关闭</v>
      </c>
      <c r="D145" s="16" t="str">
        <v>P1</v>
      </c>
      <c r="E145" s="16" t="str">
        <v>关闭主驾便利进出
关闭便利进出
关闭副驾便利进出
关闭全车便利进出</v>
      </c>
      <c r="F145" s="167" t="str">
        <v>Y</v>
      </c>
      <c r="H145" s="194"/>
      <c r="I145" s="158"/>
      <c r="J145" s="110"/>
      <c r="K145" s="139"/>
      <c r="N145" s="150" t="str">
        <v>✅</v>
      </c>
      <c r="P145" s="150" t="str">
        <v>✅</v>
      </c>
      <c r="Q145" s="16" t="str">
        <v>✅</v>
      </c>
      <c r="R145" s="11" t="str">
        <v>❌</v>
      </c>
      <c r="S145" s="150" t="str">
        <v>✅</v>
      </c>
      <c r="T145" s="150" t="str">
        <v>✅</v>
      </c>
      <c r="U145" s="150" t="str">
        <v>✅</v>
      </c>
      <c r="V145" s="150" t="str">
        <v>✅</v>
      </c>
      <c r="X145" s="16" t="str">
        <v>✅</v>
      </c>
      <c r="Y145" s="16" t="str">
        <v>✅</v>
      </c>
      <c r="Z145" s="11" t="inlineStr">
        <is>
          <r>
            <t>@王东旭</t>
          </r>
        </is>
      </c>
    </row>
    <row r="146" spans="1:26">
      <c r="A146" s="30" t="str">
        <v>座椅控制</v>
      </c>
      <c r="B146" s="168"/>
      <c r="C146" s="16" t="str">
        <v>查询座椅加热状态</v>
      </c>
      <c r="D146" s="16" t="str">
        <v>P0</v>
      </c>
      <c r="E146" s="16" t="str">
        <v>主驾座椅加热开了吗</v>
      </c>
      <c r="F146" s="167" t="str">
        <v>Y</v>
      </c>
      <c r="H146" s="194"/>
      <c r="I146" s="158"/>
      <c r="J146" s="46" t="str">
        <v>端状态</v>
      </c>
      <c r="K146" s="139"/>
      <c r="N146" s="150" t="str">
        <v>✅</v>
      </c>
      <c r="P146" s="150" t="str">
        <v>✅</v>
      </c>
      <c r="Q146" s="11" t="str">
        <v>✅</v>
      </c>
      <c r="R146" s="150" t="str">
        <v>✅</v>
      </c>
      <c r="S146" s="150" t="str">
        <v>✅</v>
      </c>
      <c r="T146" s="150" t="str">
        <v>✅</v>
      </c>
      <c r="U146" s="150" t="str">
        <v>✅</v>
      </c>
      <c r="V146" s="150" t="str">
        <v>✅</v>
      </c>
      <c r="X146" s="11" t="str">
        <v>✅</v>
      </c>
      <c r="Z146" s="11" t="inlineStr">
        <is>
          <r>
            <t>@王东旭</t>
          </r>
        </is>
      </c>
    </row>
    <row r="147" spans="1:26">
      <c r="A147" s="30" t="str">
        <v>座椅控制</v>
      </c>
      <c r="B147" s="168"/>
      <c r="C147" s="16" t="str">
        <v>查询座椅通风状态</v>
      </c>
      <c r="D147" s="16" t="str">
        <v>P0</v>
      </c>
      <c r="E147" s="16" t="str">
        <v>查询前排座椅通风状态</v>
      </c>
      <c r="F147" s="167" t="str">
        <v>Y</v>
      </c>
      <c r="H147" s="194"/>
      <c r="I147" s="158"/>
      <c r="J147" s="60"/>
      <c r="K147" s="139"/>
      <c r="N147" s="150" t="str">
        <v>✅</v>
      </c>
      <c r="P147" s="150" t="str">
        <v>✅</v>
      </c>
      <c r="Q147" s="16" t="str">
        <v>✅</v>
      </c>
      <c r="R147" s="150" t="str">
        <v>❌</v>
      </c>
      <c r="S147" s="150" t="str">
        <v>✅</v>
      </c>
      <c r="T147" s="150" t="str">
        <v>✅</v>
      </c>
      <c r="U147" s="150" t="str">
        <v>✅</v>
      </c>
      <c r="V147" s="150" t="str">
        <v>✅</v>
      </c>
      <c r="X147" s="16" t="str">
        <v>✅</v>
      </c>
      <c r="Y147" s="16" t="str">
        <v>✅</v>
      </c>
      <c r="Z147" s="11" t="inlineStr">
        <is>
          <r>
            <t>@王东旭</t>
          </r>
        </is>
      </c>
    </row>
    <row r="148" spans="1:26">
      <c r="A148" s="30" t="str">
        <v>座椅控制</v>
      </c>
      <c r="B148" s="30"/>
      <c r="C148" s="16" t="str">
        <v>查询座椅按摩状态</v>
      </c>
      <c r="D148" s="16" t="str">
        <v>P0</v>
      </c>
      <c r="E148" s="16" t="str">
        <v>副驾座椅按摩是什么模式</v>
      </c>
      <c r="F148" s="167" t="str">
        <v>Y</v>
      </c>
      <c r="H148" s="190"/>
      <c r="I148" s="160"/>
      <c r="J148" s="110"/>
      <c r="K148" s="156"/>
      <c r="N148" s="150" t="str">
        <v>✅</v>
      </c>
      <c r="P148" s="150" t="str">
        <v>✅</v>
      </c>
      <c r="Q148" s="11" t="str">
        <v>✅</v>
      </c>
      <c r="R148" s="150" t="str">
        <v>❌</v>
      </c>
      <c r="S148" s="150" t="str">
        <v>❌</v>
      </c>
      <c r="T148" s="16" t="str">
        <v>✅</v>
      </c>
      <c r="U148" s="150" t="str">
        <v>✅</v>
      </c>
      <c r="V148" s="150" t="str">
        <v>✅</v>
      </c>
      <c r="X148" s="11" t="str">
        <v>❌</v>
      </c>
      <c r="Y148" s="11" t="str">
        <v>✅</v>
      </c>
      <c r="Z148" s="11" t="inlineStr">
        <is>
          <r>
            <t>@王东旭</t>
          </r>
        </is>
      </c>
    </row>
    <row r="149" spans="1:26">
      <c r="A149" s="30" t="str">
        <v>外后视镜控制</v>
      </c>
      <c r="B149" s="166" t="str">
        <v>05外后视镜控制</v>
      </c>
      <c r="C149" s="72" t="str">
        <v>语音打开后视镜设置页面</v>
      </c>
      <c r="D149" s="72" t="str">
        <v>P0</v>
      </c>
      <c r="E149" s="72" t="str">
        <v>打开后视镜设置页面</v>
      </c>
      <c r="F149" s="167" t="str">
        <v>Y</v>
      </c>
      <c r="H149" s="16" t="str">
        <v>✅</v>
      </c>
      <c r="I149" s="157" t="str">
        <v>✅
点检标准：HMI控制支持后视镜调节、展开/关闭</v>
      </c>
      <c r="J149" s="204" t="str">
        <v>后视镜设置页面</v>
      </c>
      <c r="K149" s="61" t="str">
        <v>Vehicle_Platform1.0_IS4PR_Yu_Yin_Kong_Zhi_IS4PR_Wai_Hou_Shi_Jing__Yu_Yin_Kong_Zhi___PRD.pdf</v>
      </c>
      <c r="M149" s="16" t="str">
        <v>✅</v>
      </c>
      <c r="N149" s="16" t="str">
        <v>✅</v>
      </c>
      <c r="O149" s="16" t="str">
        <v>✅</v>
      </c>
      <c r="P149" s="61" t="str">
        <v>外后视镜.xlsx</v>
      </c>
      <c r="Q149" s="150" t="str">
        <v>✅</v>
      </c>
      <c r="R149" s="150" t="str">
        <v>✅</v>
      </c>
      <c r="S149" s="150" t="str">
        <v>✅</v>
      </c>
      <c r="T149" s="150" t="str">
        <v>✅</v>
      </c>
      <c r="V149" s="150" t="str">
        <v>✅</v>
      </c>
      <c r="Z149" s="11" t="inlineStr">
        <is>
          <r>
            <t>@王东旭</t>
          </r>
        </is>
      </c>
    </row>
    <row r="150" spans="1:26">
      <c r="A150" s="30" t="str">
        <v>外后视镜控制</v>
      </c>
      <c r="B150" s="168"/>
      <c r="C150" s="72" t="str">
        <v>语音打开后视镜设置页面</v>
      </c>
      <c r="D150" s="72" t="str">
        <v>P0</v>
      </c>
      <c r="E150" s="72" t="str">
        <v>进入后视镜设置画面</v>
      </c>
      <c r="F150" s="167" t="str">
        <v>Y</v>
      </c>
      <c r="H150" s="16" t="str">
        <v>✅</v>
      </c>
      <c r="I150" s="158"/>
      <c r="J150" s="129"/>
      <c r="K150" s="139"/>
      <c r="M150" s="16" t="str">
        <v>✅</v>
      </c>
      <c r="N150" s="16" t="str">
        <v>✅</v>
      </c>
      <c r="O150" s="16" t="str">
        <v>✅</v>
      </c>
      <c r="P150" s="139"/>
      <c r="Q150" s="150" t="str">
        <v>✅</v>
      </c>
      <c r="R150" s="150" t="str">
        <v>✅</v>
      </c>
      <c r="S150" s="150" t="str">
        <v>✅</v>
      </c>
      <c r="T150" s="150" t="str">
        <v>✅</v>
      </c>
      <c r="V150" s="150" t="str">
        <v>✅</v>
      </c>
      <c r="Z150" s="11" t="inlineStr">
        <is>
          <r>
            <t>@王东旭</t>
          </r>
        </is>
      </c>
    </row>
    <row r="151" spans="1:30">
      <c r="A151" s="30" t="str">
        <v>外后视镜控制</v>
      </c>
      <c r="B151" s="168"/>
      <c r="C151" s="164" t="str">
        <v>语音控制外后视镜方向调节</v>
      </c>
      <c r="D151" s="164" t="str">
        <v>P0</v>
      </c>
      <c r="E151" s="164" t="str">
        <v>设置后视镜位置</v>
      </c>
      <c r="F151" s="181" t="str">
        <v>Y</v>
      </c>
      <c r="G151" s="205" t="str">
        <v>Intent intent = new Intent();
intent.setPackage("com.zone.hmi.systemview");
intent.setAction("zone.intent.action.OPEN_REAR_VIEW_MIRROR_ADJUSTMENT_DIALOG");
mContext.sendBroadcast(intent);</v>
      </c>
      <c r="H151" s="206" t="str">
        <v>方控调节
PRD不支持语音控制</v>
      </c>
      <c r="I151" s="158"/>
      <c r="J151" s="207" t="str">
        <v>外后视镜位置调节
后视镜设置页面（page=左,右,两侧,中间,全部，空）</v>
      </c>
      <c r="K151" s="139"/>
      <c r="M151" s="164" t="str">
        <v>✅</v>
      </c>
      <c r="N151" s="164" t="str">
        <v>✅</v>
      </c>
      <c r="O151" s="164" t="str">
        <v>✅</v>
      </c>
      <c r="P151" s="139"/>
      <c r="Q151" s="200" t="str">
        <v>❌</v>
      </c>
      <c r="R151" s="164" t="str">
        <v>✅</v>
      </c>
      <c r="S151" s="164" t="str">
        <v>✅</v>
      </c>
      <c r="T151" s="164" t="str">
        <v>✅</v>
      </c>
      <c r="V151" s="164" t="str">
        <v>❌</v>
      </c>
      <c r="W151" s="200" t="str">
        <v>❌</v>
      </c>
      <c r="X151" s="200" t="str">
        <v>❌</v>
      </c>
      <c r="Z151" s="200" t="inlineStr">
        <is>
          <r>
            <t>@王东旭</t>
          </r>
        </is>
      </c>
      <c r="AC151" s="169" t="str">
        <v>202607071642467F2874B122A3CC77FDB2</v>
      </c>
      <c r="AD151" s="200" t="str">
        <v>只是跳转到了后视镜设置页面，没打开后视镜调节页面</v>
      </c>
    </row>
    <row r="152" spans="1:30">
      <c r="A152" s="30" t="str">
        <v>外后视镜控制</v>
      </c>
      <c r="B152" s="168"/>
      <c r="C152" s="164" t="str">
        <v>语音控制外后视镜方向调节</v>
      </c>
      <c r="D152" s="164" t="str">
        <v>P0</v>
      </c>
      <c r="E152" s="164" t="str">
        <v>后视镜位置调节</v>
      </c>
      <c r="F152" s="181" t="str">
        <v>Y</v>
      </c>
      <c r="G152" s="208"/>
      <c r="H152" s="209"/>
      <c r="I152" s="158"/>
      <c r="J152" s="210"/>
      <c r="K152" s="139"/>
      <c r="M152" s="164" t="str">
        <v>✅</v>
      </c>
      <c r="N152" s="164" t="str">
        <v>✅</v>
      </c>
      <c r="O152" s="164" t="str">
        <v>✅</v>
      </c>
      <c r="P152" s="139"/>
      <c r="Q152" s="200" t="str">
        <v>❌</v>
      </c>
      <c r="R152" s="164" t="str">
        <v>✅</v>
      </c>
      <c r="S152" s="164" t="str">
        <v>✅</v>
      </c>
      <c r="T152" s="164" t="str">
        <v>✅</v>
      </c>
      <c r="V152" s="164" t="str">
        <v>❌</v>
      </c>
      <c r="W152" s="200" t="str">
        <v>❌</v>
      </c>
      <c r="X152" s="200" t="str">
        <v>❌</v>
      </c>
      <c r="Z152" s="200" t="inlineStr">
        <is>
          <r>
            <t>@王东旭</t>
          </r>
        </is>
      </c>
      <c r="AC152" s="164" t="str">
        <v>同上</v>
      </c>
      <c r="AD152" s="200" t="str">
        <v>同上</v>
      </c>
    </row>
    <row r="153" spans="1:26">
      <c r="A153" s="30" t="str">
        <v>外后视镜控制</v>
      </c>
      <c r="B153" s="168"/>
      <c r="C153" s="16" t="str">
        <v>语音控制外后视镜展开</v>
      </c>
      <c r="D153" s="16" t="str">
        <v>P0</v>
      </c>
      <c r="E153" s="16" t="str">
        <v>展开后视镜</v>
      </c>
      <c r="F153" s="167" t="str">
        <v>Y</v>
      </c>
      <c r="H153" s="16" t="str">
        <v>✅</v>
      </c>
      <c r="I153" s="158"/>
      <c r="J153" s="46" t="str">
        <v>外后视镜折叠开关</v>
      </c>
      <c r="K153" s="139"/>
      <c r="M153" s="16" t="str">
        <v>✅</v>
      </c>
      <c r="N153" s="16" t="str">
        <v>✅</v>
      </c>
      <c r="O153" s="16" t="str">
        <v>✅</v>
      </c>
      <c r="P153" s="139"/>
      <c r="Q153" s="16" t="str">
        <v>✅</v>
      </c>
      <c r="R153" s="16" t="str">
        <v>✅</v>
      </c>
      <c r="S153" s="16" t="str">
        <v>✅</v>
      </c>
      <c r="T153" s="16" t="str">
        <v>✅</v>
      </c>
      <c r="V153" s="16" t="str">
        <v>✅</v>
      </c>
      <c r="Z153" s="11" t="inlineStr">
        <is>
          <r>
            <t>@王东旭</t>
          </r>
        </is>
      </c>
    </row>
    <row r="154" spans="1:26">
      <c r="A154" s="30" t="str">
        <v>外后视镜控制</v>
      </c>
      <c r="B154" s="168"/>
      <c r="C154" s="16" t="str">
        <v>语音控制外后视镜展开</v>
      </c>
      <c r="D154" s="16" t="str">
        <v>P0</v>
      </c>
      <c r="E154" s="16" t="str">
        <v>打开后视镜</v>
      </c>
      <c r="F154" s="167" t="str">
        <v>Y</v>
      </c>
      <c r="H154" s="16" t="str">
        <v>✅</v>
      </c>
      <c r="I154" s="158"/>
      <c r="J154" s="60"/>
      <c r="K154" s="139"/>
      <c r="M154" s="16" t="str">
        <v>✅</v>
      </c>
      <c r="N154" s="16" t="str">
        <v>✅</v>
      </c>
      <c r="O154" s="16" t="str">
        <v>✅</v>
      </c>
      <c r="P154" s="139"/>
      <c r="Q154" s="16" t="str">
        <v>✅</v>
      </c>
      <c r="R154" s="16" t="str">
        <v>✅</v>
      </c>
      <c r="S154" s="16" t="str">
        <v>✅</v>
      </c>
      <c r="T154" s="16" t="str">
        <v>✅</v>
      </c>
      <c r="V154" s="16" t="str">
        <v>✅</v>
      </c>
      <c r="Z154" s="11" t="inlineStr">
        <is>
          <r>
            <t>@王东旭</t>
          </r>
        </is>
      </c>
    </row>
    <row r="155" spans="1:26">
      <c r="A155" s="30" t="str">
        <v>外后视镜控制</v>
      </c>
      <c r="B155" s="168"/>
      <c r="C155" s="16" t="str">
        <v>语音控制外后视镜折叠</v>
      </c>
      <c r="D155" s="16" t="str">
        <v>P0</v>
      </c>
      <c r="E155" s="16" t="str">
        <v>折叠后视镜</v>
      </c>
      <c r="F155" s="167" t="str">
        <v>Y</v>
      </c>
      <c r="H155" s="16" t="str">
        <v>✅</v>
      </c>
      <c r="I155" s="158"/>
      <c r="J155" s="60"/>
      <c r="K155" s="139"/>
      <c r="M155" s="16" t="str">
        <v>✅</v>
      </c>
      <c r="N155" s="16" t="str">
        <v>✅</v>
      </c>
      <c r="O155" s="16" t="str">
        <v>✅</v>
      </c>
      <c r="P155" s="139"/>
      <c r="Q155" s="16" t="str">
        <v>✅</v>
      </c>
      <c r="R155" s="16" t="str">
        <v>✅</v>
      </c>
      <c r="S155" s="11" t="str">
        <v>❌</v>
      </c>
      <c r="T155" s="16" t="str">
        <v>✅</v>
      </c>
      <c r="V155" s="16" t="str">
        <v>✅</v>
      </c>
      <c r="X155" s="16" t="str">
        <v>✅</v>
      </c>
      <c r="Z155" s="11" t="inlineStr">
        <is>
          <r>
            <t>@王东旭</t>
          </r>
        </is>
      </c>
    </row>
    <row r="156" spans="1:26">
      <c r="A156" s="30" t="str">
        <v>外后视镜控制</v>
      </c>
      <c r="B156" s="168"/>
      <c r="C156" s="16" t="str">
        <v>语音控制外后视镜折叠</v>
      </c>
      <c r="D156" s="16" t="str">
        <v>P0</v>
      </c>
      <c r="E156" s="16" t="str">
        <v>收起后视镜</v>
      </c>
      <c r="F156" s="167" t="str">
        <v>Y</v>
      </c>
      <c r="H156" s="16" t="str">
        <v>✅</v>
      </c>
      <c r="I156" s="158"/>
      <c r="J156" s="110"/>
      <c r="K156" s="139"/>
      <c r="M156" s="16" t="str">
        <v>✅</v>
      </c>
      <c r="N156" s="16" t="str">
        <v>✅</v>
      </c>
      <c r="O156" s="16" t="str">
        <v>✅</v>
      </c>
      <c r="P156" s="139"/>
      <c r="Q156" s="16" t="str">
        <v>✅</v>
      </c>
      <c r="R156" s="16" t="str">
        <v>✅</v>
      </c>
      <c r="S156" s="11" t="str">
        <v>❌</v>
      </c>
      <c r="T156" s="16" t="str">
        <v>✅</v>
      </c>
      <c r="V156" s="16" t="str">
        <v>✅</v>
      </c>
      <c r="X156" s="16" t="str">
        <v>✅</v>
      </c>
      <c r="Z156" s="11" t="inlineStr">
        <is>
          <r>
            <t>@王东旭</t>
          </r>
        </is>
      </c>
    </row>
    <row r="157" spans="1:26">
      <c r="A157" s="30" t="str">
        <v>外后视镜控制</v>
      </c>
      <c r="B157" s="168"/>
      <c r="C157" s="16" t="str">
        <v>语音控制外后视镜倒车下倾设置</v>
      </c>
      <c r="D157" s="16" t="str">
        <v>P1</v>
      </c>
      <c r="E157" s="16" t="str">
        <v>打开左侧后视镜自动下倾开关</v>
      </c>
      <c r="F157" s="167" t="str">
        <v>Y</v>
      </c>
      <c r="H157" s="16" t="str">
        <v>✅</v>
      </c>
      <c r="I157" s="158"/>
      <c r="J157" s="46" t="str">
        <v>外后视镜自动下翻开关</v>
      </c>
      <c r="K157" s="139"/>
      <c r="M157" s="204" t="str">
        <v>单侧后视镜可以控制，但同时控制两侧后视镜失败，api接口返回状态成功，但是不执行</v>
      </c>
      <c r="N157" s="16" t="str">
        <v>✅</v>
      </c>
      <c r="O157" s="16" t="str">
        <v>✅</v>
      </c>
      <c r="P157" s="139"/>
      <c r="Q157" s="16" t="str">
        <v>✅</v>
      </c>
      <c r="R157" s="16" t="str">
        <v>✅</v>
      </c>
      <c r="S157" s="16" t="str">
        <v>✅</v>
      </c>
      <c r="T157" s="16" t="str">
        <v>✅</v>
      </c>
      <c r="V157" s="16" t="str">
        <v>✅</v>
      </c>
      <c r="Z157" s="11" t="inlineStr">
        <is>
          <r>
            <t>@王东旭</t>
          </r>
        </is>
      </c>
    </row>
    <row r="158" spans="1:26">
      <c r="A158" s="30" t="str">
        <v>外后视镜控制</v>
      </c>
      <c r="B158" s="168"/>
      <c r="C158" s="16" t="str">
        <v>语音控制外后视镜倒车下倾设置</v>
      </c>
      <c r="D158" s="16" t="str">
        <v>P1</v>
      </c>
      <c r="E158" s="16" t="str">
        <v>关闭右后视镜自动下倾功能</v>
      </c>
      <c r="F158" s="167" t="str">
        <v>Y</v>
      </c>
      <c r="H158" s="16" t="str">
        <v>✅</v>
      </c>
      <c r="I158" s="158"/>
      <c r="J158" s="110"/>
      <c r="K158" s="139"/>
      <c r="M158" s="129"/>
      <c r="N158" s="16" t="str">
        <v>✅</v>
      </c>
      <c r="O158" s="16" t="str">
        <v>✅</v>
      </c>
      <c r="P158" s="139"/>
      <c r="Q158" s="16" t="str">
        <v>✅</v>
      </c>
      <c r="R158" s="16" t="str">
        <v>✅</v>
      </c>
      <c r="S158" s="16" t="str">
        <v>✅</v>
      </c>
      <c r="T158" s="16" t="str">
        <v>✅</v>
      </c>
      <c r="V158" s="16" t="str">
        <v>✅</v>
      </c>
      <c r="Z158" s="11" t="inlineStr">
        <is>
          <r>
            <t>@王东旭</t>
          </r>
        </is>
      </c>
    </row>
    <row r="159" spans="1:26">
      <c r="A159" s="30" t="str">
        <v>外后视镜控制</v>
      </c>
      <c r="B159" s="168"/>
      <c r="C159" s="16" t="str">
        <v>语音控制外后视镜自动展开折叠设置</v>
      </c>
      <c r="D159" s="16" t="str">
        <v>P1</v>
      </c>
      <c r="E159" s="16" t="str">
        <v>打开后视镜自动折叠</v>
      </c>
      <c r="F159" s="167" t="str">
        <v>Y</v>
      </c>
      <c r="H159" s="16" t="str">
        <v>✅</v>
      </c>
      <c r="I159" s="158"/>
      <c r="J159" s="46" t="str">
        <v>外后视镜自动折叠开关</v>
      </c>
      <c r="K159" s="139"/>
      <c r="M159" s="16" t="str">
        <v>✅</v>
      </c>
      <c r="N159" s="16" t="str">
        <v>✅</v>
      </c>
      <c r="O159" s="16" t="str">
        <v>✅</v>
      </c>
      <c r="P159" s="139"/>
      <c r="Q159" s="16" t="str">
        <v>✅</v>
      </c>
      <c r="R159" s="16" t="str">
        <v>✅</v>
      </c>
      <c r="S159" s="16" t="str">
        <v>✅</v>
      </c>
      <c r="T159" s="16" t="str">
        <v>✅</v>
      </c>
      <c r="V159" s="16" t="str">
        <v>✅</v>
      </c>
      <c r="Z159" s="11" t="inlineStr">
        <is>
          <r>
            <t>@王东旭</t>
          </r>
        </is>
      </c>
    </row>
    <row r="160" spans="1:26">
      <c r="A160" s="30" t="str">
        <v>外后视镜控制</v>
      </c>
      <c r="B160" s="30"/>
      <c r="C160" s="16" t="str">
        <v>语音控制外后视镜自动展开折叠设置</v>
      </c>
      <c r="D160" s="16" t="str">
        <v>P1</v>
      </c>
      <c r="E160" s="16" t="str">
        <v>关闭后视镜自动折叠</v>
      </c>
      <c r="F160" s="167" t="str">
        <v>Y</v>
      </c>
      <c r="H160" s="16" t="str">
        <v>✅</v>
      </c>
      <c r="I160" s="160"/>
      <c r="J160" s="110"/>
      <c r="K160" s="156"/>
      <c r="M160" s="16" t="str">
        <v>✅</v>
      </c>
      <c r="N160" s="16" t="str">
        <v>✅</v>
      </c>
      <c r="O160" s="16" t="str">
        <v>✅</v>
      </c>
      <c r="P160" s="156"/>
      <c r="Q160" s="16" t="str">
        <v>✅</v>
      </c>
      <c r="R160" s="16" t="str">
        <v>✅</v>
      </c>
      <c r="S160" s="16" t="str">
        <v>✅</v>
      </c>
      <c r="T160" s="16" t="str">
        <v>✅</v>
      </c>
      <c r="V160" s="16" t="str">
        <v>✅</v>
      </c>
      <c r="Z160" s="11" t="inlineStr">
        <is>
          <r>
            <t>@王东旭</t>
          </r>
        </is>
      </c>
    </row>
    <row r="161" spans="1:26">
      <c r="A161" s="30" t="str">
        <v>尾门控制</v>
      </c>
      <c r="B161" s="166" t="str">
        <v>06尾门控制</v>
      </c>
      <c r="C161" s="16" t="str">
        <v>打开电动尾门</v>
      </c>
      <c r="D161" s="16" t="str">
        <v>P0</v>
      </c>
      <c r="E161" s="16" t="str">
        <v>打开电动尾门</v>
      </c>
      <c r="F161" s="167" t="str">
        <v>Y</v>
      </c>
      <c r="H161" s="16" t="str">
        <v>✅</v>
      </c>
      <c r="I161" s="122" t="inlineStr">
        <is>
          <r>
            <rPr>
              <sz val="10"/>
              <color rgb="FFF54A45"/>
              <rFont val="Arial"/>
            </rPr>
            <t xml:space="preserve">✅
</t>
          </r>
          <r>
            <rPr>
              <sz val="10"/>
              <color rgb="FF1F2329"/>
              <rFont val="Arial"/>
            </rPr>
            <t xml:space="preserve">点检标准：支持打开尾门并调节打开高度及关闭尾
门操作</t>
          </r>
        </is>
      </c>
      <c r="J161" s="46" t="str">
        <v>后备箱开关调节</v>
      </c>
      <c r="K161" s="61" t="str">
        <v>【06】【尾门0318】Vehicle_Platform1.0_IS4PR_Yu_Yin_Kong_Zhi_IS4PR_Wei_Men__PRD.pdf</v>
      </c>
      <c r="M161" s="204" t="str">
        <v>api接口有问题（获取尾门状态、尾门开合角度、后备箱开启的角度和预设不一致）</v>
      </c>
      <c r="N161" s="16" t="str">
        <v>✅</v>
      </c>
      <c r="O161" s="16" t="str">
        <v>✅</v>
      </c>
      <c r="P161" s="61" t="str">
        <v>AI-car 上汽测试用例持续-410版本测试结果 </v>
      </c>
      <c r="Q161" s="16" t="str">
        <v>✅</v>
      </c>
      <c r="R161" s="16" t="str">
        <v>✅</v>
      </c>
      <c r="S161" s="16" t="str">
        <v>✅</v>
      </c>
      <c r="T161" s="16" t="str">
        <v>✅</v>
      </c>
      <c r="V161" s="16" t="str">
        <v>✅</v>
      </c>
      <c r="X161" s="16" t="str">
        <v>✅</v>
      </c>
      <c r="Z161" s="11" t="inlineStr">
        <is>
          <r>
            <t>@王东旭</t>
          </r>
        </is>
      </c>
    </row>
    <row r="162" spans="1:26">
      <c r="A162" s="30" t="str">
        <v>尾门控制</v>
      </c>
      <c r="B162" s="168"/>
      <c r="C162" s="16" t="str">
        <v>打开电动尾门</v>
      </c>
      <c r="D162" s="16" t="str">
        <v>P0</v>
      </c>
      <c r="E162" s="16" t="str">
        <v>开启后备箱</v>
      </c>
      <c r="F162" s="167" t="str">
        <v>Y</v>
      </c>
      <c r="H162" s="16" t="str">
        <v>✅</v>
      </c>
      <c r="I162" s="194"/>
      <c r="J162" s="60"/>
      <c r="K162" s="139"/>
      <c r="M162" s="211"/>
      <c r="N162" s="16" t="str">
        <v>✅</v>
      </c>
      <c r="O162" s="16" t="str">
        <v>✅</v>
      </c>
      <c r="P162" s="139"/>
      <c r="Q162" s="16" t="str">
        <v>✅</v>
      </c>
      <c r="R162" s="16" t="str">
        <v>✅</v>
      </c>
      <c r="S162" s="16" t="str">
        <v>✅</v>
      </c>
      <c r="T162" s="16" t="str">
        <v>✅</v>
      </c>
      <c r="V162" s="16" t="str">
        <v>✅</v>
      </c>
      <c r="X162" s="16" t="str">
        <v>✅</v>
      </c>
      <c r="Z162" s="11" t="inlineStr">
        <is>
          <r>
            <t>@王东旭</t>
          </r>
        </is>
      </c>
    </row>
    <row r="163" spans="1:26">
      <c r="A163" s="30" t="str">
        <v>尾门控制</v>
      </c>
      <c r="B163" s="168"/>
      <c r="C163" s="16" t="str">
        <v>关闭电动尾门</v>
      </c>
      <c r="D163" s="16" t="str">
        <v>P0</v>
      </c>
      <c r="E163" s="16" t="str">
        <v>关闭电动尾门</v>
      </c>
      <c r="F163" s="167" t="str">
        <v>Y</v>
      </c>
      <c r="H163" s="16" t="str">
        <v>✅</v>
      </c>
      <c r="I163" s="194"/>
      <c r="J163" s="60"/>
      <c r="K163" s="139"/>
      <c r="M163" s="211"/>
      <c r="N163" s="16" t="str">
        <v>✅</v>
      </c>
      <c r="O163" s="16" t="str">
        <v>✅</v>
      </c>
      <c r="P163" s="139"/>
      <c r="Q163" s="16" t="str">
        <v>✅</v>
      </c>
      <c r="R163" s="16" t="str">
        <v>✅</v>
      </c>
      <c r="S163" s="16" t="str">
        <v>✅</v>
      </c>
      <c r="T163" s="16" t="str">
        <v>✅</v>
      </c>
      <c r="V163" s="16" t="str">
        <v>✅</v>
      </c>
      <c r="X163" s="16" t="str">
        <v>✅</v>
      </c>
      <c r="Z163" s="11" t="inlineStr">
        <is>
          <r>
            <t>@王东旭</t>
          </r>
        </is>
      </c>
    </row>
    <row r="164" spans="1:26">
      <c r="A164" s="30" t="str">
        <v>尾门控制</v>
      </c>
      <c r="B164" s="168"/>
      <c r="C164" s="16" t="str">
        <v>关闭电动尾门</v>
      </c>
      <c r="D164" s="16" t="str">
        <v>P0</v>
      </c>
      <c r="E164" s="16" t="str">
        <v>关后备箱</v>
      </c>
      <c r="F164" s="167" t="str">
        <v>Y</v>
      </c>
      <c r="H164" s="16" t="str">
        <v>✅</v>
      </c>
      <c r="I164" s="194"/>
      <c r="J164" s="60"/>
      <c r="K164" s="139"/>
      <c r="M164" s="211"/>
      <c r="N164" s="16" t="str">
        <v>✅</v>
      </c>
      <c r="O164" s="16" t="str">
        <v>✅</v>
      </c>
      <c r="P164" s="139"/>
      <c r="Q164" s="16" t="str">
        <v>✅</v>
      </c>
      <c r="R164" s="16" t="str">
        <v>✅</v>
      </c>
      <c r="S164" s="16" t="str">
        <v>✅</v>
      </c>
      <c r="T164" s="16" t="str">
        <v>✅</v>
      </c>
      <c r="V164" s="16" t="str">
        <v>✅</v>
      </c>
      <c r="X164" s="16" t="str">
        <v>✅</v>
      </c>
      <c r="Z164" s="11" t="inlineStr">
        <is>
          <r>
            <t>@王东旭</t>
          </r>
        </is>
      </c>
    </row>
    <row r="165" spans="1:26">
      <c r="A165" s="30" t="str">
        <v>尾门控制</v>
      </c>
      <c r="B165" s="168"/>
      <c r="C165" s="16" t="str">
        <v>暂停电动尾门</v>
      </c>
      <c r="D165" s="16" t="str">
        <v>P0</v>
      </c>
      <c r="E165" s="16" t="str">
        <v>暂停电尾门</v>
      </c>
      <c r="F165" s="167" t="str">
        <v>Y</v>
      </c>
      <c r="H165" s="212" t="str">
        <v>不支持
上汽反馈预计12.24支持</v>
      </c>
      <c r="I165" s="194"/>
      <c r="J165" s="60"/>
      <c r="K165" s="139"/>
      <c r="M165" s="211"/>
      <c r="O165" s="166" t="str">
        <v>一鸣反馈在实车验证时分析发现在尾门打开过程中发出暂停的语音指令，等fc返回时，尾门已全部打开/关闭，需产品确认后续如何解决</v>
      </c>
      <c r="P165" s="139"/>
      <c r="Q165" s="11" t="str">
        <v>block</v>
      </c>
      <c r="R165" s="11" t="str">
        <v>❌</v>
      </c>
      <c r="S165" s="11" t="str">
        <v>Block</v>
      </c>
      <c r="T165" s="11" t="str">
        <v>实车Block</v>
      </c>
      <c r="V165" s="11" t="str">
        <v>block</v>
      </c>
      <c r="Z165" s="11" t="inlineStr">
        <is>
          <r>
            <t>@王东旭</t>
          </r>
        </is>
      </c>
    </row>
    <row r="166" spans="1:26">
      <c r="A166" s="30" t="str">
        <v>尾门控制</v>
      </c>
      <c r="B166" s="168"/>
      <c r="C166" s="16" t="str">
        <v>暂停电动尾门</v>
      </c>
      <c r="D166" s="16" t="str">
        <v>P0</v>
      </c>
      <c r="E166" s="16" t="str">
        <v>暂停后备箱</v>
      </c>
      <c r="F166" s="167" t="str">
        <v>Y</v>
      </c>
      <c r="H166" s="213"/>
      <c r="I166" s="194"/>
      <c r="J166" s="60"/>
      <c r="K166" s="139"/>
      <c r="M166" s="211"/>
      <c r="O166" s="168"/>
      <c r="P166" s="139"/>
      <c r="Q166" s="11" t="str">
        <v>block</v>
      </c>
      <c r="R166" s="11" t="str">
        <v>❌</v>
      </c>
      <c r="S166" s="11" t="str">
        <v>Block</v>
      </c>
      <c r="T166" s="11" t="str">
        <v>实车Block</v>
      </c>
      <c r="V166" s="11" t="str">
        <v>block</v>
      </c>
      <c r="Z166" s="11" t="inlineStr">
        <is>
          <r>
            <t>@王东旭</t>
          </r>
        </is>
      </c>
    </row>
    <row r="167" spans="1:30">
      <c r="A167" s="30" t="str">
        <v>尾门控制</v>
      </c>
      <c r="B167" s="168"/>
      <c r="C167" s="16" t="str">
        <v>电动尾门上下文理解</v>
      </c>
      <c r="D167" s="16" t="str">
        <v>P0</v>
      </c>
      <c r="E167" s="16" t="str">
        <v>继续打开</v>
      </c>
      <c r="F167" s="167" t="str">
        <v>Y</v>
      </c>
      <c r="H167" s="213"/>
      <c r="I167" s="194"/>
      <c r="J167" s="60"/>
      <c r="K167" s="139"/>
      <c r="M167" s="211"/>
      <c r="O167" s="168"/>
      <c r="P167" s="139"/>
      <c r="Q167" s="11" t="str">
        <v>block</v>
      </c>
      <c r="R167" s="11" t="str">
        <v>❌</v>
      </c>
      <c r="S167" s="11" t="str">
        <v>Block</v>
      </c>
      <c r="T167" s="11" t="str">
        <v>实车Block</v>
      </c>
      <c r="V167" s="11" t="str">
        <v>❌</v>
      </c>
      <c r="W167" s="11" t="str">
        <v>❌</v>
      </c>
      <c r="Z167" s="11" t="inlineStr">
        <is>
          <r>
            <t>@王东旭</t>
          </r>
        </is>
      </c>
      <c r="AD167" s="11" t="str">
        <v>有bug单，未解决</v>
      </c>
    </row>
    <row r="168" spans="1:26">
      <c r="A168" s="30" t="str">
        <v>尾门控制</v>
      </c>
      <c r="B168" s="168"/>
      <c r="C168" s="16" t="str">
        <v>电动尾门上下文理解</v>
      </c>
      <c r="D168" s="16" t="str">
        <v>P0</v>
      </c>
      <c r="E168" s="16" t="str">
        <v>暂停关闭</v>
      </c>
      <c r="F168" s="167" t="str">
        <v>Y</v>
      </c>
      <c r="H168" s="213"/>
      <c r="I168" s="194"/>
      <c r="J168" s="110"/>
      <c r="K168" s="139"/>
      <c r="M168" s="211"/>
      <c r="O168" s="30"/>
      <c r="P168" s="139"/>
      <c r="Q168" s="11" t="str">
        <v>block</v>
      </c>
      <c r="R168" s="11" t="str">
        <v>❌</v>
      </c>
      <c r="S168" s="11" t="str">
        <v>Block</v>
      </c>
      <c r="T168" s="11" t="str">
        <v>实车Block</v>
      </c>
      <c r="V168" s="11" t="str">
        <v>block</v>
      </c>
      <c r="Z168" s="11" t="inlineStr">
        <is>
          <r>
            <t>@王东旭</t>
          </r>
        </is>
      </c>
    </row>
    <row r="169" spans="1:26">
      <c r="A169" s="30" t="str">
        <v>尾门控制</v>
      </c>
      <c r="B169" s="168"/>
      <c r="C169" s="16" t="str">
        <v>电动尾门高度设置</v>
      </c>
      <c r="D169" s="16" t="str">
        <v>P1</v>
      </c>
      <c r="E169" s="16" t="inlineStr">
        <is>
          <r>
            <rPr>
              <strike/>
              <sz val="10"/>
              <color rgb="FF000000"/>
              <rFont val="Arial"/>
            </rPr>
            <t xml:space="preserve">把电动尾门开合度设置成 50%
</t>
          </r>
          <r>
            <rPr>
              <sz val="10"/>
              <color rgb="FF000000"/>
              <rFont val="Arial"/>
            </rPr>
            <t>尾门高度设置成50%</t>
          </r>
        </is>
      </c>
      <c r="F169" s="167" t="str">
        <v>Y</v>
      </c>
      <c r="H169" s="213"/>
      <c r="I169" s="194"/>
      <c r="J169" s="214" t="str">
        <v>后备箱高度设置</v>
      </c>
      <c r="K169" s="139"/>
      <c r="M169" s="211"/>
      <c r="N169" s="16" t="str">
        <v>✅</v>
      </c>
      <c r="O169" s="166" t="str">
        <v>一鸣反馈之前左晨对上汽接口理解有歧义，左晨已更新逻辑后需要更改fc，左晨0610通知廖婉婷更新fc，工单recvlzKIaNyYlp</v>
      </c>
      <c r="P169" s="139"/>
      <c r="Q169" s="11" t="str">
        <v>✅</v>
      </c>
      <c r="R169" s="11" t="str">
        <v>❌</v>
      </c>
      <c r="S169" s="11" t="str">
        <v>Block</v>
      </c>
      <c r="T169" s="11" t="str">
        <v>实车Block</v>
      </c>
      <c r="V169" s="11" t="str">
        <v>✅</v>
      </c>
      <c r="X169" s="11" t="str">
        <v>✅</v>
      </c>
      <c r="Y169" s="11" t="str">
        <v>✅</v>
      </c>
      <c r="Z169" s="11" t="inlineStr">
        <is>
          <r>
            <t>@王东旭</t>
          </r>
        </is>
      </c>
    </row>
    <row r="170" spans="1:26">
      <c r="A170" s="30" t="str">
        <v>尾门控制</v>
      </c>
      <c r="B170" s="168"/>
      <c r="C170" s="16" t="str">
        <v>电动尾门高度设置</v>
      </c>
      <c r="D170" s="16" t="str">
        <v>P1</v>
      </c>
      <c r="E170" s="16" t="inlineStr">
        <is>
          <r>
            <rPr>
              <strike/>
              <sz val="10"/>
              <color rgb="FF000000"/>
              <rFont val="Arial"/>
            </rPr>
            <t xml:space="preserve">电尾门开度设为 80%
</t>
          </r>
          <r>
            <rPr>
              <sz val="10"/>
              <color rgb="FF000000"/>
              <rFont val="Arial"/>
            </rPr>
            <t>电尾门最大高度设置成80%</t>
          </r>
        </is>
      </c>
      <c r="F170" s="167" t="str">
        <v>Y</v>
      </c>
      <c r="H170" s="215"/>
      <c r="I170" s="194"/>
      <c r="J170" s="216"/>
      <c r="K170" s="139"/>
      <c r="M170" s="129"/>
      <c r="N170" s="16" t="str">
        <v>✅</v>
      </c>
      <c r="O170" s="30"/>
      <c r="P170" s="156"/>
      <c r="Q170" s="11" t="str">
        <v>✅</v>
      </c>
      <c r="R170" s="11" t="str">
        <v>❌</v>
      </c>
      <c r="S170" s="11" t="str">
        <v>Block</v>
      </c>
      <c r="T170" s="11" t="str">
        <v>实车Block</v>
      </c>
      <c r="V170" s="11" t="str">
        <v>✅</v>
      </c>
      <c r="X170" s="11" t="str">
        <v>✅</v>
      </c>
      <c r="Y170" s="11" t="str">
        <v>✅</v>
      </c>
      <c r="Z170" s="11" t="inlineStr">
        <is>
          <r>
            <t>@王东旭</t>
          </r>
        </is>
      </c>
    </row>
    <row r="171" spans="1:26">
      <c r="A171" s="30" t="str">
        <v>尾门控制</v>
      </c>
      <c r="B171" s="168"/>
      <c r="C171" s="171" t="str">
        <v>前备箱打开</v>
      </c>
      <c r="D171" s="171" t="str">
        <v>P0</v>
      </c>
      <c r="E171" s="171" t="str">
        <v>开启前备箱</v>
      </c>
      <c r="F171" s="167" t="str">
        <v>Y</v>
      </c>
      <c r="G171" s="173" t="str">
        <v> int setPwrHood(int value); 2开启 ，1关闭，3暂停
 int getPwrHoodSysSts(@NonNull IntResult result); 全关 0x0_full close || 0x6_HalfClsd 全开 0x1_fullopen 开启中 0x3_Opening 关闭中 0x2_Closing 暂停 0x4_StopDurgCls || 0x5_StopDurgOpen
 default void onPwrHoodSysStsChanged(@NonNull IntResult result) {
 }
</v>
      </c>
      <c r="I171" s="194"/>
      <c r="J171" s="11" t="str">
        <v>前备箱开关</v>
      </c>
      <c r="K171" s="139"/>
      <c r="O171" s="16" t="str">
        <v>实车不支持前备箱</v>
      </c>
      <c r="Z171" s="11" t="inlineStr">
        <is>
          <r>
            <t>@王东旭</t>
          </r>
        </is>
      </c>
    </row>
    <row r="172" spans="1:26">
      <c r="A172" s="30" t="str">
        <v>尾门控制</v>
      </c>
      <c r="B172" s="168"/>
      <c r="C172" s="171" t="str">
        <v>前备箱关闭</v>
      </c>
      <c r="D172" s="171" t="str">
        <v>P0</v>
      </c>
      <c r="E172" s="171" t="str">
        <v>关闭电动前备箱
关前备箱</v>
      </c>
      <c r="F172" s="167" t="str">
        <v>Y</v>
      </c>
      <c r="G172" s="173" t="str">
        <v> int setPwrHood(int value);2开启 ，1关闭，3暂停
 int getPwrHoodSysSts(@NonNull IntResult result);
default void onPwrHoodSysStsChanged(@NonNull IntResult result) {
 }</v>
      </c>
      <c r="I172" s="194"/>
      <c r="J172" s="11" t="str">
        <v>前备箱开关</v>
      </c>
      <c r="K172" s="139"/>
      <c r="O172" s="16" t="str">
        <v>实车不支持前备箱</v>
      </c>
      <c r="Z172" s="11" t="inlineStr">
        <is>
          <r>
            <t>@王东旭</t>
          </r>
        </is>
      </c>
    </row>
    <row r="173" spans="1:26">
      <c r="A173" s="30" t="str">
        <v>尾门控制</v>
      </c>
      <c r="B173" s="30"/>
      <c r="C173" s="171" t="str">
        <v>暂停前备箱</v>
      </c>
      <c r="D173" s="171" t="str">
        <v>P0</v>
      </c>
      <c r="E173" s="171" t="str">
        <v>暂停前备箱</v>
      </c>
      <c r="F173" s="167" t="str">
        <v>Y</v>
      </c>
      <c r="G173" s="173" t="str">
        <v> int setPwrHood(int value); 2开启 ，1关闭，3暂停
 int getPwrHoodSysSts(@NonNull IntResult result);
default void onPwrHoodSysStsChanged(@NonNull IntResult result) {
 }</v>
      </c>
      <c r="I173" s="190"/>
      <c r="J173" s="217" t="str">
        <v>前备箱开关</v>
      </c>
      <c r="K173" s="156"/>
      <c r="O173" s="16" t="str">
        <v>实车不支持前备箱</v>
      </c>
      <c r="Z173" s="11" t="inlineStr">
        <is>
          <r>
            <t>@王东旭</t>
          </r>
        </is>
      </c>
    </row>
    <row r="174" spans="1:26">
      <c r="A174" s="30" t="str">
        <v>雨刮控制</v>
      </c>
      <c r="B174" s="166" t="str">
        <v>07雨刮控制</v>
      </c>
      <c r="C174" s="16" t="str">
        <v>打开雨刮维修模式</v>
      </c>
      <c r="D174" s="16" t="str">
        <v>P1</v>
      </c>
      <c r="E174" s="16" t="str">
        <v>打开雨刮维修模式</v>
      </c>
      <c r="F174" s="167" t="str">
        <v>Y</v>
      </c>
      <c r="H174" s="16" t="str">
        <v>✅</v>
      </c>
      <c r="I174" s="122" t="str">
        <v>❌
PPV1实车雨刮HMI设置项不生效。</v>
      </c>
      <c r="J174" s="46" t="str">
        <v>雨刮维修模式开关</v>
      </c>
      <c r="K174" s="61" t="str">
        <v>【07】【雨刮0313】Vehicle_Platform1.0_IS4PR_Yu_Yin_Kong_Zhi_IS4PR_Yu_Gua__PRD.pdf</v>
      </c>
      <c r="M174" s="204" t="str">
        <v>雨刷档位状态、车档位状态、错误码不正确</v>
      </c>
      <c r="N174" s="16" t="str">
        <v>✅</v>
      </c>
      <c r="P174" s="11" t="str">
        <v>打开雨刮维修</v>
      </c>
      <c r="Q174" s="16" t="str">
        <v>✅</v>
      </c>
      <c r="R174" s="16" t="str">
        <v>✅</v>
      </c>
      <c r="S174" s="16" t="str">
        <v>✅</v>
      </c>
      <c r="T174" s="16" t="str">
        <v>✅</v>
      </c>
      <c r="V174" s="16" t="str">
        <v>✅</v>
      </c>
      <c r="Z174" s="11" t="inlineStr">
        <is>
          <r>
            <t>@王东旭</t>
          </r>
        </is>
      </c>
    </row>
    <row r="175" spans="1:26">
      <c r="A175" s="30" t="str">
        <v>雨刮控制</v>
      </c>
      <c r="B175" s="168"/>
      <c r="C175" s="16" t="str">
        <v>关闭雨刮维修模式</v>
      </c>
      <c r="D175" s="16" t="str">
        <v>P1</v>
      </c>
      <c r="E175" s="16" t="str">
        <v>关闭雨刮维修模式</v>
      </c>
      <c r="F175" s="167" t="str">
        <v>Y</v>
      </c>
      <c r="H175" s="16" t="str">
        <v>✅</v>
      </c>
      <c r="I175" s="194"/>
      <c r="J175" s="110"/>
      <c r="K175" s="139"/>
      <c r="M175" s="129"/>
      <c r="N175" s="16" t="str">
        <v>✅</v>
      </c>
      <c r="O175" s="16" t="str">
        <v>✅</v>
      </c>
      <c r="P175" s="11" t="str">
        <v>关闭雨刮维修</v>
      </c>
      <c r="Q175" s="16" t="str">
        <v>✅</v>
      </c>
      <c r="R175" s="16" t="str">
        <v>✅</v>
      </c>
      <c r="S175" s="16" t="str">
        <v>✅</v>
      </c>
      <c r="T175" s="16" t="str">
        <v>✅</v>
      </c>
      <c r="V175" s="16" t="str">
        <v>✅</v>
      </c>
      <c r="Z175" s="11" t="inlineStr">
        <is>
          <r>
            <t>@王东旭</t>
          </r>
        </is>
      </c>
    </row>
    <row r="176" spans="1:26">
      <c r="A176" s="30" t="str">
        <v>雨刮控制</v>
      </c>
      <c r="B176" s="168"/>
      <c r="C176" s="16" t="str">
        <v>打开雨刮</v>
      </c>
      <c r="D176" s="16" t="str">
        <v>P0</v>
      </c>
      <c r="E176" s="16" t="str">
        <v>打开雨刮</v>
      </c>
      <c r="F176" s="167" t="str">
        <v>N（非功能支持，兜底话术）</v>
      </c>
      <c r="H176" s="212" t="str">
        <v>---</v>
      </c>
      <c r="I176" s="194"/>
      <c r="J176" s="46" t="str">
        <v>雨刮开关</v>
      </c>
      <c r="K176" s="139"/>
      <c r="N176" s="16" t="str">
        <v>✅</v>
      </c>
      <c r="Q176" s="16" t="str">
        <v>✅</v>
      </c>
      <c r="R176" s="16" t="str">
        <v>✅</v>
      </c>
      <c r="S176" s="11" t="str">
        <v>❌</v>
      </c>
      <c r="T176" s="16" t="str">
        <v>✅</v>
      </c>
      <c r="V176" s="16" t="str">
        <v>✅</v>
      </c>
      <c r="X176" s="16" t="str">
        <v>✅</v>
      </c>
      <c r="Z176" s="11" t="inlineStr">
        <is>
          <r>
            <t>@王东旭</t>
          </r>
        </is>
      </c>
    </row>
    <row r="177" spans="1:26">
      <c r="A177" s="30" t="str">
        <v>雨刮控制</v>
      </c>
      <c r="B177" s="168"/>
      <c r="C177" s="16" t="str">
        <v>关闭雨刮</v>
      </c>
      <c r="D177" s="16" t="str">
        <v>P0</v>
      </c>
      <c r="E177" s="16" t="str">
        <v>关闭雨刮</v>
      </c>
      <c r="F177" s="167" t="str">
        <v>N（非功能支持，兜底话术）</v>
      </c>
      <c r="H177" s="213"/>
      <c r="I177" s="194"/>
      <c r="J177" s="110"/>
      <c r="K177" s="139"/>
      <c r="N177" s="16" t="str">
        <v>✅</v>
      </c>
      <c r="Q177" s="16" t="str">
        <v>✅</v>
      </c>
      <c r="R177" s="16" t="str">
        <v>✅</v>
      </c>
      <c r="S177" s="11" t="str">
        <v>❌</v>
      </c>
      <c r="T177" s="16" t="str">
        <v>✅</v>
      </c>
      <c r="V177" s="16" t="str">
        <v>✅</v>
      </c>
      <c r="X177" s="16" t="str">
        <v>✅</v>
      </c>
      <c r="Z177" s="11" t="inlineStr">
        <is>
          <r>
            <t>@王东旭</t>
          </r>
        </is>
      </c>
    </row>
    <row r="178" spans="1:26">
      <c r="A178" s="30" t="str">
        <v>雨刮控制</v>
      </c>
      <c r="B178" s="168"/>
      <c r="C178" s="16" t="str">
        <v>自动雨刮灵敏度设置</v>
      </c>
      <c r="D178" s="16" t="str">
        <v>P0</v>
      </c>
      <c r="E178" s="16" t="str">
        <v>自动雨刮灵敏度设置为标准</v>
      </c>
      <c r="F178" s="167" t="str">
        <v>N（非功能支持，兜底话术）</v>
      </c>
      <c r="H178" s="213"/>
      <c r="I178" s="194"/>
      <c r="J178" s="11" t="str">
        <v>雨刮灵敏度调节</v>
      </c>
      <c r="K178" s="139"/>
      <c r="N178" s="16" t="str">
        <v>✅</v>
      </c>
      <c r="Q178" s="16" t="str">
        <v>✅</v>
      </c>
      <c r="R178" s="16" t="str">
        <v>✅</v>
      </c>
      <c r="S178" s="11" t="str">
        <v>❌</v>
      </c>
      <c r="T178" s="16" t="str">
        <v>✅</v>
      </c>
      <c r="V178" s="16" t="str">
        <v>✅</v>
      </c>
      <c r="X178" s="16" t="str">
        <v>✅</v>
      </c>
      <c r="Z178" s="11" t="inlineStr">
        <is>
          <r>
            <t>@王东旭</t>
          </r>
        </is>
      </c>
    </row>
    <row r="179" spans="1:26">
      <c r="A179" s="30" t="str">
        <v>雨刮控制</v>
      </c>
      <c r="B179" s="168"/>
      <c r="C179" s="16" t="str">
        <v>调节雨刮速度</v>
      </c>
      <c r="D179" s="16" t="str">
        <v>P0</v>
      </c>
      <c r="E179" s="16" t="str">
        <v>雨刮调快一点</v>
      </c>
      <c r="F179" s="167" t="str">
        <v>N（非功能支持，兜底话术）</v>
      </c>
      <c r="H179" s="213"/>
      <c r="I179" s="194"/>
      <c r="J179" s="11" t="str">
        <v>雨刮速度调节</v>
      </c>
      <c r="K179" s="139"/>
      <c r="N179" s="16" t="str">
        <v>✅</v>
      </c>
      <c r="Q179" s="11" t="str">
        <v>✅</v>
      </c>
      <c r="R179" s="16" t="str">
        <v>✅</v>
      </c>
      <c r="S179" s="11" t="str">
        <v>✅</v>
      </c>
      <c r="T179" s="11" t="str">
        <v>✅</v>
      </c>
      <c r="V179" s="11" t="str">
        <v>✅</v>
      </c>
      <c r="Z179" s="11" t="inlineStr">
        <is>
          <r>
            <t>@王东旭</t>
          </r>
        </is>
      </c>
    </row>
    <row r="180" spans="1:26">
      <c r="A180" s="30" t="str">
        <v>雨刮控制</v>
      </c>
      <c r="B180" s="168"/>
      <c r="C180" s="16" t="str">
        <v>雨刮喷水</v>
      </c>
      <c r="D180" s="16" t="str">
        <v>P0</v>
      </c>
      <c r="E180" s="16" t="str">
        <v>前雨刮喷水</v>
      </c>
      <c r="F180" s="167" t="str">
        <v>N（非功能支持，兜底话术）</v>
      </c>
      <c r="H180" s="213"/>
      <c r="I180" s="194"/>
      <c r="J180" s="11" t="str">
        <v>玻璃喷水清洗</v>
      </c>
      <c r="K180" s="139"/>
      <c r="N180" s="16" t="str">
        <v>✅</v>
      </c>
      <c r="Q180" s="11" t="str">
        <v>✅</v>
      </c>
      <c r="R180" s="16" t="str">
        <v>✅</v>
      </c>
      <c r="S180" s="11" t="str">
        <v>✅</v>
      </c>
      <c r="T180" s="11" t="str">
        <v>✅</v>
      </c>
      <c r="V180" s="11" t="str">
        <v>✅</v>
      </c>
      <c r="Z180" s="11" t="inlineStr">
        <is>
          <r>
            <t>@王东旭</t>
          </r>
        </is>
      </c>
    </row>
    <row r="181" spans="1:26">
      <c r="A181" s="30" t="str">
        <v>雨刮控制</v>
      </c>
      <c r="B181" s="30"/>
      <c r="C181" s="16" t="str">
        <v>雨刮间歇档位调节</v>
      </c>
      <c r="D181" s="16" t="str">
        <v>P0</v>
      </c>
      <c r="E181" s="16" t="str">
        <v>雨刮档位设置为高</v>
      </c>
      <c r="F181" s="167" t="str">
        <v>N（非功能支持，兜底话术）</v>
      </c>
      <c r="H181" s="215"/>
      <c r="I181" s="190"/>
      <c r="J181" s="11" t="str">
        <v>雨刮速度调节</v>
      </c>
      <c r="K181" s="156"/>
      <c r="N181" s="16" t="str">
        <v>✅</v>
      </c>
      <c r="Q181" s="11" t="str">
        <v>✅</v>
      </c>
      <c r="R181" s="16" t="str">
        <v>✅</v>
      </c>
      <c r="S181" s="11" t="str">
        <v>✅</v>
      </c>
      <c r="T181" s="11" t="str">
        <v>✅</v>
      </c>
      <c r="V181" s="11" t="str">
        <v>✅</v>
      </c>
      <c r="Z181" s="11" t="inlineStr">
        <is>
          <r>
            <t>@王东旭</t>
          </r>
        </is>
      </c>
    </row>
    <row r="182" spans="1:26">
      <c r="A182" s="30" t="str">
        <v>遮阳帘</v>
      </c>
      <c r="B182" s="166" t="str">
        <v>08遮阳帘</v>
      </c>
      <c r="C182" s="171" t="str">
        <v>遮阳帘全开</v>
      </c>
      <c r="D182" s="16" t="str">
        <v>P0</v>
      </c>
      <c r="E182" s="171" t="str">
        <v>打开遮阳帘</v>
      </c>
      <c r="F182" s="167" t="str">
        <v>Y</v>
      </c>
      <c r="G182"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2" s="122" t="str">
        <v>实车无遮阳帘</v>
      </c>
      <c r="I182" s="122" t="str">
        <v>g</v>
      </c>
      <c r="J182" s="46" t="str">
        <v>遮阳帘开关</v>
      </c>
      <c r="K182" s="61" t="str">
        <v>【08】【遮阳帘0318】Vehicle_Platform1.0_IS4PR_Yu_Yin_Kong_Zhi_IS4PR_Zhe_Yang_Lian__Yu_Yin__.pdf</v>
      </c>
      <c r="M182" s="67" t="str">
        <v>int setSunshadePosition(@WindowFRPosition int pos, int ope)</v>
      </c>
      <c r="N182" s="11" t="str">
        <v>✅</v>
      </c>
      <c r="Q182" s="150" t="str">
        <v>✅</v>
      </c>
      <c r="S182" s="150" t="str">
        <v>✅</v>
      </c>
      <c r="T182" s="150" t="str">
        <v>✅</v>
      </c>
      <c r="V182" s="150" t="str">
        <v>✅</v>
      </c>
      <c r="Z182" s="11" t="inlineStr">
        <is>
          <r>
            <t>@王东旭</t>
          </r>
        </is>
      </c>
    </row>
    <row r="183" spans="1:26">
      <c r="A183" s="30" t="str">
        <v>遮阳帘</v>
      </c>
      <c r="B183" s="168"/>
      <c r="C183" s="171" t="str">
        <v>遮阳帘全开</v>
      </c>
      <c r="D183" s="16" t="str">
        <v>P0</v>
      </c>
      <c r="E183" s="171" t="str">
        <v>遮阳帘全开</v>
      </c>
      <c r="F183" s="167" t="str">
        <v>Y</v>
      </c>
      <c r="G183"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3" s="194"/>
      <c r="I183" s="194"/>
      <c r="J183" s="60"/>
      <c r="K183" s="139"/>
      <c r="N183" s="11" t="str">
        <v>✅</v>
      </c>
      <c r="Q183" s="11" t="str">
        <v>✅</v>
      </c>
      <c r="S183" s="11" t="str">
        <v>✅</v>
      </c>
      <c r="T183" s="11" t="str">
        <v>✅</v>
      </c>
      <c r="V183" s="11" t="str">
        <v>✅</v>
      </c>
      <c r="Z183" s="11" t="inlineStr">
        <is>
          <r>
            <t>@王东旭</t>
          </r>
        </is>
      </c>
    </row>
    <row r="184" spans="1:26">
      <c r="A184" s="30" t="str">
        <v>遮阳帘</v>
      </c>
      <c r="B184" s="168"/>
      <c r="C184" s="171" t="str">
        <v>遮阳帘全关</v>
      </c>
      <c r="D184" s="16" t="str">
        <v>P0</v>
      </c>
      <c r="E184" s="171" t="str">
        <v>关闭遮阳帘</v>
      </c>
      <c r="F184" s="167" t="str">
        <v>Y</v>
      </c>
      <c r="G184"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4" s="194"/>
      <c r="I184" s="194"/>
      <c r="J184" s="60"/>
      <c r="K184" s="139"/>
      <c r="M184" s="67" t="str">
        <v>int setSunshadePosition(@WindowFRPosition int pos, int ope)</v>
      </c>
      <c r="N184" s="11" t="str">
        <v>✅</v>
      </c>
      <c r="Q184" s="11" t="str">
        <v>✅</v>
      </c>
      <c r="S184" s="11" t="str">
        <v>✅</v>
      </c>
      <c r="T184" s="11" t="str">
        <v>✅</v>
      </c>
      <c r="V184" s="11" t="str">
        <v>✅</v>
      </c>
      <c r="Z184" s="11" t="inlineStr">
        <is>
          <r>
            <t>@王东旭</t>
          </r>
        </is>
      </c>
    </row>
    <row r="185" spans="1:26">
      <c r="A185" s="30" t="str">
        <v>遮阳帘</v>
      </c>
      <c r="B185" s="168"/>
      <c r="C185" s="171" t="str">
        <v>遮阳帘全关</v>
      </c>
      <c r="D185" s="16" t="str">
        <v>P0</v>
      </c>
      <c r="E185" s="171" t="str">
        <v>遮阳帘全关</v>
      </c>
      <c r="F185" s="167" t="str">
        <v>Y</v>
      </c>
      <c r="G185"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5" s="194"/>
      <c r="I185" s="194"/>
      <c r="J185" s="60"/>
      <c r="K185" s="139"/>
      <c r="N185" s="11" t="str">
        <v>✅</v>
      </c>
      <c r="Q185" s="11" t="str">
        <v>✅</v>
      </c>
      <c r="S185" s="11" t="str">
        <v>✅</v>
      </c>
      <c r="T185" s="11" t="str">
        <v>✅</v>
      </c>
      <c r="V185" s="11" t="str">
        <v>✅</v>
      </c>
      <c r="Z185" s="11" t="inlineStr">
        <is>
          <r>
            <t>@王东旭</t>
          </r>
        </is>
      </c>
    </row>
    <row r="186" spans="1:26">
      <c r="A186" s="30" t="str">
        <v>遮阳帘</v>
      </c>
      <c r="B186" s="168"/>
      <c r="C186" s="171" t="str">
        <v>遮阳帘半开</v>
      </c>
      <c r="D186" s="16" t="str">
        <v>P0</v>
      </c>
      <c r="E186" s="171" t="str">
        <v>遮阳帘开一半</v>
      </c>
      <c r="F186" s="167" t="str">
        <v>Y</v>
      </c>
      <c r="G186"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6" s="194"/>
      <c r="I186" s="194"/>
      <c r="J186" s="60"/>
      <c r="K186" s="139"/>
      <c r="N186" s="11" t="str">
        <v>✅</v>
      </c>
      <c r="Q186" s="11" t="str">
        <v>✅</v>
      </c>
      <c r="S186" s="11" t="str">
        <v>✅</v>
      </c>
      <c r="T186" s="11" t="str">
        <v>✅</v>
      </c>
      <c r="V186" s="11" t="str">
        <v>✅</v>
      </c>
      <c r="Z186" s="11" t="inlineStr">
        <is>
          <r>
            <t>@王东旭</t>
          </r>
        </is>
      </c>
    </row>
    <row r="187" spans="1:26">
      <c r="A187" s="30" t="str">
        <v>遮阳帘</v>
      </c>
      <c r="B187" s="168"/>
      <c r="C187" s="171" t="str">
        <v>遮阳帘半开</v>
      </c>
      <c r="D187" s="16" t="str">
        <v>P0</v>
      </c>
      <c r="E187" s="171" t="str">
        <v>关一半遮阳帘</v>
      </c>
      <c r="F187" s="167" t="str">
        <v>Y</v>
      </c>
      <c r="G187"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7" s="194"/>
      <c r="I187" s="194"/>
      <c r="J187" s="60"/>
      <c r="K187" s="139"/>
      <c r="N187" s="11" t="str">
        <v>✅</v>
      </c>
      <c r="Q187" s="11" t="str">
        <v>✅</v>
      </c>
      <c r="S187" s="11" t="str">
        <v>✅</v>
      </c>
      <c r="T187" s="11" t="str">
        <v>✅</v>
      </c>
      <c r="V187" s="11" t="str">
        <v>✅</v>
      </c>
      <c r="Z187" s="11" t="inlineStr">
        <is>
          <r>
            <t>@王东旭</t>
          </r>
        </is>
      </c>
    </row>
    <row r="188" spans="1:26">
      <c r="A188" s="30" t="str">
        <v>遮阳帘</v>
      </c>
      <c r="B188" s="168"/>
      <c r="C188" s="171" t="str">
        <v>遮阳帘具体数值控制 (移动到 X%)</v>
      </c>
      <c r="D188" s="16" t="str">
        <v>P0</v>
      </c>
      <c r="E188" s="171" t="str">
        <v>遮阳帘打开到 40%</v>
      </c>
      <c r="F188" s="167" t="str">
        <v>Y</v>
      </c>
      <c r="G188"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8" s="194"/>
      <c r="I188" s="194"/>
      <c r="J188" s="60"/>
      <c r="K188" s="139"/>
      <c r="N188" s="11" t="str">
        <v>✅</v>
      </c>
      <c r="Q188" s="11" t="str">
        <v>✅</v>
      </c>
      <c r="S188" s="11" t="str">
        <v>✅</v>
      </c>
      <c r="T188" s="11" t="str">
        <v>✅</v>
      </c>
      <c r="V188" s="11" t="str">
        <v>✅</v>
      </c>
      <c r="Z188" s="11" t="inlineStr">
        <is>
          <r>
            <t>@王东旭</t>
          </r>
        </is>
      </c>
    </row>
    <row r="189" spans="1:26">
      <c r="A189" s="30" t="str">
        <v>遮阳帘</v>
      </c>
      <c r="B189" s="168"/>
      <c r="C189" s="171" t="str">
        <v>遮阳帘具体数值控制 (移动到 X%)</v>
      </c>
      <c r="D189" s="16" t="str">
        <v>P0</v>
      </c>
      <c r="E189" s="171" t="str">
        <v>关闭遮阳帘到 70%</v>
      </c>
      <c r="F189" s="167" t="str">
        <v>Y</v>
      </c>
      <c r="G189"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89" s="194"/>
      <c r="I189" s="194"/>
      <c r="J189" s="60"/>
      <c r="K189" s="139"/>
      <c r="N189" s="11" t="str">
        <v>✅</v>
      </c>
      <c r="Q189" s="11" t="str">
        <v>✅</v>
      </c>
      <c r="S189" s="11" t="str">
        <v>✅</v>
      </c>
      <c r="T189" s="11" t="str">
        <v>✅</v>
      </c>
      <c r="V189" s="11" t="str">
        <v>✅</v>
      </c>
      <c r="Z189" s="11" t="inlineStr">
        <is>
          <r>
            <t>@王东旭</t>
          </r>
        </is>
      </c>
    </row>
    <row r="190" spans="1:26">
      <c r="A190" s="30" t="str">
        <v>遮阳帘</v>
      </c>
      <c r="B190" s="168"/>
      <c r="C190" s="171" t="str">
        <v>遮阳帘相对数值控制 (增加 X%)</v>
      </c>
      <c r="D190" s="16" t="str">
        <v>P0</v>
      </c>
      <c r="E190" s="171" t="str">
        <v>遮阳帘打开 10%</v>
      </c>
      <c r="F190" s="167" t="str">
        <v>Y</v>
      </c>
      <c r="G190"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90" s="194"/>
      <c r="I190" s="194"/>
      <c r="J190" s="60"/>
      <c r="K190" s="139"/>
      <c r="N190" s="11" t="str">
        <v>✅</v>
      </c>
      <c r="Q190" s="11" t="str">
        <v>✅</v>
      </c>
      <c r="S190" s="11" t="str">
        <v>✅</v>
      </c>
      <c r="T190" s="11" t="str">
        <v>✅</v>
      </c>
      <c r="V190" s="11" t="str">
        <v>✅</v>
      </c>
      <c r="Z190" s="11" t="inlineStr">
        <is>
          <r>
            <t>@王东旭</t>
          </r>
        </is>
      </c>
    </row>
    <row r="191" spans="1:26">
      <c r="A191" s="30" t="str">
        <v>遮阳帘</v>
      </c>
      <c r="B191" s="168"/>
      <c r="C191" s="171" t="str">
        <v>遮阳帘相对数值控制 (减少 X%)</v>
      </c>
      <c r="D191" s="16" t="str">
        <v>P0</v>
      </c>
      <c r="E191" s="171" t="str">
        <v>遮阳帘关闭 20%</v>
      </c>
      <c r="F191" s="167" t="str">
        <v>Y</v>
      </c>
      <c r="G191"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91" s="194"/>
      <c r="I191" s="194"/>
      <c r="J191" s="60"/>
      <c r="K191" s="139"/>
      <c r="N191" s="11" t="str">
        <v>✅</v>
      </c>
      <c r="Q191" s="11" t="str">
        <v>✅</v>
      </c>
      <c r="S191" s="11" t="str">
        <v>✅</v>
      </c>
      <c r="T191" s="11" t="str">
        <v>✅</v>
      </c>
      <c r="V191" s="11" t="str">
        <v>✅</v>
      </c>
      <c r="Z191" s="11" t="inlineStr">
        <is>
          <r>
            <t>@王东旭</t>
          </r>
        </is>
      </c>
    </row>
    <row r="192" spans="1:26">
      <c r="A192" s="30" t="str">
        <v>遮阳帘</v>
      </c>
      <c r="B192" s="168"/>
      <c r="C192" s="171" t="str">
        <v>遮阳帘模糊数值控制 (开大一点)</v>
      </c>
      <c r="D192" s="16" t="str">
        <v>P0</v>
      </c>
      <c r="E192" s="171" t="str">
        <v>遮阳帘开大点</v>
      </c>
      <c r="F192" s="167" t="str">
        <v>Y</v>
      </c>
      <c r="G192"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92" s="194"/>
      <c r="I192" s="194"/>
      <c r="J192" s="60"/>
      <c r="K192" s="139"/>
      <c r="N192" s="11" t="str">
        <v>✅</v>
      </c>
      <c r="Q192" s="11" t="str">
        <v>✅</v>
      </c>
      <c r="S192" s="11" t="str">
        <v>✅</v>
      </c>
      <c r="T192" s="11" t="str">
        <v>✅</v>
      </c>
      <c r="V192" s="11" t="str">
        <v>✅</v>
      </c>
      <c r="Z192" s="11" t="inlineStr">
        <is>
          <r>
            <t>@王东旭</t>
          </r>
        </is>
      </c>
    </row>
    <row r="193" spans="1:26">
      <c r="A193" s="30" t="str">
        <v>遮阳帘</v>
      </c>
      <c r="B193" s="168"/>
      <c r="C193" s="171" t="str">
        <v>遮阳帘模糊数值控制 (开大一点)</v>
      </c>
      <c r="D193" s="16" t="str">
        <v>P0</v>
      </c>
      <c r="E193" s="171" t="str">
        <v>遮阳帘往后一点</v>
      </c>
      <c r="F193" s="167" t="str">
        <v>Y</v>
      </c>
      <c r="G193"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93" s="194"/>
      <c r="I193" s="194"/>
      <c r="J193" s="60"/>
      <c r="K193" s="139"/>
      <c r="N193" s="11" t="str">
        <v>✅</v>
      </c>
      <c r="Q193" s="11" t="str">
        <v>✅</v>
      </c>
      <c r="S193" s="11" t="str">
        <v>✅</v>
      </c>
      <c r="T193" s="11" t="str">
        <v>✅</v>
      </c>
      <c r="V193" s="11" t="str">
        <v>✅</v>
      </c>
      <c r="Z193" s="11" t="inlineStr">
        <is>
          <r>
            <t>@王东旭</t>
          </r>
        </is>
      </c>
    </row>
    <row r="194" spans="1:26">
      <c r="A194" s="30" t="str">
        <v>遮阳帘</v>
      </c>
      <c r="B194" s="168"/>
      <c r="C194" s="171" t="str">
        <v>遮阳帘模糊数值控制 (开小一点)</v>
      </c>
      <c r="D194" s="16" t="str">
        <v>P0</v>
      </c>
      <c r="E194" s="171" t="str">
        <v>遮阳帘开小点</v>
      </c>
      <c r="F194" s="167" t="str">
        <v>Y</v>
      </c>
      <c r="G194"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94" s="194"/>
      <c r="I194" s="194"/>
      <c r="J194" s="60"/>
      <c r="K194" s="139"/>
      <c r="N194" s="11" t="str">
        <v>✅</v>
      </c>
      <c r="Q194" s="11" t="str">
        <v>✅</v>
      </c>
      <c r="S194" s="11" t="str">
        <v>✅</v>
      </c>
      <c r="T194" s="11" t="str">
        <v>✅</v>
      </c>
      <c r="V194" s="11" t="str">
        <v>✅</v>
      </c>
      <c r="Z194" s="11" t="inlineStr">
        <is>
          <r>
            <t>@王东旭</t>
          </r>
        </is>
      </c>
    </row>
    <row r="195" spans="1:26">
      <c r="A195" s="30" t="str">
        <v>遮阳帘</v>
      </c>
      <c r="B195" s="168"/>
      <c r="C195" s="171" t="str">
        <v>遮阳帘模糊数值控制 (开小一点)</v>
      </c>
      <c r="D195" s="16" t="str">
        <v>P0</v>
      </c>
      <c r="E195" s="171" t="str">
        <v>遮阳帘往前一点</v>
      </c>
      <c r="F195" s="167" t="str">
        <v>Y</v>
      </c>
      <c r="G195" s="173" t="str">
        <v>/**
 * 遮阳帘开度设置
 * PermissionRequest(permissions = { zone.permission.vehicle.VEHICLE_SET })
 * @param pos 开合度： 0-100； 停止：0x7x
 * @return resultCode 返回结果码 {@link ResultCode}:&lt;br&gt;
 */
 int setSunshadePos(int pos);
 /**
 * 遮阳帘开度设置获取
 * PermissionRequest(permissions = { zone.permission.vehicle.DEVICE_GET })
 * @param result {@link IntResult#getResult}: 开合度： 0-100； 停止：0x7x
 *
 * @return resultCode 返回结果码 {@link ResultCode}
 */
 int getSunshadePos(IntResult result);</v>
      </c>
      <c r="H195" s="194"/>
      <c r="I195" s="194"/>
      <c r="J195" s="110"/>
      <c r="K195" s="139"/>
      <c r="N195" s="11" t="str">
        <v>✅</v>
      </c>
      <c r="Q195" s="16" t="str">
        <v>✅</v>
      </c>
      <c r="S195" s="11" t="str">
        <v>❌</v>
      </c>
      <c r="T195" s="16" t="str">
        <v>✅</v>
      </c>
      <c r="V195" s="16" t="str">
        <v>✅</v>
      </c>
      <c r="X195" s="16" t="str">
        <v>✅</v>
      </c>
      <c r="Z195" s="11" t="inlineStr">
        <is>
          <r>
            <t>@王东旭</t>
          </r>
        </is>
      </c>
    </row>
    <row r="196" spans="1:26">
      <c r="A196" s="30" t="str">
        <v>遮阳帘</v>
      </c>
      <c r="B196" s="168"/>
      <c r="C196" s="16" t="str">
        <v>遮阳帘暂停</v>
      </c>
      <c r="E196" s="16" t="str">
        <v>遮阳帘暂停
遮阳帘停一下
暂停遮阳帘</v>
      </c>
      <c r="H196" s="194"/>
      <c r="I196" s="194"/>
      <c r="J196" s="218" t="str">
        <v>遮阳帘开关</v>
      </c>
      <c r="K196" s="139"/>
      <c r="N196" s="11" t="str">
        <v>✅</v>
      </c>
      <c r="P196" s="11" t="str">
        <v>机械执行比语音快，暂停功能实现不来，与左晨确认是否与尾门同样问题的处理方法一致，待反馈/与尾门一样</v>
      </c>
      <c r="Q196" s="11" t="str">
        <v>❌</v>
      </c>
      <c r="V196" s="16" t="str">
        <v>block </v>
      </c>
      <c r="X196" s="11" t="str">
        <v>❌</v>
      </c>
      <c r="Z196" s="11" t="inlineStr">
        <is>
          <r>
            <t>@王东旭</t>
          </r>
        </is>
      </c>
    </row>
    <row r="197" spans="1:26">
      <c r="A197" s="30" t="str">
        <v>遮阳帘</v>
      </c>
      <c r="B197" s="168"/>
      <c r="C197" s="16" t="str">
        <v>锁车自动关闭遮阳帘设置 - 打开</v>
      </c>
      <c r="D197" s="16" t="str">
        <v>P1</v>
      </c>
      <c r="E197" s="16" t="str">
        <v>打开锁车自动关闭遮阳帘</v>
      </c>
      <c r="F197" s="167" t="str">
        <v>Y</v>
      </c>
      <c r="H197" s="194"/>
      <c r="I197" s="194"/>
      <c r="J197" s="174" t="str">
        <v>锁车自动遮阳帘开关</v>
      </c>
      <c r="K197" s="139"/>
      <c r="L197" s="11" t="str">
        <v> onDoorlockSunroofAutoCloseChanged</v>
      </c>
      <c r="N197" s="11" t="str">
        <v>✅</v>
      </c>
      <c r="Q197" s="16" t="str">
        <v>✅</v>
      </c>
      <c r="S197" s="11" t="str">
        <v>❌</v>
      </c>
      <c r="T197" s="16" t="str">
        <v>✅</v>
      </c>
      <c r="V197" s="16" t="str">
        <v>✅</v>
      </c>
      <c r="X197" s="16" t="str">
        <v>✅</v>
      </c>
      <c r="Z197" s="11" t="inlineStr">
        <is>
          <r>
            <t>@王东旭</t>
          </r>
        </is>
      </c>
    </row>
    <row r="198" spans="1:26">
      <c r="A198" s="30" t="str">
        <v>遮阳帘</v>
      </c>
      <c r="B198" s="30"/>
      <c r="C198" s="16" t="str">
        <v>锁车自动关闭遮阳帘设置 - 关闭</v>
      </c>
      <c r="D198" s="16" t="str">
        <v>P1</v>
      </c>
      <c r="E198" s="16" t="str">
        <v>关闭锁车自动关闭遮阳帘</v>
      </c>
      <c r="F198" s="167" t="str">
        <v>Y</v>
      </c>
      <c r="H198" s="190"/>
      <c r="I198" s="190"/>
      <c r="J198" s="175"/>
      <c r="K198" s="156"/>
      <c r="N198" s="11" t="str">
        <v>✅</v>
      </c>
      <c r="Q198" s="16" t="str">
        <v>✅</v>
      </c>
      <c r="S198" s="11" t="str">
        <v>❌</v>
      </c>
      <c r="T198" s="16" t="str">
        <v>✅</v>
      </c>
      <c r="V198" s="16" t="str">
        <v>✅</v>
      </c>
      <c r="X198" s="16" t="str">
        <v>✅</v>
      </c>
      <c r="Z198" s="11" t="inlineStr">
        <is>
          <r>
            <t>@王东旭</t>
          </r>
        </is>
      </c>
    </row>
    <row r="199" spans="1:26">
      <c r="A199" s="219" t="str">
        <v>天窗控制</v>
      </c>
      <c r="B199" s="220" t="str">
        <v>09天窗控制</v>
      </c>
      <c r="C199" s="179" t="str">
        <v>天窗全开</v>
      </c>
      <c r="D199" s="179" t="str">
        <v>P0</v>
      </c>
      <c r="E199" s="179" t="str">
        <v>打开天窗</v>
      </c>
      <c r="F199" s="195" t="str">
        <v>N</v>
      </c>
      <c r="G199" s="221" t="str">
        <v>TBD（待产品确认）</v>
      </c>
      <c r="J199" s="222" t="str">
        <v>天窗开关</v>
      </c>
      <c r="K199" s="222" t="str">
        <v>兜底回复可看NLG文档</v>
      </c>
      <c r="Z199" s="11" t="inlineStr">
        <is>
          <r>
            <t>@王东旭</t>
          </r>
        </is>
      </c>
    </row>
    <row r="200" spans="1:26">
      <c r="A200" s="219" t="str">
        <v>天窗控制</v>
      </c>
      <c r="B200" s="223"/>
      <c r="C200" s="179" t="str">
        <v>天窗全关</v>
      </c>
      <c r="D200" s="179" t="str">
        <v>P0</v>
      </c>
      <c r="E200" s="179" t="str">
        <v>关闭天窗</v>
      </c>
      <c r="F200" s="195" t="str">
        <v>N</v>
      </c>
      <c r="G200" s="221" t="str">
        <v>TBD（待产品确认）</v>
      </c>
      <c r="J200" s="224"/>
      <c r="K200" s="224"/>
      <c r="Z200" s="11" t="inlineStr">
        <is>
          <r>
            <t>@王东旭</t>
          </r>
        </is>
      </c>
    </row>
    <row r="201" spans="1:26">
      <c r="A201" s="219" t="str">
        <v>天窗控制</v>
      </c>
      <c r="B201" s="223"/>
      <c r="C201" s="179" t="str">
        <v>天窗半开</v>
      </c>
      <c r="D201" s="179" t="str">
        <v>P0</v>
      </c>
      <c r="E201" s="179" t="str">
        <v>天窗开一半</v>
      </c>
      <c r="F201" s="195" t="str">
        <v>N</v>
      </c>
      <c r="G201" s="221" t="str">
        <v>TBD（待产品确认）</v>
      </c>
      <c r="J201" s="224"/>
      <c r="K201" s="224"/>
      <c r="Z201" s="11" t="inlineStr">
        <is>
          <r>
            <t>@王东旭</t>
          </r>
        </is>
      </c>
    </row>
    <row r="202" spans="1:26">
      <c r="A202" s="219" t="str">
        <v>天窗控制</v>
      </c>
      <c r="B202" s="223"/>
      <c r="C202" s="179" t="str">
        <v>天窗具体数值控制</v>
      </c>
      <c r="D202" s="179" t="str">
        <v>P0</v>
      </c>
      <c r="E202" s="179" t="str">
        <v>天窗打开到 30%</v>
      </c>
      <c r="F202" s="195" t="str">
        <v>N</v>
      </c>
      <c r="G202" s="221" t="str">
        <v>TBD（待产品确认）</v>
      </c>
      <c r="J202" s="224"/>
      <c r="K202" s="224"/>
      <c r="Z202" s="11" t="inlineStr">
        <is>
          <r>
            <t>@王东旭</t>
          </r>
        </is>
      </c>
    </row>
    <row r="203" spans="1:26">
      <c r="A203" s="219" t="str">
        <v>天窗控制</v>
      </c>
      <c r="B203" s="219"/>
      <c r="C203" s="179" t="str">
        <v>天窗通风</v>
      </c>
      <c r="D203" s="179" t="str">
        <v>P0</v>
      </c>
      <c r="E203" s="179" t="str">
        <v>打开天窗通风</v>
      </c>
      <c r="F203" s="195" t="str">
        <v>N</v>
      </c>
      <c r="G203" s="221" t="str">
        <v>TBD（待产品确认）</v>
      </c>
      <c r="J203" s="225"/>
      <c r="K203" s="225"/>
      <c r="Z203" s="11" t="inlineStr">
        <is>
          <r>
            <t>@王东旭</t>
          </r>
        </is>
      </c>
    </row>
    <row r="204" spans="1:26">
      <c r="A204" s="30" t="str">
        <v>门锁控制</v>
      </c>
      <c r="B204" s="166" t="str">
        <v>10门锁控制</v>
      </c>
      <c r="C204" s="16" t="str">
        <v>中控锁上锁</v>
      </c>
      <c r="D204" s="16" t="str">
        <v>P0</v>
      </c>
      <c r="E204" s="16" t="str">
        <v>上锁
锁车门
锁门</v>
      </c>
      <c r="F204" s="167" t="str">
        <v>Y</v>
      </c>
      <c r="G204" s="11" t="str">
        <v>setCentralCtrlDoorLock 1</v>
      </c>
      <c r="H204" s="16" t="str">
        <v>✅</v>
      </c>
      <c r="I204" s="166" t="str">
        <v>✅
点检目标：中控锁HMI控制生效。</v>
      </c>
      <c r="J204" s="46" t="str">
        <v>车门锁开关</v>
      </c>
      <c r="K204" s="61" t="str">
        <v>Vehicle_Platform1.0_IS4PR_Yu_Yin_Kong_Zhi_IS4PR_Men_Suo__PRD.pdf</v>
      </c>
      <c r="M204" s="46" t="str">
        <v>api接口获取中控锁状态失败</v>
      </c>
      <c r="N204" s="150" t="str">
        <v>✅</v>
      </c>
      <c r="O204" s="67" t="str">
        <v>✅</v>
      </c>
      <c r="Q204" s="11" t="str">
        <v>❌</v>
      </c>
      <c r="R204" s="11" t="str">
        <v>❌</v>
      </c>
      <c r="S204" s="11" t="str">
        <v>❌</v>
      </c>
      <c r="T204" s="11" t="str">
        <v>❌</v>
      </c>
      <c r="V204" s="73" t="str">
        <v>✅</v>
      </c>
      <c r="X204" s="11" t="str">
        <v>❌</v>
      </c>
      <c r="Z204" s="11" t="inlineStr">
        <is>
          <r>
            <t>@王东旭</t>
          </r>
        </is>
      </c>
    </row>
    <row r="205" spans="1:26">
      <c r="A205" s="30" t="str">
        <v>门锁控制</v>
      </c>
      <c r="B205" s="168"/>
      <c r="C205" s="16" t="str">
        <v>中控锁解锁</v>
      </c>
      <c r="D205" s="16" t="str">
        <v>P0</v>
      </c>
      <c r="E205" s="16" t="str">
        <v>解锁车门
解锁
解锁车门锁</v>
      </c>
      <c r="F205" s="167" t="str">
        <v>Y</v>
      </c>
      <c r="G205" s="11" t="str">
        <v>setCentralCtrlDoorLock 0</v>
      </c>
      <c r="H205" s="16" t="str">
        <v>✅</v>
      </c>
      <c r="I205" s="168"/>
      <c r="J205" s="110"/>
      <c r="K205" s="139"/>
      <c r="M205" s="110"/>
      <c r="N205" s="150" t="str">
        <v>✅</v>
      </c>
      <c r="O205" s="150" t="str">
        <v>✅</v>
      </c>
      <c r="Q205" s="73" t="str">
        <v>✅</v>
      </c>
      <c r="R205" s="11" t="str">
        <v>❌</v>
      </c>
      <c r="S205" s="11" t="str">
        <v>❌</v>
      </c>
      <c r="T205" s="11" t="str">
        <v>❌</v>
      </c>
      <c r="V205" s="73" t="str">
        <v>✅</v>
      </c>
      <c r="Z205" s="11" t="inlineStr">
        <is>
          <r>
            <t>@王东旭</t>
          </r>
        </is>
      </c>
    </row>
    <row r="206" spans="1:26">
      <c r="A206" s="30" t="str">
        <v>门锁控制</v>
      </c>
      <c r="B206" s="168"/>
      <c r="C206" s="16" t="str">
        <v>查询中控锁状态</v>
      </c>
      <c r="D206" s="16" t="str">
        <v>P0</v>
      </c>
      <c r="E206" s="16" t="str">
        <v>车门锁开着吗
查询车门锁状态</v>
      </c>
      <c r="F206" s="167" t="str">
        <v>Y</v>
      </c>
      <c r="G206" s="11" t="str">
        <v>getCentralCtrlDoorLock </v>
      </c>
      <c r="H206" s="16" t="str">
        <v>✅</v>
      </c>
      <c r="I206" s="168"/>
      <c r="J206" s="11" t="str">
        <v>端状态</v>
      </c>
      <c r="K206" s="139"/>
      <c r="N206" s="150" t="str">
        <v>✅</v>
      </c>
      <c r="O206" s="150" t="str">
        <v>✅</v>
      </c>
      <c r="Q206" s="11" t="str">
        <v>❌</v>
      </c>
      <c r="R206" s="11" t="str">
        <v>❌</v>
      </c>
      <c r="S206" s="11" t="str">
        <v>❌</v>
      </c>
      <c r="T206" s="11" t="str">
        <v>❌</v>
      </c>
      <c r="V206" s="73" t="str">
        <v>✅</v>
      </c>
      <c r="X206" s="11" t="str">
        <v>❌</v>
      </c>
      <c r="Z206" s="11" t="inlineStr">
        <is>
          <r>
            <t>@王东旭</t>
          </r>
        </is>
      </c>
    </row>
    <row r="207" spans="1:26">
      <c r="A207" s="30" t="str">
        <v>门锁控制</v>
      </c>
      <c r="B207" s="168"/>
      <c r="C207" s="166" t="str">
        <v>儿童锁控制</v>
      </c>
      <c r="D207" s="166" t="str">
        <v>P0</v>
      </c>
      <c r="E207" s="16" t="str">
        <v>儿童锁上锁</v>
      </c>
      <c r="F207" s="167" t="str">
        <v>N</v>
      </c>
      <c r="G207" s="167" t="str">
        <v>NA</v>
      </c>
      <c r="I207" s="168"/>
      <c r="J207" s="46" t="str">
        <v>童锁开关</v>
      </c>
      <c r="K207" s="139"/>
      <c r="N207" s="16" t="str">
        <v>✅</v>
      </c>
      <c r="Q207" s="11" t="str">
        <v>✅</v>
      </c>
      <c r="S207" s="11" t="str">
        <v>✅</v>
      </c>
      <c r="T207" s="11" t="str">
        <v>✅</v>
      </c>
      <c r="V207" s="11" t="str">
        <v>✅</v>
      </c>
      <c r="Z207" s="11" t="inlineStr">
        <is>
          <r>
            <t>@王东旭</t>
          </r>
        </is>
      </c>
    </row>
    <row r="208" spans="1:26">
      <c r="A208" s="30" t="str">
        <v>门锁控制</v>
      </c>
      <c r="B208" s="30"/>
      <c r="C208" s="30"/>
      <c r="D208" s="30"/>
      <c r="E208" s="16" t="str">
        <v>儿童锁解锁</v>
      </c>
      <c r="F208" s="167" t="str">
        <v>N</v>
      </c>
      <c r="G208" s="167" t="str">
        <v>NA</v>
      </c>
      <c r="I208" s="30"/>
      <c r="J208" s="110"/>
      <c r="K208" s="156"/>
      <c r="N208" s="16" t="str">
        <v>✅</v>
      </c>
      <c r="Q208" s="11" t="str">
        <v>✅</v>
      </c>
      <c r="S208" s="11" t="str">
        <v>✅</v>
      </c>
      <c r="T208" s="11" t="str">
        <v>✅</v>
      </c>
      <c r="V208" s="11" t="str">
        <v>✅</v>
      </c>
      <c r="Z208" s="11" t="inlineStr">
        <is>
          <r>
            <t>@王东旭</t>
          </r>
        </is>
      </c>
    </row>
    <row r="209" spans="1:26">
      <c r="A209" s="226" t="str">
        <v>充电管理</v>
      </c>
      <c r="B209" s="227" t="str">
        <v>11充电管理</v>
      </c>
      <c r="C209" s="227" t="str">
        <v>语音控制充电门</v>
      </c>
      <c r="D209" s="166" t="str">
        <v>P0</v>
      </c>
      <c r="E209" s="150" t="str">
        <v>打开充电口</v>
      </c>
      <c r="F209" s="181" t="str">
        <v>N</v>
      </c>
      <c r="J209" s="14" t="str">
        <v>充电口盖板开关</v>
      </c>
      <c r="K209" s="228" t="str">
        <v>【11】【充电管理】【0313】Vehicle_Platform1.0_IS4PR_Yu_Yin_Kong_Zhi_AS4PR_Chong_Dian_Guan_Li__PRD_V1.pdf</v>
      </c>
      <c r="M209" s="14" t="str">
        <v>接口不支持</v>
      </c>
      <c r="N209" s="73" t="str">
        <v>✅</v>
      </c>
      <c r="O209" s="73" t="str">
        <v>✅话术兜底</v>
      </c>
      <c r="P209" s="150" t="str">
        <v>✅</v>
      </c>
      <c r="Q209" s="150" t="str">
        <v>✅</v>
      </c>
      <c r="S209" s="150" t="str">
        <v>✅</v>
      </c>
      <c r="T209" s="150" t="str">
        <v>✅</v>
      </c>
      <c r="V209" s="150" t="str">
        <v>✅</v>
      </c>
      <c r="X209" s="150" t="str">
        <v>✅</v>
      </c>
      <c r="Z209" s="14" t="inlineStr">
        <is>
          <r>
            <t>@郑永超</t>
          </r>
        </is>
      </c>
    </row>
    <row r="210" spans="1:26">
      <c r="A210" s="226" t="str">
        <v>充电管理</v>
      </c>
      <c r="B210" s="229"/>
      <c r="C210" s="226"/>
      <c r="D210" s="30"/>
      <c r="E210" s="150" t="str">
        <v>关闭充电小门</v>
      </c>
      <c r="F210" s="181" t="str">
        <v>N</v>
      </c>
      <c r="J210" s="14" t="str">
        <v>充电口盖板开关</v>
      </c>
      <c r="K210" s="77"/>
      <c r="M210" s="14" t="str">
        <v>接口不支持</v>
      </c>
      <c r="N210" s="73" t="str">
        <v>✅</v>
      </c>
      <c r="O210" s="73" t="str">
        <v>✅话术兜底</v>
      </c>
      <c r="P210" s="150" t="str">
        <v>✅</v>
      </c>
      <c r="Q210" s="150" t="str">
        <v>✅</v>
      </c>
      <c r="S210" s="150" t="str">
        <v>✅</v>
      </c>
      <c r="T210" s="150" t="str">
        <v>✅</v>
      </c>
      <c r="V210" s="150" t="str">
        <v>✅</v>
      </c>
      <c r="X210" s="150" t="str">
        <v>✅</v>
      </c>
      <c r="Z210" s="14" t="inlineStr">
        <is>
          <r>
            <t>@郑永超</t>
          </r>
        </is>
      </c>
    </row>
    <row r="211" spans="1:26">
      <c r="A211" s="226" t="str">
        <v>充电管理</v>
      </c>
      <c r="B211" s="229"/>
      <c r="C211" s="227" t="str">
        <v>语音控制加油门</v>
      </c>
      <c r="D211" s="227" t="str">
        <v>P0</v>
      </c>
      <c r="E211" s="150" t="str">
        <v>打开加油口盖</v>
      </c>
      <c r="F211" s="184" t="str">
        <v>Y</v>
      </c>
      <c r="G211" s="184" t="str">
        <v>    /**
     * 设置加油小门开关 For Audi
     * PermissionRequest(permissions = { zone.permission.vehicle.BMS_SET })
     * @param status
     * @return
     */
    int setRefuelDoor(SwitchStatus status);
    0x0:"0_No_Request"
    0x1:"1_Request"</v>
      </c>
      <c r="J211" s="14" t="str">
        <v>加油口盖板开关</v>
      </c>
      <c r="K211" s="77"/>
      <c r="M211" s="14" t="str">
        <v>接口状态返回成功，但是实际未执行</v>
      </c>
      <c r="N211" s="73" t="str">
        <v>✅</v>
      </c>
      <c r="O211" s="73" t="str">
        <v>✅</v>
      </c>
      <c r="P211" s="150" t="str">
        <v>✅</v>
      </c>
      <c r="Q211" s="150" t="str">
        <v>✅</v>
      </c>
      <c r="R211" s="73" t="str">
        <v>✅</v>
      </c>
      <c r="S211" s="11" t="str">
        <v>❌</v>
      </c>
      <c r="T211" s="11" t="str">
        <v>❌</v>
      </c>
      <c r="V211" s="73" t="str">
        <v>✅</v>
      </c>
      <c r="X211" s="150" t="str">
        <v>✅</v>
      </c>
      <c r="Z211" s="14" t="inlineStr">
        <is>
          <r>
            <t>@郑永超</t>
          </r>
        </is>
      </c>
    </row>
    <row r="212" spans="1:26">
      <c r="A212" s="226" t="str">
        <v>充电管理</v>
      </c>
      <c r="B212" s="226"/>
      <c r="C212" s="226"/>
      <c r="D212" s="226"/>
      <c r="E212" s="150" t="str">
        <v>关闭加油口盖</v>
      </c>
      <c r="F212" s="181" t="str">
        <v>N</v>
      </c>
      <c r="J212" s="14" t="str">
        <v>加油口盖板开关</v>
      </c>
      <c r="K212" s="230"/>
      <c r="M212" s="14" t="str">
        <v>接口不支持</v>
      </c>
      <c r="N212" s="73" t="str">
        <v>✅</v>
      </c>
      <c r="O212" s="73" t="str">
        <v>✅话术兜底</v>
      </c>
      <c r="P212" s="150" t="str">
        <v>✅</v>
      </c>
      <c r="Q212" s="150" t="str">
        <v>✅</v>
      </c>
      <c r="S212" s="73" t="str">
        <v>✅</v>
      </c>
      <c r="T212" s="73" t="str">
        <v>✅</v>
      </c>
      <c r="V212" s="73" t="str">
        <v>✅</v>
      </c>
      <c r="X212" s="150" t="str">
        <v>✅</v>
      </c>
      <c r="Z212" s="14" t="inlineStr">
        <is>
          <r>
            <t>@郑永超</t>
          </r>
        </is>
      </c>
    </row>
    <row r="213" spans="1:26">
      <c r="A213" s="30" t="str">
        <v>冰箱控制</v>
      </c>
      <c r="B213" s="166" t="str">
        <v>12冰箱控制</v>
      </c>
      <c r="C213" s="166" t="str">
        <v>冰箱电源开关</v>
      </c>
      <c r="D213" s="166" t="str">
        <v>P0</v>
      </c>
      <c r="E213" s="16" t="str">
        <v>打开冰箱电源</v>
      </c>
      <c r="F213" s="167" t="str">
        <v>Y</v>
      </c>
      <c r="I213" s="157" t="str">
        <v>✅
HMI控制生效</v>
      </c>
      <c r="J213" s="46" t="str">
        <v>冰箱开关</v>
      </c>
      <c r="K213" s="61" t="str">
        <v>【12】【冰箱】【0313】Vehicle_Platform1.0_IS4PR_Yu_Yin_Kong_Zhi_IS4PR_Bing_Xiang_PRD_V2.pdf</v>
      </c>
      <c r="N213" s="53" t="str">
        <v>✅</v>
      </c>
      <c r="O213" s="53" t="str">
        <v>✅</v>
      </c>
      <c r="P213" s="150" t="str">
        <v>✅</v>
      </c>
      <c r="Q213" s="150" t="str">
        <v>✅</v>
      </c>
      <c r="R213" s="73" t="str">
        <v>✅</v>
      </c>
      <c r="S213" s="73" t="str">
        <v>❌</v>
      </c>
      <c r="T213" s="11" t="str">
        <v>❌</v>
      </c>
      <c r="V213" s="73" t="str">
        <v>✅</v>
      </c>
      <c r="X213" s="150" t="str">
        <v>✅</v>
      </c>
      <c r="Z213" s="14" t="inlineStr">
        <is>
          <r>
            <t>@郑永超</t>
          </r>
        </is>
      </c>
    </row>
    <row r="214" spans="1:26">
      <c r="A214" s="30" t="str">
        <v>冰箱控制</v>
      </c>
      <c r="B214" s="168"/>
      <c r="C214" s="168"/>
      <c r="D214" s="168"/>
      <c r="E214" s="16" t="str">
        <v>关闭冰箱电源</v>
      </c>
      <c r="F214" s="167" t="str">
        <v>Y</v>
      </c>
      <c r="I214" s="158"/>
      <c r="J214" s="60"/>
      <c r="K214" s="139"/>
      <c r="N214" s="53" t="str">
        <v>✅</v>
      </c>
      <c r="O214" s="53" t="str">
        <v>✅</v>
      </c>
      <c r="P214" s="150" t="str">
        <v>✅</v>
      </c>
      <c r="Q214" s="150" t="str">
        <v>✅</v>
      </c>
      <c r="R214" s="73" t="str">
        <v>❌</v>
      </c>
      <c r="S214" s="73" t="str">
        <v>❌</v>
      </c>
      <c r="T214" s="11" t="str">
        <v>❌</v>
      </c>
      <c r="V214" s="73" t="str">
        <v>✅</v>
      </c>
      <c r="X214" s="150" t="str">
        <v>✅</v>
      </c>
      <c r="Z214" s="14" t="inlineStr">
        <is>
          <r>
            <t>@郑永超</t>
          </r>
        </is>
      </c>
    </row>
    <row r="215" spans="1:26">
      <c r="A215" s="30" t="str">
        <v>冰箱控制</v>
      </c>
      <c r="B215" s="168"/>
      <c r="C215" s="168"/>
      <c r="D215" s="168"/>
      <c r="E215" s="16" t="str">
        <v>激活冰箱</v>
      </c>
      <c r="F215" s="167" t="str">
        <v>Y</v>
      </c>
      <c r="I215" s="158"/>
      <c r="J215" s="60"/>
      <c r="K215" s="139"/>
      <c r="N215" s="53" t="str">
        <v>✅</v>
      </c>
      <c r="O215" s="53" t="str">
        <v>✅</v>
      </c>
      <c r="P215" s="150" t="str">
        <v>✅</v>
      </c>
      <c r="Q215" s="150" t="str">
        <v>✅</v>
      </c>
      <c r="R215" s="73" t="str">
        <v>❌</v>
      </c>
      <c r="S215" s="73" t="str">
        <v>❌</v>
      </c>
      <c r="T215" s="11" t="str">
        <v>❌</v>
      </c>
      <c r="V215" s="73" t="str">
        <v>✅</v>
      </c>
      <c r="X215" s="150" t="str">
        <v>✅</v>
      </c>
      <c r="Z215" s="14" t="inlineStr">
        <is>
          <r>
            <t>@郑永超</t>
          </r>
        </is>
      </c>
    </row>
    <row r="216" spans="1:26">
      <c r="A216" s="30" t="str">
        <v>冰箱控制</v>
      </c>
      <c r="B216" s="168"/>
      <c r="C216" s="30"/>
      <c r="D216" s="30"/>
      <c r="E216" s="16" t="str">
        <v>冰箱断电</v>
      </c>
      <c r="F216" s="167" t="str">
        <v>Y</v>
      </c>
      <c r="I216" s="158"/>
      <c r="J216" s="60"/>
      <c r="K216" s="139"/>
      <c r="N216" s="53" t="str">
        <v>✅</v>
      </c>
      <c r="O216" s="53" t="str">
        <v>✅</v>
      </c>
      <c r="P216" s="150" t="str">
        <v>✅</v>
      </c>
      <c r="Q216" s="150" t="str">
        <v>✅</v>
      </c>
      <c r="R216" s="73" t="str">
        <v>✅</v>
      </c>
      <c r="S216" s="73" t="str">
        <v>❌</v>
      </c>
      <c r="T216" s="73" t="str">
        <v>✅</v>
      </c>
      <c r="V216" s="73" t="str">
        <v>✅</v>
      </c>
      <c r="X216" s="150" t="str">
        <v>✅</v>
      </c>
      <c r="Z216" s="14" t="inlineStr">
        <is>
          <r>
            <t>@郑永超</t>
          </r>
        </is>
      </c>
    </row>
    <row r="217" spans="1:26">
      <c r="A217" s="30" t="str">
        <v>冰箱控制</v>
      </c>
      <c r="B217" s="168"/>
      <c r="C217" s="166" t="str">
        <v>冰箱模式切换</v>
      </c>
      <c r="D217" s="166" t="str">
        <v>P0</v>
      </c>
      <c r="E217" s="16" t="str">
        <v>冰箱设置为制冷</v>
      </c>
      <c r="F217" s="167" t="str">
        <v>Y</v>
      </c>
      <c r="I217" s="158"/>
      <c r="J217" s="60"/>
      <c r="K217" s="139"/>
      <c r="N217" s="53" t="str">
        <v>✅</v>
      </c>
      <c r="O217" s="53" t="str">
        <v>✅</v>
      </c>
      <c r="P217" s="150" t="str">
        <v>✅</v>
      </c>
      <c r="Q217" s="150" t="str">
        <v>✅</v>
      </c>
      <c r="R217" s="73" t="str">
        <v>❌</v>
      </c>
      <c r="S217" s="73" t="str">
        <v>✅</v>
      </c>
      <c r="T217" s="73" t="str">
        <v>✅</v>
      </c>
      <c r="V217" s="73" t="str">
        <v>✅</v>
      </c>
      <c r="X217" s="150" t="str">
        <v>✅</v>
      </c>
      <c r="Z217" s="14" t="inlineStr">
        <is>
          <r>
            <t>@郑永超</t>
          </r>
        </is>
      </c>
    </row>
    <row r="218" spans="1:26">
      <c r="A218" s="30" t="str">
        <v>冰箱控制</v>
      </c>
      <c r="B218" s="168"/>
      <c r="C218" s="30"/>
      <c r="D218" s="30"/>
      <c r="E218" s="16" t="str">
        <v>冰箱设为制热模式</v>
      </c>
      <c r="F218" s="167" t="str">
        <v>Y</v>
      </c>
      <c r="I218" s="158"/>
      <c r="J218" s="110"/>
      <c r="K218" s="139"/>
      <c r="N218" s="53" t="str">
        <v>✅</v>
      </c>
      <c r="O218" s="53" t="str">
        <v>✅</v>
      </c>
      <c r="P218" s="150" t="str">
        <v>✅</v>
      </c>
      <c r="Q218" s="150" t="str">
        <v>✅</v>
      </c>
      <c r="R218" s="73" t="str">
        <v>❌</v>
      </c>
      <c r="S218" s="73" t="str">
        <v>✅</v>
      </c>
      <c r="T218" s="73" t="str">
        <v>✅</v>
      </c>
      <c r="V218" s="73" t="str">
        <v>✅</v>
      </c>
      <c r="X218" s="150" t="str">
        <v>✅</v>
      </c>
      <c r="Z218" s="14" t="inlineStr">
        <is>
          <r>
            <t>@郑永超</t>
          </r>
        </is>
      </c>
    </row>
    <row r="219" spans="1:26">
      <c r="A219" s="30" t="str">
        <v>冰箱控制</v>
      </c>
      <c r="B219" s="168"/>
      <c r="C219" s="166" t="str">
        <v>冰箱温度控制 - 调高 / 调低</v>
      </c>
      <c r="D219" s="166" t="str">
        <v>P0</v>
      </c>
      <c r="E219" s="16" t="str">
        <v>冰箱温度调高一点</v>
      </c>
      <c r="F219" s="167" t="str">
        <v>Y</v>
      </c>
      <c r="I219" s="158"/>
      <c r="J219" s="46" t="str">
        <v>冰箱温度调节</v>
      </c>
      <c r="K219" s="139"/>
      <c r="N219" s="53" t="str">
        <v>✅</v>
      </c>
      <c r="O219" s="53" t="str">
        <v>✅</v>
      </c>
      <c r="P219" s="150" t="str">
        <v>✅</v>
      </c>
      <c r="Q219" s="150" t="str">
        <v>✅</v>
      </c>
      <c r="R219" s="73" t="str">
        <v>❌</v>
      </c>
      <c r="S219" s="73" t="str">
        <v>✅</v>
      </c>
      <c r="T219" s="73" t="str">
        <v>✅</v>
      </c>
      <c r="V219" s="73" t="str">
        <v>✅</v>
      </c>
      <c r="X219" s="150" t="str">
        <v>✅</v>
      </c>
      <c r="Z219" s="14" t="inlineStr">
        <is>
          <r>
            <t>@郑永超</t>
          </r>
        </is>
      </c>
    </row>
    <row r="220" spans="1:26">
      <c r="A220" s="30" t="str">
        <v>冰箱控制</v>
      </c>
      <c r="B220" s="168"/>
      <c r="C220" s="168"/>
      <c r="D220" s="168"/>
      <c r="E220" s="16" t="str">
        <v>冰箱温度调低一点</v>
      </c>
      <c r="F220" s="167" t="str">
        <v>Y</v>
      </c>
      <c r="I220" s="158"/>
      <c r="J220" s="60"/>
      <c r="K220" s="139"/>
      <c r="N220" s="53" t="str">
        <v>✅</v>
      </c>
      <c r="O220" s="53" t="str">
        <v>✅</v>
      </c>
      <c r="P220" s="150" t="str">
        <v>✅</v>
      </c>
      <c r="Q220" s="150" t="str">
        <v>✅</v>
      </c>
      <c r="R220" s="73" t="str">
        <v>❌</v>
      </c>
      <c r="S220" s="73" t="str">
        <v>✅</v>
      </c>
      <c r="T220" s="73" t="str">
        <v>✅</v>
      </c>
      <c r="V220" s="73" t="str">
        <v>✅</v>
      </c>
      <c r="X220" s="150" t="str">
        <v>✅</v>
      </c>
      <c r="Z220" s="14" t="inlineStr">
        <is>
          <r>
            <t>@郑永超</t>
          </r>
        </is>
      </c>
    </row>
    <row r="221" spans="1:26">
      <c r="A221" s="30" t="str">
        <v>冰箱控制</v>
      </c>
      <c r="B221" s="168"/>
      <c r="C221" s="168"/>
      <c r="D221" s="168"/>
      <c r="E221" s="16" t="str">
        <v>冰箱温度高一些</v>
      </c>
      <c r="F221" s="167" t="str">
        <v>Y</v>
      </c>
      <c r="I221" s="158"/>
      <c r="J221" s="60"/>
      <c r="K221" s="139"/>
      <c r="N221" s="53" t="str">
        <v>✅</v>
      </c>
      <c r="O221" s="53" t="str">
        <v>✅</v>
      </c>
      <c r="P221" s="150" t="str">
        <v>✅</v>
      </c>
      <c r="Q221" s="150" t="str">
        <v>✅</v>
      </c>
      <c r="R221" s="73" t="str">
        <v>❌</v>
      </c>
      <c r="S221" s="73" t="str">
        <v>✅</v>
      </c>
      <c r="T221" s="73" t="str">
        <v>✅</v>
      </c>
      <c r="V221" s="73" t="str">
        <v>✅</v>
      </c>
      <c r="X221" s="150" t="str">
        <v>✅</v>
      </c>
      <c r="Z221" s="14" t="inlineStr">
        <is>
          <r>
            <t>@郑永超</t>
          </r>
        </is>
      </c>
    </row>
    <row r="222" spans="1:26">
      <c r="A222" s="30" t="str">
        <v>冰箱控制</v>
      </c>
      <c r="B222" s="168"/>
      <c r="C222" s="30"/>
      <c r="D222" s="30"/>
      <c r="E222" s="16" t="str">
        <v>冰箱温度低一些</v>
      </c>
      <c r="F222" s="167" t="str">
        <v>Y</v>
      </c>
      <c r="I222" s="158"/>
      <c r="J222" s="60"/>
      <c r="K222" s="139"/>
      <c r="N222" s="53" t="str">
        <v>✅</v>
      </c>
      <c r="O222" s="53" t="str">
        <v>✅</v>
      </c>
      <c r="P222" s="150" t="str">
        <v>✅</v>
      </c>
      <c r="Q222" s="150" t="str">
        <v>✅</v>
      </c>
      <c r="R222" s="73" t="str">
        <v>❌</v>
      </c>
      <c r="S222" s="73" t="str">
        <v>✅</v>
      </c>
      <c r="T222" s="73" t="str">
        <v>✅</v>
      </c>
      <c r="V222" s="73" t="str">
        <v>✅</v>
      </c>
      <c r="X222" s="150" t="str">
        <v>✅</v>
      </c>
      <c r="Z222" s="14" t="inlineStr">
        <is>
          <r>
            <t>@郑永超</t>
          </r>
        </is>
      </c>
    </row>
    <row r="223" spans="1:26">
      <c r="A223" s="30" t="str">
        <v>冰箱控制</v>
      </c>
      <c r="B223" s="168"/>
      <c r="C223" s="166" t="str">
        <v>冰箱温度控制 - 调高 / 调低 N 度</v>
      </c>
      <c r="D223" s="166" t="str">
        <v>P0</v>
      </c>
      <c r="E223" s="16" t="str">
        <v>冰箱温度调高 5 度</v>
      </c>
      <c r="F223" s="167" t="str">
        <v>Y</v>
      </c>
      <c r="I223" s="158"/>
      <c r="J223" s="60"/>
      <c r="K223" s="139"/>
      <c r="N223" s="53" t="str">
        <v>✅</v>
      </c>
      <c r="O223" s="53" t="str">
        <v>✅</v>
      </c>
      <c r="P223" s="150" t="str">
        <v>✅</v>
      </c>
      <c r="Q223" s="150" t="str">
        <v>✅</v>
      </c>
      <c r="R223" s="73" t="str">
        <v>❌</v>
      </c>
      <c r="S223" s="73" t="str">
        <v>✅</v>
      </c>
      <c r="T223" s="73" t="str">
        <v>✅</v>
      </c>
      <c r="V223" s="73" t="str">
        <v>✅</v>
      </c>
      <c r="X223" s="150" t="str">
        <v>✅</v>
      </c>
      <c r="Z223" s="14" t="inlineStr">
        <is>
          <r>
            <t>@郑永超</t>
          </r>
        </is>
      </c>
    </row>
    <row r="224" spans="1:26">
      <c r="A224" s="30" t="str">
        <v>冰箱控制</v>
      </c>
      <c r="B224" s="168"/>
      <c r="C224" s="168"/>
      <c r="D224" s="168"/>
      <c r="E224" s="16" t="str">
        <v>冰箱温度调低 3 度</v>
      </c>
      <c r="F224" s="167" t="str">
        <v>Y</v>
      </c>
      <c r="I224" s="158"/>
      <c r="J224" s="60"/>
      <c r="K224" s="139"/>
      <c r="N224" s="53" t="str">
        <v>✅</v>
      </c>
      <c r="O224" s="53" t="str">
        <v>✅</v>
      </c>
      <c r="P224" s="150" t="str">
        <v>✅</v>
      </c>
      <c r="Q224" s="150" t="str">
        <v>✅</v>
      </c>
      <c r="R224" s="73" t="str">
        <v>❌</v>
      </c>
      <c r="S224" s="73" t="str">
        <v>✅</v>
      </c>
      <c r="T224" s="73" t="str">
        <v>✅</v>
      </c>
      <c r="V224" s="73" t="str">
        <v>✅</v>
      </c>
      <c r="X224" s="150" t="str">
        <v>✅</v>
      </c>
      <c r="Z224" s="14" t="inlineStr">
        <is>
          <r>
            <t>@郑永超</t>
          </r>
        </is>
      </c>
    </row>
    <row r="225" spans="1:26">
      <c r="A225" s="30" t="str">
        <v>冰箱控制</v>
      </c>
      <c r="B225" s="168"/>
      <c r="C225" s="30"/>
      <c r="D225" s="30"/>
      <c r="E225" s="16" t="str">
        <v>冰箱调低 10 度</v>
      </c>
      <c r="F225" s="167" t="str">
        <v>Y</v>
      </c>
      <c r="I225" s="158"/>
      <c r="J225" s="60"/>
      <c r="K225" s="139"/>
      <c r="N225" s="53" t="str">
        <v>✅</v>
      </c>
      <c r="O225" s="53" t="str">
        <v>✅</v>
      </c>
      <c r="P225" s="150" t="str">
        <v>✅</v>
      </c>
      <c r="Q225" s="150" t="str">
        <v>✅</v>
      </c>
      <c r="R225" s="73" t="str">
        <v>❌</v>
      </c>
      <c r="S225" s="73" t="str">
        <v>✅</v>
      </c>
      <c r="T225" s="73" t="str">
        <v>✅</v>
      </c>
      <c r="V225" s="73" t="str">
        <v>✅</v>
      </c>
      <c r="X225" s="150" t="str">
        <v>✅</v>
      </c>
      <c r="Z225" s="14" t="inlineStr">
        <is>
          <r>
            <t>@郑永超</t>
          </r>
        </is>
      </c>
    </row>
    <row r="226" spans="1:26">
      <c r="A226" s="30" t="str">
        <v>冰箱控制</v>
      </c>
      <c r="B226" s="168"/>
      <c r="C226" s="166" t="str">
        <v>冰箱温度控制 - 最高 / 最低</v>
      </c>
      <c r="D226" s="166" t="str">
        <v>P0</v>
      </c>
      <c r="E226" s="16" t="str">
        <v>冰箱温度调到最高</v>
      </c>
      <c r="F226" s="167" t="str">
        <v>Y</v>
      </c>
      <c r="I226" s="158"/>
      <c r="J226" s="60"/>
      <c r="K226" s="139"/>
      <c r="N226" s="53" t="str">
        <v>✅</v>
      </c>
      <c r="O226" s="53" t="str">
        <v>✅</v>
      </c>
      <c r="P226" s="150" t="str">
        <v>✅</v>
      </c>
      <c r="Q226" s="150" t="str">
        <v>✅</v>
      </c>
      <c r="R226" s="73" t="str">
        <v>❌</v>
      </c>
      <c r="S226" s="73" t="str">
        <v>✅</v>
      </c>
      <c r="T226" s="73" t="str">
        <v>✅</v>
      </c>
      <c r="V226" s="73" t="str">
        <v>✅</v>
      </c>
      <c r="X226" s="150" t="str">
        <v>✅</v>
      </c>
      <c r="Z226" s="14" t="inlineStr">
        <is>
          <r>
            <t>@郑永超</t>
          </r>
        </is>
      </c>
    </row>
    <row r="227" spans="1:26">
      <c r="A227" s="30" t="str">
        <v>冰箱控制</v>
      </c>
      <c r="B227" s="168"/>
      <c r="C227" s="30"/>
      <c r="D227" s="30"/>
      <c r="E227" s="16" t="str">
        <v>冰箱温度调为最低</v>
      </c>
      <c r="F227" s="167" t="str">
        <v>Y</v>
      </c>
      <c r="I227" s="158"/>
      <c r="J227" s="60"/>
      <c r="K227" s="139"/>
      <c r="N227" s="53" t="str">
        <v>✅</v>
      </c>
      <c r="O227" s="53" t="str">
        <v>✅</v>
      </c>
      <c r="P227" s="150" t="str">
        <v>✅</v>
      </c>
      <c r="Q227" s="150" t="str">
        <v>✅</v>
      </c>
      <c r="R227" s="73" t="str">
        <v>❌</v>
      </c>
      <c r="S227" s="73" t="str">
        <v>❌</v>
      </c>
      <c r="T227" s="11" t="str">
        <v>❌</v>
      </c>
      <c r="V227" s="73" t="str">
        <v>✅</v>
      </c>
      <c r="X227" s="150" t="str">
        <v>✅</v>
      </c>
      <c r="Z227" s="14" t="inlineStr">
        <is>
          <r>
            <t>@郑永超</t>
          </r>
        </is>
      </c>
    </row>
    <row r="228" spans="1:30">
      <c r="A228" s="30" t="str">
        <v>冰箱控制</v>
      </c>
      <c r="B228" s="168"/>
      <c r="C228" s="166" t="str">
        <v>冰箱温度控制 - 调到 N 度</v>
      </c>
      <c r="D228" s="166" t="str">
        <v>P0</v>
      </c>
      <c r="E228" s="16" t="str">
        <v>冰箱温度调到 25 度</v>
      </c>
      <c r="F228" s="167" t="str">
        <v>Y</v>
      </c>
      <c r="I228" s="158"/>
      <c r="J228" s="60"/>
      <c r="K228" s="139"/>
      <c r="N228" s="53" t="str">
        <v>✅</v>
      </c>
      <c r="O228" s="53" t="str">
        <v>✅</v>
      </c>
      <c r="P228" s="11" t="str">
        <v>❌</v>
      </c>
      <c r="Q228" s="11" t="str">
        <v>❌</v>
      </c>
      <c r="R228" s="73" t="str">
        <v>❌</v>
      </c>
      <c r="S228" s="73" t="str">
        <v>✅</v>
      </c>
      <c r="T228" s="73" t="str">
        <v>✅</v>
      </c>
      <c r="V228" s="73" t="str">
        <v>✅</v>
      </c>
      <c r="X228" s="11" t="str">
        <v>❌</v>
      </c>
      <c r="Z228" s="14" t="inlineStr">
        <is>
          <r>
            <t>@郑永超</t>
          </r>
        </is>
      </c>
      <c r="AC228" s="68" t="str">
        <v>20260716195914B6DA6FAC631A18AC22E4</v>
      </c>
      <c r="AD228" s="11" t="str">
        <v>最低35说调到了25度了</v>
      </c>
    </row>
    <row r="229" spans="1:26">
      <c r="A229" s="30" t="str">
        <v>冰箱控制</v>
      </c>
      <c r="B229" s="168"/>
      <c r="C229" s="168"/>
      <c r="D229" s="168"/>
      <c r="E229" s="16" t="str">
        <v>冰箱设为 7 度</v>
      </c>
      <c r="F229" s="167" t="str">
        <v>Y</v>
      </c>
      <c r="I229" s="158"/>
      <c r="J229" s="60"/>
      <c r="K229" s="139"/>
      <c r="N229" s="53" t="str">
        <v>✅</v>
      </c>
      <c r="O229" s="53" t="str">
        <v>✅</v>
      </c>
      <c r="P229" s="73" t="str">
        <v>✅</v>
      </c>
      <c r="Q229" s="73" t="str">
        <v>✅</v>
      </c>
      <c r="R229" s="73" t="str">
        <v>❌</v>
      </c>
      <c r="S229" s="73" t="str">
        <v>✅</v>
      </c>
      <c r="T229" s="73" t="str">
        <v>✅</v>
      </c>
      <c r="V229" s="73" t="str">
        <v>✅</v>
      </c>
      <c r="X229" s="73" t="str">
        <v>✅</v>
      </c>
      <c r="Z229" s="14" t="inlineStr">
        <is>
          <r>
            <t>@郑永超</t>
          </r>
        </is>
      </c>
    </row>
    <row r="230" spans="1:26">
      <c r="A230" s="30" t="str">
        <v>冰箱控制</v>
      </c>
      <c r="B230" s="168"/>
      <c r="C230" s="30"/>
      <c r="D230" s="30"/>
      <c r="E230" s="16" t="str">
        <v>冰箱温度设置为 1 度</v>
      </c>
      <c r="F230" s="167" t="str">
        <v>Y</v>
      </c>
      <c r="I230" s="158"/>
      <c r="J230" s="60"/>
      <c r="K230" s="139"/>
      <c r="N230" s="53" t="str">
        <v>✅</v>
      </c>
      <c r="O230" s="53" t="str">
        <v>✅</v>
      </c>
      <c r="P230" s="73" t="str">
        <v>✅</v>
      </c>
      <c r="Q230" s="73" t="str">
        <v>✅</v>
      </c>
      <c r="R230" s="73" t="str">
        <v>❌</v>
      </c>
      <c r="S230" s="73" t="str">
        <v>✅</v>
      </c>
      <c r="T230" s="73" t="str">
        <v>✅</v>
      </c>
      <c r="V230" s="73" t="str">
        <v>✅</v>
      </c>
      <c r="X230" s="73" t="str">
        <v>✅</v>
      </c>
      <c r="Z230" s="14" t="inlineStr">
        <is>
          <r>
            <t>@郑永超</t>
          </r>
        </is>
      </c>
    </row>
    <row r="231" spans="1:26">
      <c r="A231" s="30" t="str">
        <v>冰箱控制</v>
      </c>
      <c r="B231" s="168"/>
      <c r="C231" s="166" t="str">
        <v>冰箱温度控制 - 上下文理解</v>
      </c>
      <c r="D231" s="166" t="str">
        <v>P0</v>
      </c>
      <c r="E231" s="16" t="str">
        <v>再高一点</v>
      </c>
      <c r="F231" s="167" t="str">
        <v>Y</v>
      </c>
      <c r="I231" s="158"/>
      <c r="J231" s="60"/>
      <c r="K231" s="139"/>
      <c r="N231" s="53" t="str">
        <v>✅</v>
      </c>
      <c r="O231" s="53" t="str">
        <v>✅</v>
      </c>
      <c r="P231" s="73" t="str">
        <v>✅</v>
      </c>
      <c r="Q231" s="73" t="str">
        <v>✅</v>
      </c>
      <c r="R231" s="73" t="str">
        <v>❌</v>
      </c>
      <c r="S231" s="73" t="str">
        <v>✅</v>
      </c>
      <c r="T231" s="73" t="str">
        <v>✅</v>
      </c>
      <c r="V231" s="73" t="str">
        <v>✅</v>
      </c>
      <c r="X231" s="73" t="str">
        <v>✅</v>
      </c>
      <c r="Z231" s="14" t="inlineStr">
        <is>
          <r>
            <t>@郑永超</t>
          </r>
        </is>
      </c>
    </row>
    <row r="232" spans="1:26">
      <c r="A232" s="30" t="str">
        <v>冰箱控制</v>
      </c>
      <c r="B232" s="168"/>
      <c r="C232" s="168"/>
      <c r="D232" s="168"/>
      <c r="E232" s="16" t="str">
        <v>再低一点</v>
      </c>
      <c r="F232" s="167" t="str">
        <v>Y</v>
      </c>
      <c r="I232" s="158"/>
      <c r="J232" s="60"/>
      <c r="K232" s="139"/>
      <c r="N232" s="53" t="str">
        <v>✅</v>
      </c>
      <c r="O232" s="53" t="str">
        <v>✅</v>
      </c>
      <c r="P232" s="73" t="str">
        <v>✅</v>
      </c>
      <c r="Q232" s="73" t="str">
        <v>✅</v>
      </c>
      <c r="R232" s="73" t="str">
        <v>❌</v>
      </c>
      <c r="S232" s="73" t="str">
        <v>✅</v>
      </c>
      <c r="T232" s="73" t="str">
        <v>✅</v>
      </c>
      <c r="V232" s="73" t="str">
        <v>✅</v>
      </c>
      <c r="X232" s="73" t="str">
        <v>✅</v>
      </c>
      <c r="Z232" s="14" t="inlineStr">
        <is>
          <r>
            <t>@郑永超</t>
          </r>
        </is>
      </c>
    </row>
    <row r="233" spans="1:26">
      <c r="A233" s="30" t="str">
        <v>冰箱控制</v>
      </c>
      <c r="B233" s="168"/>
      <c r="C233" s="168"/>
      <c r="D233" s="168"/>
      <c r="E233" s="16" t="str">
        <v>调到最高</v>
      </c>
      <c r="F233" s="167" t="str">
        <v>Y</v>
      </c>
      <c r="I233" s="158"/>
      <c r="J233" s="60"/>
      <c r="K233" s="139"/>
      <c r="N233" s="53" t="str">
        <v>✅</v>
      </c>
      <c r="O233" s="53" t="str">
        <v>✅</v>
      </c>
      <c r="P233" s="73" t="str">
        <v>✅</v>
      </c>
      <c r="Q233" s="73" t="str">
        <v>✅</v>
      </c>
      <c r="R233" s="73" t="str">
        <v>❌</v>
      </c>
      <c r="S233" s="73" t="str">
        <v>✅</v>
      </c>
      <c r="T233" s="73" t="str">
        <v>✅</v>
      </c>
      <c r="V233" s="73" t="str">
        <v>✅</v>
      </c>
      <c r="X233" s="73" t="str">
        <v>✅</v>
      </c>
      <c r="Z233" s="14" t="inlineStr">
        <is>
          <r>
            <t>@郑永超</t>
          </r>
        </is>
      </c>
    </row>
    <row r="234" spans="1:26">
      <c r="A234" s="30" t="str">
        <v>冰箱控制</v>
      </c>
      <c r="B234" s="168"/>
      <c r="C234" s="30"/>
      <c r="D234" s="30"/>
      <c r="E234" s="16" t="str">
        <v>调到 10 度</v>
      </c>
      <c r="F234" s="167" t="str">
        <v>Y</v>
      </c>
      <c r="I234" s="158"/>
      <c r="J234" s="110"/>
      <c r="K234" s="139"/>
      <c r="N234" s="53" t="str">
        <v>✅</v>
      </c>
      <c r="O234" s="53" t="str">
        <v>✅</v>
      </c>
      <c r="P234" s="73" t="str">
        <v>✅</v>
      </c>
      <c r="Q234" s="73" t="str">
        <v>✅</v>
      </c>
      <c r="R234" s="73" t="str">
        <v>❌</v>
      </c>
      <c r="S234" s="73" t="str">
        <v>✅</v>
      </c>
      <c r="T234" s="73" t="str">
        <v>✅</v>
      </c>
      <c r="V234" s="73" t="str">
        <v>✅</v>
      </c>
      <c r="X234" s="73" t="str">
        <v>✅</v>
      </c>
      <c r="Z234" s="14" t="inlineStr">
        <is>
          <r>
            <t>@郑永超</t>
          </r>
        </is>
      </c>
    </row>
    <row r="235" spans="1:26">
      <c r="A235" s="30" t="str">
        <v>冰箱控制</v>
      </c>
      <c r="B235" s="168"/>
      <c r="C235" s="170" t="str">
        <v>打开 / 关闭冰箱设置页面</v>
      </c>
      <c r="D235" s="170" t="str">
        <v>P1</v>
      </c>
      <c r="E235" s="171" t="str">
        <v>打开冰箱设置</v>
      </c>
      <c r="F235" s="167" t="str">
        <v>Y</v>
      </c>
      <c r="G235" s="173" t="str">
        <v>public static final String ACTION_SETTING_TAB_VEHICLE_SETTINGS = "com.zone.intent.tab.vehiclesettings"; 
 public final static String SUB_ACTION_TAB_VEHICLE_FRIDGE_SHOW = "subAction_vehicle_fridge_show_page";
intent.setComponent(ComponentName("com.zone.hmi.settings", "com.zone.hmi.settings.ui.MainFragmentActivity"))
intent.setFlags(Intent.FLAG_ACTIVITY_NEW_TASK)</v>
      </c>
      <c r="I235" s="158"/>
      <c r="J235" s="46" t="str">
        <v>冰箱设置页面开关</v>
      </c>
      <c r="K235" s="139"/>
      <c r="N235" s="53" t="str">
        <v>✅</v>
      </c>
      <c r="O235" s="53" t="str">
        <v>✅</v>
      </c>
      <c r="P235" s="73" t="str">
        <v>✅</v>
      </c>
      <c r="Q235" s="73" t="str">
        <v>✅</v>
      </c>
      <c r="R235" s="11" t="str">
        <v>❌</v>
      </c>
      <c r="S235" s="11" t="str">
        <v>✅</v>
      </c>
      <c r="T235" s="11" t="str">
        <v>✅</v>
      </c>
      <c r="V235" s="11" t="str">
        <v>✅</v>
      </c>
      <c r="X235" s="73" t="str">
        <v>✅</v>
      </c>
      <c r="Z235" s="14" t="inlineStr">
        <is>
          <r>
            <t>@郑永超</t>
          </r>
        </is>
      </c>
    </row>
    <row r="236" spans="1:26">
      <c r="A236" s="30" t="str">
        <v>冰箱控制</v>
      </c>
      <c r="B236" s="168"/>
      <c r="C236" s="231"/>
      <c r="D236" s="231"/>
      <c r="E236" s="171" t="str">
        <v>打开冰箱设置页面</v>
      </c>
      <c r="F236" s="167" t="str">
        <v>Y</v>
      </c>
      <c r="G236" s="173" t="str">
        <v>public static final String ACTION_SETTING_TAB_VEHICLE_SETTINGS = "com.zone.intent.tab.vehiclesettings"; 
 public final static String SUB_ACTION_TAB_VEHICLE_FRIDGE_SHOW = "subAction_vehicle_fridge_show_page";
intent.setComponent(ComponentName("com.zone.hmi.settings", "com.zone.hmi.settings.ui.MainFragmentActivity"))
intent.setFlags(Intent.FLAG_ACTIVITY_NEW_TASK)</v>
      </c>
      <c r="I236" s="158"/>
      <c r="J236" s="60"/>
      <c r="K236" s="139"/>
      <c r="N236" s="53" t="str">
        <v>✅</v>
      </c>
      <c r="O236" s="53" t="str">
        <v>✅</v>
      </c>
      <c r="P236" s="73" t="str">
        <v>✅</v>
      </c>
      <c r="Q236" s="73" t="str">
        <v>✅</v>
      </c>
      <c r="R236" s="11" t="str">
        <v>❌</v>
      </c>
      <c r="S236" s="11" t="str">
        <v>❌</v>
      </c>
      <c r="T236" s="73" t="str">
        <v>✅</v>
      </c>
      <c r="V236" s="73" t="str">
        <v>✅</v>
      </c>
      <c r="X236" s="73" t="str">
        <v>✅</v>
      </c>
      <c r="Z236" s="14" t="inlineStr">
        <is>
          <r>
            <t>@郑永超</t>
          </r>
        </is>
      </c>
    </row>
    <row r="237" spans="1:26">
      <c r="A237" s="30" t="str">
        <v>冰箱控制</v>
      </c>
      <c r="B237" s="168"/>
      <c r="C237" s="172"/>
      <c r="D237" s="172"/>
      <c r="E237" s="171" t="str">
        <v>关闭冰箱页面</v>
      </c>
      <c r="F237" s="181" t="str">
        <v>Y</v>
      </c>
      <c r="I237" s="158"/>
      <c r="J237" s="110"/>
      <c r="K237" s="139"/>
      <c r="N237" s="53" t="str">
        <v>✅</v>
      </c>
      <c r="O237" s="53" t="str">
        <v>✅</v>
      </c>
      <c r="P237" s="73" t="str">
        <v>✅</v>
      </c>
      <c r="Q237" s="73" t="str">
        <v>✅</v>
      </c>
      <c r="R237" s="11" t="str">
        <v>✅</v>
      </c>
      <c r="S237" s="11" t="str">
        <v>✅</v>
      </c>
      <c r="T237" s="11" t="str">
        <v>✅</v>
      </c>
      <c r="V237" s="11" t="str">
        <v>✅</v>
      </c>
      <c r="X237" s="73" t="str">
        <v>✅</v>
      </c>
      <c r="Z237" s="14" t="inlineStr">
        <is>
          <r>
            <t>@郑永超</t>
          </r>
        </is>
      </c>
    </row>
    <row r="238" spans="1:26">
      <c r="A238" s="30" t="str">
        <v>冰箱控制</v>
      </c>
      <c r="B238" s="168"/>
      <c r="C238" s="227" t="str">
        <v>查询冰箱电源状态</v>
      </c>
      <c r="D238" s="227" t="str">
        <v>P0</v>
      </c>
      <c r="E238" s="150" t="str">
        <v>冰箱打开了吗</v>
      </c>
      <c r="F238" s="167" t="str">
        <v>Y</v>
      </c>
      <c r="I238" s="158"/>
      <c r="J238" s="46" t="str">
        <v>端状态</v>
      </c>
      <c r="K238" s="139"/>
      <c r="N238" s="53" t="str">
        <v>✅</v>
      </c>
      <c r="O238" s="53" t="str">
        <v>✅</v>
      </c>
      <c r="P238" s="73" t="str">
        <v>✅</v>
      </c>
      <c r="Q238" s="73" t="str">
        <v>✅</v>
      </c>
      <c r="R238" s="73" t="str">
        <v>❌</v>
      </c>
      <c r="S238" s="73" t="str">
        <v>❌</v>
      </c>
      <c r="T238" s="73" t="str">
        <v>❌</v>
      </c>
      <c r="V238" s="73" t="str">
        <v>✅</v>
      </c>
      <c r="X238" s="73" t="str">
        <v>✅</v>
      </c>
      <c r="Z238" s="14" t="inlineStr">
        <is>
          <r>
            <t>@郑永超</t>
          </r>
        </is>
      </c>
    </row>
    <row r="239" spans="1:26">
      <c r="A239" s="30" t="str">
        <v>冰箱控制</v>
      </c>
      <c r="B239" s="168"/>
      <c r="C239" s="229"/>
      <c r="D239" s="229"/>
      <c r="E239" s="150" t="str">
        <v>冰箱通电了吗</v>
      </c>
      <c r="F239" s="167" t="str">
        <v>Y</v>
      </c>
      <c r="I239" s="158"/>
      <c r="J239" s="60"/>
      <c r="K239" s="139"/>
      <c r="N239" s="53" t="str">
        <v>✅</v>
      </c>
      <c r="O239" s="53" t="str">
        <v>✅</v>
      </c>
      <c r="P239" s="73" t="str">
        <v>✅</v>
      </c>
      <c r="Q239" s="73" t="str">
        <v>✅</v>
      </c>
      <c r="R239" s="73" t="str">
        <v>❌</v>
      </c>
      <c r="S239" s="73" t="str">
        <v>❌</v>
      </c>
      <c r="T239" s="73" t="str">
        <v>❌</v>
      </c>
      <c r="V239" s="73" t="str">
        <v>✅</v>
      </c>
      <c r="X239" s="73" t="str">
        <v>✅</v>
      </c>
      <c r="Z239" s="14" t="inlineStr">
        <is>
          <r>
            <t>@郑永超</t>
          </r>
        </is>
      </c>
    </row>
    <row r="240" spans="1:26">
      <c r="A240" s="30" t="str">
        <v>冰箱控制</v>
      </c>
      <c r="B240" s="168"/>
      <c r="C240" s="226"/>
      <c r="D240" s="226"/>
      <c r="E240" s="150" t="str">
        <v>冰箱是不是关了</v>
      </c>
      <c r="F240" s="167" t="str">
        <v>Y</v>
      </c>
      <c r="I240" s="158"/>
      <c r="J240" s="110"/>
      <c r="K240" s="139"/>
      <c r="N240" s="53" t="str">
        <v>✅</v>
      </c>
      <c r="O240" s="53" t="str">
        <v>✅</v>
      </c>
      <c r="P240" s="73" t="str">
        <v>✅</v>
      </c>
      <c r="Q240" s="73" t="str">
        <v>✅</v>
      </c>
      <c r="R240" s="73" t="str">
        <v>❌</v>
      </c>
      <c r="S240" s="73" t="str">
        <v>❌</v>
      </c>
      <c r="T240" s="73" t="str">
        <v>❌</v>
      </c>
      <c r="V240" s="73" t="str">
        <v>✅</v>
      </c>
      <c r="X240" s="73" t="str">
        <v>✅</v>
      </c>
      <c r="Z240" s="14" t="inlineStr">
        <is>
          <r>
            <t>@郑永超</t>
          </r>
        </is>
      </c>
    </row>
    <row r="241" spans="1:26">
      <c r="A241" s="30" t="str">
        <v>冰箱控制</v>
      </c>
      <c r="B241" s="168"/>
      <c r="C241" s="227" t="str">
        <v>查询冰箱门状态</v>
      </c>
      <c r="D241" s="227" t="str">
        <v>P0</v>
      </c>
      <c r="E241" s="150" t="str">
        <v>冰箱门打开了吗</v>
      </c>
      <c r="F241" s="167" t="str">
        <v>Y</v>
      </c>
      <c r="I241" s="158"/>
      <c r="J241" s="46" t="str">
        <v>端状态</v>
      </c>
      <c r="K241" s="139"/>
      <c r="N241" s="53" t="str">
        <v>✅</v>
      </c>
      <c r="O241" s="53" t="str">
        <v>✅</v>
      </c>
      <c r="P241" s="73" t="str">
        <v>✅</v>
      </c>
      <c r="Q241" s="73" t="str">
        <v>✅</v>
      </c>
      <c r="R241" s="73" t="str">
        <v>❌</v>
      </c>
      <c r="S241" s="73" t="str">
        <v>❌</v>
      </c>
      <c r="T241" s="73" t="str">
        <v>❌</v>
      </c>
      <c r="V241" s="14" t="str">
        <v>❌</v>
      </c>
      <c r="W241" s="14" t="str">
        <v>✅</v>
      </c>
      <c r="X241" s="73" t="str">
        <v>✅</v>
      </c>
      <c r="Z241" s="14" t="inlineStr">
        <is>
          <r>
            <t>@郑永超</t>
          </r>
        </is>
      </c>
    </row>
    <row r="242" spans="1:26">
      <c r="A242" s="30" t="str">
        <v>冰箱控制</v>
      </c>
      <c r="B242" s="168"/>
      <c r="C242" s="229"/>
      <c r="D242" s="229"/>
      <c r="E242" s="150" t="str">
        <v>冰箱门关好了吗</v>
      </c>
      <c r="F242" s="167" t="str">
        <v>Y</v>
      </c>
      <c r="I242" s="158"/>
      <c r="J242" s="60"/>
      <c r="K242" s="139"/>
      <c r="N242" s="53" t="str">
        <v>✅</v>
      </c>
      <c r="O242" s="53" t="str">
        <v>✅</v>
      </c>
      <c r="P242" s="73" t="str">
        <v>✅</v>
      </c>
      <c r="Q242" s="73" t="str">
        <v>✅</v>
      </c>
      <c r="R242" s="73" t="str">
        <v>❌</v>
      </c>
      <c r="S242" s="73" t="str">
        <v>❌</v>
      </c>
      <c r="T242" s="73" t="str">
        <v>❌</v>
      </c>
      <c r="V242" s="14" t="str">
        <v>❌</v>
      </c>
      <c r="W242" s="14" t="str">
        <v>✅</v>
      </c>
      <c r="X242" s="73" t="str">
        <v>✅</v>
      </c>
      <c r="Z242" s="14" t="inlineStr">
        <is>
          <r>
            <t>@郑永超</t>
          </r>
        </is>
      </c>
    </row>
    <row r="243" spans="1:26">
      <c r="A243" s="30" t="str">
        <v>冰箱控制</v>
      </c>
      <c r="B243" s="168"/>
      <c r="C243" s="226"/>
      <c r="D243" s="226"/>
      <c r="E243" s="150" t="str">
        <v>冰箱门有没有关</v>
      </c>
      <c r="F243" s="167" t="str">
        <v>Y</v>
      </c>
      <c r="I243" s="158"/>
      <c r="J243" s="110"/>
      <c r="K243" s="139"/>
      <c r="N243" s="53" t="str">
        <v>✅</v>
      </c>
      <c r="O243" s="53" t="str">
        <v>✅</v>
      </c>
      <c r="P243" s="73" t="str">
        <v>✅</v>
      </c>
      <c r="Q243" s="73" t="str">
        <v>✅</v>
      </c>
      <c r="R243" s="73" t="str">
        <v>❌</v>
      </c>
      <c r="S243" s="73" t="str">
        <v>❌</v>
      </c>
      <c r="T243" s="73" t="str">
        <v>❌</v>
      </c>
      <c r="V243" s="14" t="str">
        <v>❌</v>
      </c>
      <c r="W243" s="14" t="str">
        <v>✅</v>
      </c>
      <c r="X243" s="73" t="str">
        <v>✅</v>
      </c>
      <c r="Z243" s="14" t="inlineStr">
        <is>
          <r>
            <t>@郑永超</t>
          </r>
        </is>
      </c>
    </row>
    <row r="244" spans="1:26">
      <c r="A244" s="30" t="str">
        <v>冰箱控制</v>
      </c>
      <c r="B244" s="168"/>
      <c r="C244" s="227" t="str">
        <v>查询冰箱制冷制热模式和当前温度</v>
      </c>
      <c r="D244" s="227" t="str">
        <v>P0</v>
      </c>
      <c r="E244" s="150" t="str">
        <v>冰箱是什么模式</v>
      </c>
      <c r="F244" s="167" t="str">
        <v>Y</v>
      </c>
      <c r="I244" s="158"/>
      <c r="J244" s="46" t="str">
        <v>端状态</v>
      </c>
      <c r="K244" s="139"/>
      <c r="N244" s="53" t="str">
        <v>✅</v>
      </c>
      <c r="O244" s="53" t="str">
        <v>✅</v>
      </c>
      <c r="P244" s="73" t="str">
        <v>✅</v>
      </c>
      <c r="Q244" s="73" t="str">
        <v>✅</v>
      </c>
      <c r="R244" s="73" t="str">
        <v>❌</v>
      </c>
      <c r="S244" s="73" t="str">
        <v>❌</v>
      </c>
      <c r="T244" s="73" t="str">
        <v>❌</v>
      </c>
      <c r="V244" s="14" t="str">
        <v>❌</v>
      </c>
      <c r="W244" s="14" t="str">
        <v>✅</v>
      </c>
      <c r="X244" s="73" t="str">
        <v>✅</v>
      </c>
      <c r="Z244" s="14" t="inlineStr">
        <is>
          <r>
            <t>@郑永超</t>
          </r>
        </is>
      </c>
    </row>
    <row r="245" spans="1:26">
      <c r="A245" s="30" t="str">
        <v>冰箱控制</v>
      </c>
      <c r="B245" s="168"/>
      <c r="C245" s="229"/>
      <c r="D245" s="229"/>
      <c r="E245" s="150" t="str">
        <v>冰箱是制冷吗</v>
      </c>
      <c r="F245" s="167" t="str">
        <v>Y</v>
      </c>
      <c r="I245" s="158"/>
      <c r="J245" s="60"/>
      <c r="K245" s="139"/>
      <c r="N245" s="53" t="str">
        <v>✅</v>
      </c>
      <c r="O245" s="53" t="str">
        <v>✅</v>
      </c>
      <c r="P245" s="73" t="str">
        <v>✅</v>
      </c>
      <c r="Q245" s="73" t="str">
        <v>✅</v>
      </c>
      <c r="R245" s="73" t="str">
        <v>❌</v>
      </c>
      <c r="S245" s="73" t="str">
        <v>❌</v>
      </c>
      <c r="T245" s="73" t="str">
        <v>❌</v>
      </c>
      <c r="V245" s="14" t="str">
        <v>❌</v>
      </c>
      <c r="W245" s="14" t="str">
        <v>✅</v>
      </c>
      <c r="X245" s="73" t="str">
        <v>✅</v>
      </c>
      <c r="Z245" s="14" t="inlineStr">
        <is>
          <r>
            <t>@郑永超</t>
          </r>
        </is>
      </c>
    </row>
    <row r="246" spans="1:26">
      <c r="A246" s="30" t="str">
        <v>冰箱控制</v>
      </c>
      <c r="B246" s="168"/>
      <c r="C246" s="226"/>
      <c r="D246" s="226"/>
      <c r="E246" s="150" t="str">
        <v>冰箱现在多少度</v>
      </c>
      <c r="F246" s="167" t="str">
        <v>Y</v>
      </c>
      <c r="I246" s="158"/>
      <c r="J246" s="110"/>
      <c r="K246" s="139"/>
      <c r="N246" s="53" t="str">
        <v>✅</v>
      </c>
      <c r="O246" s="53" t="str">
        <v>✅</v>
      </c>
      <c r="P246" s="232" t="str">
        <v>✅</v>
      </c>
      <c r="Q246" s="232" t="str">
        <v>✅</v>
      </c>
      <c r="R246" s="73" t="str">
        <v>❌</v>
      </c>
      <c r="S246" s="73" t="str">
        <v>❌</v>
      </c>
      <c r="T246" s="73" t="str">
        <v>❌</v>
      </c>
      <c r="V246" s="14" t="str">
        <v>❌</v>
      </c>
      <c r="W246" s="14" t="str">
        <v>✅</v>
      </c>
      <c r="X246" s="232" t="str">
        <v>✅</v>
      </c>
      <c r="Z246" s="14" t="inlineStr">
        <is>
          <r>
            <t>@郑永超</t>
          </r>
        </is>
      </c>
    </row>
    <row r="247" spans="1:26">
      <c r="A247" s="30" t="str">
        <v>冰箱控制</v>
      </c>
      <c r="B247" s="168"/>
      <c r="C247" s="166" t="str">
        <v>打开 / 关闭冰箱离车保持工作</v>
      </c>
      <c r="D247" s="166" t="str">
        <v>P1</v>
      </c>
      <c r="E247" s="16" t="str">
        <v>打开冰箱离车保持工作</v>
      </c>
      <c r="F247" s="167" t="str">
        <v>Y</v>
      </c>
      <c r="I247" s="158"/>
      <c r="J247" s="174" t="str">
        <v>冰箱离车工作开关</v>
      </c>
      <c r="K247" s="139"/>
      <c r="N247" s="53" t="str">
        <v>✅</v>
      </c>
      <c r="O247" s="11" t="str">
        <v>✅</v>
      </c>
      <c r="P247" s="232" t="str">
        <v>✅</v>
      </c>
      <c r="Q247" s="232" t="str">
        <v>✅</v>
      </c>
      <c r="R247" s="11" t="str">
        <v>❌</v>
      </c>
      <c r="S247" s="73" t="str">
        <v>❌</v>
      </c>
      <c r="T247" s="73" t="str">
        <v>❌</v>
      </c>
      <c r="V247" s="73" t="str">
        <v>✅</v>
      </c>
      <c r="X247" s="232" t="str">
        <v>✅</v>
      </c>
      <c r="Z247" s="14" t="inlineStr">
        <is>
          <r>
            <t>@郑永超</t>
          </r>
        </is>
      </c>
    </row>
    <row r="248" spans="1:26">
      <c r="A248" s="30" t="str">
        <v>冰箱控制</v>
      </c>
      <c r="B248" s="168"/>
      <c r="C248" s="30"/>
      <c r="D248" s="30"/>
      <c r="E248" s="16" t="str">
        <v>关闭冰箱离车保持工作</v>
      </c>
      <c r="F248" s="167" t="str">
        <v>Y</v>
      </c>
      <c r="I248" s="158"/>
      <c r="J248" s="175"/>
      <c r="K248" s="139"/>
      <c r="N248" s="53" t="str">
        <v>✅</v>
      </c>
      <c r="O248" s="11" t="str">
        <v>✅</v>
      </c>
      <c r="P248" s="232" t="str">
        <v>✅</v>
      </c>
      <c r="Q248" s="232" t="str">
        <v>✅</v>
      </c>
      <c r="R248" s="11" t="str">
        <v>❌</v>
      </c>
      <c r="S248" s="73" t="str">
        <v>❌</v>
      </c>
      <c r="T248" s="73" t="str">
        <v>❌</v>
      </c>
      <c r="V248" s="73" t="str">
        <v>✅</v>
      </c>
      <c r="X248" s="232" t="str">
        <v>✅</v>
      </c>
      <c r="Z248" s="14" t="inlineStr">
        <is>
          <r>
            <t>@郑永超</t>
          </r>
        </is>
      </c>
    </row>
    <row r="249" spans="1:26">
      <c r="A249" s="30" t="str">
        <v>冰箱控制</v>
      </c>
      <c r="B249" s="168"/>
      <c r="C249" s="166" t="str">
        <v>设置冰箱离车工作时间</v>
      </c>
      <c r="D249" s="166" t="str">
        <v>P1</v>
      </c>
      <c r="E249" s="16" t="str">
        <v>冰箱离车保持工作时间设置为 1 小时</v>
      </c>
      <c r="F249" s="167" t="str">
        <v>Y</v>
      </c>
      <c r="I249" s="158"/>
      <c r="J249" s="174" t="str">
        <v>冰箱离车工作时长设置</v>
      </c>
      <c r="K249" s="139"/>
      <c r="N249" s="53" t="str">
        <v>✅</v>
      </c>
      <c r="O249" s="53" t="str">
        <v>✅</v>
      </c>
      <c r="P249" s="232" t="str">
        <v>✅</v>
      </c>
      <c r="Q249" s="232" t="str">
        <v>✅</v>
      </c>
      <c r="R249" s="53" t="str">
        <v>✅</v>
      </c>
      <c r="S249" s="73" t="str">
        <v>❌</v>
      </c>
      <c r="T249" s="73" t="str">
        <v>❌</v>
      </c>
      <c r="V249" s="73" t="str">
        <v>✅</v>
      </c>
      <c r="X249" s="232" t="str">
        <v>✅</v>
      </c>
      <c r="Z249" s="14" t="inlineStr">
        <is>
          <r>
            <t>@郑永超</t>
          </r>
        </is>
      </c>
    </row>
    <row r="250" spans="1:26">
      <c r="A250" s="30" t="str">
        <v>冰箱控制</v>
      </c>
      <c r="B250" s="168"/>
      <c r="C250" s="30"/>
      <c r="D250" s="30"/>
      <c r="E250" s="16" t="str">
        <v>离车后冰箱工作 2 小时</v>
      </c>
      <c r="F250" s="167" t="str">
        <v>Y</v>
      </c>
      <c r="I250" s="158"/>
      <c r="J250" s="175"/>
      <c r="K250" s="139"/>
      <c r="N250" s="53" t="str">
        <v>✅</v>
      </c>
      <c r="O250" s="53" t="str">
        <v>✅</v>
      </c>
      <c r="P250" s="232" t="str">
        <v>✅</v>
      </c>
      <c r="Q250" s="232" t="str">
        <v>✅</v>
      </c>
      <c r="R250" s="53" t="str">
        <v>✅</v>
      </c>
      <c r="S250" s="73" t="str">
        <v>❌</v>
      </c>
      <c r="T250" s="73" t="str">
        <v>❌</v>
      </c>
      <c r="V250" s="73" t="str">
        <v>✅</v>
      </c>
      <c r="X250" s="232" t="str">
        <v>✅</v>
      </c>
      <c r="Z250" s="14" t="inlineStr">
        <is>
          <r>
            <t>@郑永超</t>
          </r>
        </is>
      </c>
    </row>
    <row r="251" spans="1:26">
      <c r="A251" s="30" t="str">
        <v>冰箱控制</v>
      </c>
      <c r="B251" s="168"/>
      <c r="C251" s="166" t="str">
        <v>设置冰箱重复周期</v>
      </c>
      <c r="D251" s="166" t="str">
        <v>P1</v>
      </c>
      <c r="E251" s="173" t="str">
        <v>冰箱离车保持工作周期设置为仅一次</v>
      </c>
      <c r="F251" s="167" t="str">
        <v>Y</v>
      </c>
      <c r="G251" s="197" t="str">
        <v>IFridgeInterface
/**
设置冰箱离车恒温周期
PermissionRequest(permissions = { zone.permission.vehicle.FRIDGE_SET })
*
@param cycle : 冰箱周期
@return {@link com.zone.api.vehicle.common.result.ResultCode}
*/
@ResultCode
int setFridgeLeaveCarCycle(@FridgeConstants.FridgeLeaveCarCycle int cycle);
/**
获取冰箱丽车恒温周期
PermissionRequest(permissions = { zone.permission.vehicle.DEVICE_GET })
*
@param result {@link IntResult#getResult()} { 冰箱周期 }
@return {@link com.zone.api.vehicle.common.result.ResultCode}
*/
@ResultCode
int getFridgeLeaveCarCycle(@NonNull IntResult result);
FridgeCallbackFlag
FRIDGE_LEAVE_CAR_CYCLE
IFridgeCallback
/**
离车恒温周期更新通知
回结果码 {@link IntResult#getCode()} {@link com.zone.api.vehicle.common.result.ResultCode}
*/
default void onFridgeLeaveCarCycleChanged(@NonNull IntResult result) {
}</v>
      </c>
      <c r="I251" s="158"/>
      <c r="J251" s="174" t="str">
        <v>冰箱离车工作周期设置</v>
      </c>
      <c r="K251" s="139"/>
      <c r="N251" s="53" t="str">
        <v>✅</v>
      </c>
      <c r="O251" s="53" t="str">
        <v>✅</v>
      </c>
      <c r="P251" s="232" t="str">
        <v>✅</v>
      </c>
      <c r="Q251" s="232" t="str">
        <v>✅</v>
      </c>
      <c r="R251" s="11" t="str">
        <v>❌</v>
      </c>
      <c r="S251" s="73" t="str">
        <v>❌</v>
      </c>
      <c r="T251" s="73" t="str">
        <v>❌</v>
      </c>
      <c r="V251" s="14" t="str">
        <v>❌</v>
      </c>
      <c r="W251" s="14" t="str">
        <v>✅</v>
      </c>
      <c r="X251" s="232" t="str">
        <v>✅</v>
      </c>
      <c r="Z251" s="14" t="inlineStr">
        <is>
          <r>
            <t>@郑永超</t>
          </r>
        </is>
      </c>
    </row>
    <row r="252" spans="1:26">
      <c r="A252" s="30" t="str">
        <v>冰箱控制</v>
      </c>
      <c r="B252" s="168"/>
      <c r="C252" s="30"/>
      <c r="D252" s="30"/>
      <c r="E252" s="16" t="str">
        <v>冰箱离车保持周期改成每次离车</v>
      </c>
      <c r="F252" s="167" t="str">
        <v>Y</v>
      </c>
      <c r="G252" s="199"/>
      <c r="I252" s="158"/>
      <c r="J252" s="175"/>
      <c r="K252" s="139"/>
      <c r="N252" s="53" t="str">
        <v>✅</v>
      </c>
      <c r="O252" s="53" t="str">
        <v>✅</v>
      </c>
      <c r="P252" s="232" t="str">
        <v>✅</v>
      </c>
      <c r="Q252" s="232" t="str">
        <v>✅</v>
      </c>
      <c r="R252" s="11" t="str">
        <v>❌</v>
      </c>
      <c r="S252" s="73" t="str">
        <v>❌</v>
      </c>
      <c r="T252" s="73" t="str">
        <v>❌</v>
      </c>
      <c r="V252" s="14" t="str">
        <v>❌</v>
      </c>
      <c r="W252" s="14" t="str">
        <v>✅</v>
      </c>
      <c r="X252" s="232" t="str">
        <v>✅</v>
      </c>
      <c r="Z252" s="14" t="inlineStr">
        <is>
          <r>
            <t>@郑永超</t>
          </r>
        </is>
      </c>
    </row>
    <row r="253" spans="1:26">
      <c r="A253" s="30" t="str">
        <v>冰箱控制</v>
      </c>
      <c r="B253" s="168"/>
      <c r="C253" s="166" t="str">
        <v>打开 / 关闭上电自动开启冰箱</v>
      </c>
      <c r="D253" s="166" t="str">
        <v>P1</v>
      </c>
      <c r="E253" s="16" t="str">
        <v>打开冰箱上电自动开启功能</v>
      </c>
      <c r="F253" s="167" t="str">
        <v>Y</v>
      </c>
      <c r="I253" s="158"/>
      <c r="J253" s="174" t="str">
        <v>冰箱上电自动开启开关</v>
      </c>
      <c r="K253" s="139"/>
      <c r="N253" s="53" t="str">
        <v>✅</v>
      </c>
      <c r="O253" s="53" t="str">
        <v>✅</v>
      </c>
      <c r="P253" s="232" t="str">
        <v>✅</v>
      </c>
      <c r="Q253" s="232" t="str">
        <v>✅</v>
      </c>
      <c r="R253" s="11" t="str">
        <v>❌</v>
      </c>
      <c r="S253" s="73" t="str">
        <v>❌</v>
      </c>
      <c r="T253" s="73" t="str">
        <v>❌</v>
      </c>
      <c r="V253" s="73" t="str">
        <v>✅</v>
      </c>
      <c r="X253" s="232" t="str">
        <v>✅</v>
      </c>
      <c r="Z253" s="14" t="inlineStr">
        <is>
          <r>
            <t>@郑永超</t>
          </r>
        </is>
      </c>
    </row>
    <row r="254" spans="1:26">
      <c r="A254" s="30" t="str">
        <v>冰箱控制</v>
      </c>
      <c r="B254" s="168"/>
      <c r="C254" s="30"/>
      <c r="D254" s="30"/>
      <c r="E254" s="16" t="str">
        <v>关闭冰箱上电自动开启</v>
      </c>
      <c r="F254" s="167" t="str">
        <v>Y</v>
      </c>
      <c r="I254" s="158"/>
      <c r="J254" s="175"/>
      <c r="K254" s="139"/>
      <c r="N254" s="53" t="str">
        <v>✅</v>
      </c>
      <c r="O254" s="53" t="str">
        <v>✅</v>
      </c>
      <c r="P254" s="232" t="str">
        <v>✅</v>
      </c>
      <c r="Q254" s="232" t="str">
        <v>✅</v>
      </c>
      <c r="R254" s="11" t="str">
        <v>❌</v>
      </c>
      <c r="S254" s="73" t="str">
        <v>❌</v>
      </c>
      <c r="T254" s="73" t="str">
        <v>❌</v>
      </c>
      <c r="V254" s="73" t="str">
        <v>✅</v>
      </c>
      <c r="X254" s="232" t="str">
        <v>✅</v>
      </c>
      <c r="Z254" s="14" t="inlineStr">
        <is>
          <r>
            <t>@郑永超</t>
          </r>
        </is>
      </c>
    </row>
    <row r="255" spans="1:26">
      <c r="A255" s="30" t="str">
        <v>冰箱控制</v>
      </c>
      <c r="B255" s="168"/>
      <c r="C255" s="166" t="str">
        <v>开始 / 停止制冰</v>
      </c>
      <c r="D255" s="166" t="str">
        <v>P0</v>
      </c>
      <c r="E255" s="16" t="str">
        <v>开始制冰</v>
      </c>
      <c r="F255" s="167" t="str">
        <v>Y</v>
      </c>
      <c r="I255" s="158"/>
      <c r="J255" s="174" t="str">
        <v>冰箱制冰脱冰开关</v>
      </c>
      <c r="K255" s="139"/>
      <c r="N255" s="53" t="str">
        <v>✅</v>
      </c>
      <c r="O255" s="53" t="str">
        <v>✅</v>
      </c>
      <c r="P255" s="232" t="str">
        <v>✅</v>
      </c>
      <c r="Q255" s="232" t="str">
        <v>✅</v>
      </c>
      <c r="S255" s="73" t="str">
        <v>❌</v>
      </c>
      <c r="V255" s="73" t="str">
        <v>✅</v>
      </c>
      <c r="X255" s="232" t="str">
        <v>✅</v>
      </c>
      <c r="Z255" s="14" t="inlineStr">
        <is>
          <r>
            <t>@郑永超</t>
          </r>
        </is>
      </c>
    </row>
    <row r="256" spans="1:26">
      <c r="A256" s="30" t="str">
        <v>冰箱控制</v>
      </c>
      <c r="B256" s="168"/>
      <c r="C256" s="30"/>
      <c r="D256" s="30"/>
      <c r="E256" s="16" t="str">
        <v>停止制冰</v>
      </c>
      <c r="F256" s="167" t="str">
        <v>Y</v>
      </c>
      <c r="I256" s="158"/>
      <c r="J256" s="193"/>
      <c r="K256" s="139"/>
      <c r="N256" s="53" t="str">
        <v>✅</v>
      </c>
      <c r="O256" s="53" t="str">
        <v>✅</v>
      </c>
      <c r="P256" s="232" t="str">
        <v>✅</v>
      </c>
      <c r="Q256" s="232" t="str">
        <v>✅</v>
      </c>
      <c r="S256" s="73" t="str">
        <v>❌</v>
      </c>
      <c r="V256" s="73" t="str">
        <v>✅</v>
      </c>
      <c r="X256" s="232" t="str">
        <v>✅</v>
      </c>
      <c r="Z256" s="14" t="inlineStr">
        <is>
          <r>
            <t>@郑永超</t>
          </r>
        </is>
      </c>
    </row>
    <row r="257" spans="1:26">
      <c r="A257" s="30" t="str">
        <v>冰箱控制</v>
      </c>
      <c r="B257" s="168"/>
      <c r="C257" s="166" t="str">
        <v>脱冰</v>
      </c>
      <c r="D257" s="166" t="str">
        <v>P0</v>
      </c>
      <c r="E257" s="16" t="str">
        <v>打开脱冰</v>
      </c>
      <c r="F257" s="167" t="str">
        <v>Y</v>
      </c>
      <c r="I257" s="158"/>
      <c r="J257" s="193"/>
      <c r="K257" s="139"/>
      <c r="N257" s="53" t="str">
        <v>✅</v>
      </c>
      <c r="O257" s="53" t="str">
        <v>✅</v>
      </c>
      <c r="P257" s="232" t="str">
        <v>✅</v>
      </c>
      <c r="Q257" s="232" t="str">
        <v>✅</v>
      </c>
      <c r="S257" s="73" t="str">
        <v>❌</v>
      </c>
      <c r="V257" s="73" t="str">
        <v>✅</v>
      </c>
      <c r="X257" s="232" t="str">
        <v>✅</v>
      </c>
      <c r="Z257" s="14" t="inlineStr">
        <is>
          <r>
            <t>@郑永超</t>
          </r>
        </is>
      </c>
    </row>
    <row r="258" spans="1:26">
      <c r="A258" s="30" t="str">
        <v>冰箱控制</v>
      </c>
      <c r="B258" s="168"/>
      <c r="C258" s="30"/>
      <c r="D258" s="30"/>
      <c r="E258" s="16" t="str">
        <v>开始脱冰</v>
      </c>
      <c r="F258" s="167" t="str">
        <v>Y</v>
      </c>
      <c r="I258" s="158"/>
      <c r="J258" s="175"/>
      <c r="K258" s="139"/>
      <c r="N258" s="53" t="str">
        <v>✅</v>
      </c>
      <c r="O258" s="53" t="str">
        <v>✅</v>
      </c>
      <c r="P258" s="232" t="str">
        <v>✅</v>
      </c>
      <c r="Q258" s="232" t="str">
        <v>✅</v>
      </c>
      <c r="S258" s="73" t="str">
        <v>❌</v>
      </c>
      <c r="V258" s="73" t="str">
        <v>✅</v>
      </c>
      <c r="X258" s="232" t="str">
        <v>✅</v>
      </c>
      <c r="Z258" s="14" t="inlineStr">
        <is>
          <r>
            <t>@郑永超</t>
          </r>
        </is>
      </c>
    </row>
    <row r="259" spans="1:26">
      <c r="A259" s="30" t="str">
        <v>冰箱控制</v>
      </c>
      <c r="B259" s="168"/>
      <c r="C259" s="166" t="str">
        <v>打开 / 关闭冰箱遗留物品检测</v>
      </c>
      <c r="D259" s="166" t="str">
        <v>P1</v>
      </c>
      <c r="E259" s="16" t="str">
        <v>打开冰箱遗留物品检测</v>
      </c>
      <c r="F259" s="167" t="str">
        <v>Y</v>
      </c>
      <c r="I259" s="158"/>
      <c r="J259" s="174" t="str">
        <v>冰箱遗留物品检测开关</v>
      </c>
      <c r="K259" s="139"/>
      <c r="N259" s="53" t="str">
        <v>✅</v>
      </c>
      <c r="O259" s="53" t="str">
        <v>✅</v>
      </c>
      <c r="P259" s="232" t="str">
        <v>✅</v>
      </c>
      <c r="Q259" s="232" t="str">
        <v>✅</v>
      </c>
      <c r="R259" s="11" t="str">
        <v>❌</v>
      </c>
      <c r="S259" s="73" t="str">
        <v>❌</v>
      </c>
      <c r="T259" s="73" t="str">
        <v>❌</v>
      </c>
      <c r="V259" s="73" t="str">
        <v>✅</v>
      </c>
      <c r="X259" s="232" t="str">
        <v>✅</v>
      </c>
      <c r="Z259" s="14" t="inlineStr">
        <is>
          <r>
            <t>@郑永超</t>
          </r>
        </is>
      </c>
    </row>
    <row r="260" spans="1:26">
      <c r="A260" s="30" t="str">
        <v>冰箱控制</v>
      </c>
      <c r="B260" s="168"/>
      <c r="C260" s="30"/>
      <c r="D260" s="30"/>
      <c r="E260" s="16" t="str">
        <v>关闭冰箱遗留物品检测</v>
      </c>
      <c r="F260" s="167" t="str">
        <v>Y</v>
      </c>
      <c r="I260" s="158"/>
      <c r="J260" s="175"/>
      <c r="K260" s="139"/>
      <c r="N260" s="53" t="str">
        <v>✅</v>
      </c>
      <c r="O260" s="53" t="str">
        <v>✅</v>
      </c>
      <c r="P260" s="232" t="str">
        <v>✅</v>
      </c>
      <c r="Q260" s="232" t="str">
        <v>✅</v>
      </c>
      <c r="R260" s="11" t="str">
        <v>❌</v>
      </c>
      <c r="S260" s="73" t="str">
        <v>❌</v>
      </c>
      <c r="T260" s="73" t="str">
        <v>❌</v>
      </c>
      <c r="V260" s="73" t="str">
        <v>✅</v>
      </c>
      <c r="X260" s="232" t="str">
        <v>✅</v>
      </c>
      <c r="Z260" s="14" t="inlineStr">
        <is>
          <r>
            <t>@郑永超</t>
          </r>
        </is>
      </c>
    </row>
    <row r="261" spans="1:26">
      <c r="A261" s="30" t="str">
        <v>冰箱控制</v>
      </c>
      <c r="B261" s="168"/>
      <c r="C261" s="166" t="str">
        <v>打开 / 关闭净味杀菌</v>
      </c>
      <c r="D261" s="166" t="str">
        <v>P0</v>
      </c>
      <c r="E261" s="16" t="str">
        <v>打开净味杀菌功能</v>
      </c>
      <c r="F261" s="167" t="str">
        <v>Y</v>
      </c>
      <c r="I261" s="158"/>
      <c r="J261" s="174" t="str">
        <v>冰箱净味杀菌开关</v>
      </c>
      <c r="K261" s="139"/>
      <c r="N261" s="53" t="str">
        <v>✅</v>
      </c>
      <c r="O261" s="53" t="str">
        <v>✅</v>
      </c>
      <c r="P261" s="232" t="str">
        <v>✅</v>
      </c>
      <c r="Q261" s="232" t="str">
        <v>✅</v>
      </c>
      <c r="R261" s="11" t="str">
        <v>❌</v>
      </c>
      <c r="S261" s="73" t="str">
        <v>❌</v>
      </c>
      <c r="T261" s="73" t="str">
        <v>❌</v>
      </c>
      <c r="V261" s="73" t="str">
        <v>✅</v>
      </c>
      <c r="X261" s="232" t="str">
        <v>✅</v>
      </c>
      <c r="Z261" s="14" t="inlineStr">
        <is>
          <r>
            <t>@郑永超</t>
          </r>
        </is>
      </c>
    </row>
    <row r="262" spans="1:26">
      <c r="A262" s="30" t="str">
        <v>冰箱控制</v>
      </c>
      <c r="B262" s="30"/>
      <c r="C262" s="30"/>
      <c r="D262" s="30"/>
      <c r="E262" s="16" t="str">
        <v>关闭净味杀菌</v>
      </c>
      <c r="F262" s="167" t="str">
        <v>Y</v>
      </c>
      <c r="I262" s="160"/>
      <c r="J262" s="175"/>
      <c r="K262" s="156"/>
      <c r="N262" s="53" t="str">
        <v>✅</v>
      </c>
      <c r="O262" s="53" t="str">
        <v>✅</v>
      </c>
      <c r="P262" s="232" t="str">
        <v>✅</v>
      </c>
      <c r="Q262" s="232" t="str">
        <v>✅</v>
      </c>
      <c r="R262" s="11" t="str">
        <v>❌</v>
      </c>
      <c r="S262" s="73" t="str">
        <v>❌</v>
      </c>
      <c r="T262" s="73" t="str">
        <v>❌</v>
      </c>
      <c r="V262" s="73" t="str">
        <v>✅</v>
      </c>
      <c r="X262" s="232" t="str">
        <v>✅</v>
      </c>
      <c r="Z262" s="14" t="inlineStr">
        <is>
          <r>
            <t>@郑永超</t>
          </r>
        </is>
      </c>
    </row>
    <row r="263" spans="1:26">
      <c r="A263" s="30" t="str">
        <v>晕动舒缓显示控制</v>
      </c>
      <c r="B263" s="166" t="str">
        <v>13晕动舒缓显示控制</v>
      </c>
      <c r="C263" s="166" t="str">
        <v>打开晕动舒缓显示</v>
      </c>
      <c r="D263" s="166" t="str">
        <v>P1</v>
      </c>
      <c r="E263" s="16" t="str">
        <v>打开晕动舒缓显示</v>
      </c>
      <c r="F263" s="167" t="str">
        <v>Y</v>
      </c>
      <c r="I263" s="157" t="str">
        <v>✅
点检标准：HMI晕动舒缓显示控制设置生效不回弹。</v>
      </c>
      <c r="J263" s="214" t="str">
        <v>晕动舒缓显示开关</v>
      </c>
      <c r="K263" s="61" t="str">
        <v>【13】【晕动舒缓显示0313】Vehicle_Platform1.0_IS4PR_Yu_Yin_Kong_Zhi_IS4PR_Che_Liang_Yun_Dong_Ti_Shi__Ping_Kong_Yu_Yin___PRD.pdf</v>
      </c>
      <c r="N263" s="53" t="str">
        <v>✅</v>
      </c>
      <c r="O263" s="53" t="str">
        <v>✅</v>
      </c>
      <c r="P263" s="16" t="str">
        <v>✅</v>
      </c>
      <c r="Q263" s="16" t="str">
        <v>✅</v>
      </c>
      <c r="S263" s="11" t="str">
        <v>✅</v>
      </c>
      <c r="T263" s="11" t="str">
        <v>✅</v>
      </c>
      <c r="V263" s="11" t="str">
        <v>✅</v>
      </c>
      <c r="X263" s="16" t="str">
        <v>✅</v>
      </c>
      <c r="Z263" s="14" t="inlineStr">
        <is>
          <r>
            <t>@郑永超</t>
          </r>
        </is>
      </c>
    </row>
    <row r="264" spans="1:26">
      <c r="A264" s="30" t="str">
        <v>晕动舒缓显示控制</v>
      </c>
      <c r="B264" s="168"/>
      <c r="C264" s="168"/>
      <c r="D264" s="168"/>
      <c r="E264" s="16" t="str">
        <v>开启晕动舒缓显示</v>
      </c>
      <c r="F264" s="167" t="str">
        <v>Y</v>
      </c>
      <c r="I264" s="158"/>
      <c r="J264" s="233"/>
      <c r="K264" s="139"/>
      <c r="N264" s="53" t="str">
        <v>✅</v>
      </c>
      <c r="O264" s="53" t="str">
        <v>✅</v>
      </c>
      <c r="P264" s="16" t="str">
        <v>✅</v>
      </c>
      <c r="Q264" s="16" t="str">
        <v>✅</v>
      </c>
      <c r="S264" s="11" t="str">
        <v>✅</v>
      </c>
      <c r="T264" s="11" t="str">
        <v>✅</v>
      </c>
      <c r="V264" s="11" t="str">
        <v>✅</v>
      </c>
      <c r="X264" s="16" t="str">
        <v>✅</v>
      </c>
      <c r="Z264" s="14" t="inlineStr">
        <is>
          <r>
            <t>@郑永超</t>
          </r>
        </is>
      </c>
    </row>
    <row r="265" spans="1:26">
      <c r="A265" s="30" t="str">
        <v>晕动舒缓显示控制</v>
      </c>
      <c r="B265" s="168"/>
      <c r="C265" s="168"/>
      <c r="D265" s="168"/>
      <c r="E265" s="16" t="str">
        <v>开启晕动显示</v>
      </c>
      <c r="F265" s="167" t="str">
        <v>Y</v>
      </c>
      <c r="I265" s="158"/>
      <c r="J265" s="233"/>
      <c r="K265" s="139"/>
      <c r="N265" s="53" t="str">
        <v>✅</v>
      </c>
      <c r="O265" s="53" t="str">
        <v>✅</v>
      </c>
      <c r="P265" s="16" t="str">
        <v>✅</v>
      </c>
      <c r="Q265" s="16" t="str">
        <v>✅</v>
      </c>
      <c r="S265" s="11" t="str">
        <v>✅</v>
      </c>
      <c r="T265" s="11" t="str">
        <v>✅</v>
      </c>
      <c r="V265" s="11" t="str">
        <v>✅</v>
      </c>
      <c r="X265" s="16" t="str">
        <v>✅</v>
      </c>
      <c r="Z265" s="14" t="inlineStr">
        <is>
          <r>
            <t>@郑永超</t>
          </r>
        </is>
      </c>
    </row>
    <row r="266" spans="1:26">
      <c r="A266" s="30" t="str">
        <v>晕动舒缓显示控制</v>
      </c>
      <c r="B266" s="168"/>
      <c r="C266" s="168"/>
      <c r="D266" s="168"/>
      <c r="E266" s="16" t="str">
        <v>开启舒缓显示</v>
      </c>
      <c r="F266" s="167" t="str">
        <v>Y</v>
      </c>
      <c r="I266" s="158"/>
      <c r="J266" s="233"/>
      <c r="K266" s="139"/>
      <c r="N266" s="53" t="str">
        <v>✅</v>
      </c>
      <c r="O266" s="53" t="str">
        <v>✅</v>
      </c>
      <c r="P266" s="16" t="str">
        <v>✅</v>
      </c>
      <c r="Q266" s="16" t="str">
        <v>✅</v>
      </c>
      <c r="S266" s="11" t="str">
        <v>✅</v>
      </c>
      <c r="T266" s="11" t="str">
        <v>✅</v>
      </c>
      <c r="V266" s="11" t="str">
        <v>✅</v>
      </c>
      <c r="X266" s="16" t="str">
        <v>✅</v>
      </c>
      <c r="Z266" s="14" t="inlineStr">
        <is>
          <r>
            <t>@郑永超</t>
          </r>
        </is>
      </c>
    </row>
    <row r="267" spans="1:26">
      <c r="A267" s="30" t="str">
        <v>晕动舒缓显示控制</v>
      </c>
      <c r="B267" s="168"/>
      <c r="C267" s="30"/>
      <c r="D267" s="30"/>
      <c r="E267" s="16" t="str">
        <v>打开防晕车晕动提示</v>
      </c>
      <c r="F267" s="181" t="str">
        <v>Y</v>
      </c>
      <c r="I267" s="158"/>
      <c r="J267" s="233"/>
      <c r="K267" s="139"/>
      <c r="N267" s="53" t="str">
        <v>✅</v>
      </c>
      <c r="O267" s="53" t="str">
        <v>✅</v>
      </c>
      <c r="P267" s="16" t="str">
        <v>✅</v>
      </c>
      <c r="Q267" s="16" t="str">
        <v>✅</v>
      </c>
      <c r="S267" s="11" t="str">
        <v>✅</v>
      </c>
      <c r="T267" s="11" t="str">
        <v>✅</v>
      </c>
      <c r="V267" s="11" t="str">
        <v>✅</v>
      </c>
      <c r="X267" s="16" t="str">
        <v>✅</v>
      </c>
      <c r="Z267" s="14" t="inlineStr">
        <is>
          <r>
            <t>@郑永超</t>
          </r>
        </is>
      </c>
    </row>
    <row r="268" spans="1:26">
      <c r="A268" s="30" t="str">
        <v>晕动舒缓显示控制</v>
      </c>
      <c r="B268" s="168"/>
      <c r="C268" s="166" t="str">
        <v>关闭晕动舒缓显示</v>
      </c>
      <c r="D268" s="166" t="str">
        <v>P1</v>
      </c>
      <c r="E268" s="16" t="str">
        <v>关闭晕动舒缓显示</v>
      </c>
      <c r="F268" s="181" t="str">
        <v>Y</v>
      </c>
      <c r="I268" s="158"/>
      <c r="J268" s="233"/>
      <c r="K268" s="139"/>
      <c r="N268" s="53" t="str">
        <v>✅</v>
      </c>
      <c r="O268" s="53" t="str">
        <v>✅</v>
      </c>
      <c r="P268" s="16" t="str">
        <v>✅</v>
      </c>
      <c r="Q268" s="16" t="str">
        <v>✅</v>
      </c>
      <c r="S268" s="11" t="str">
        <v>✅</v>
      </c>
      <c r="T268" s="11" t="str">
        <v>✅</v>
      </c>
      <c r="V268" s="11" t="str">
        <v>✅</v>
      </c>
      <c r="X268" s="16" t="str">
        <v>✅</v>
      </c>
      <c r="Z268" s="14" t="inlineStr">
        <is>
          <r>
            <t>@郑永超</t>
          </r>
        </is>
      </c>
    </row>
    <row r="269" spans="1:26">
      <c r="A269" s="30" t="str">
        <v>晕动舒缓显示控制</v>
      </c>
      <c r="B269" s="168"/>
      <c r="C269" s="168"/>
      <c r="D269" s="168"/>
      <c r="E269" s="16" t="str">
        <v>关闭晕动显示</v>
      </c>
      <c r="F269" s="181" t="str">
        <v>Y</v>
      </c>
      <c r="I269" s="158"/>
      <c r="J269" s="233"/>
      <c r="K269" s="139"/>
      <c r="N269" s="53" t="str">
        <v>✅</v>
      </c>
      <c r="O269" s="53" t="str">
        <v>✅</v>
      </c>
      <c r="P269" s="16" t="str">
        <v>✅</v>
      </c>
      <c r="Q269" s="16" t="str">
        <v>✅</v>
      </c>
      <c r="S269" s="11" t="str">
        <v>✅</v>
      </c>
      <c r="T269" s="11" t="str">
        <v>✅</v>
      </c>
      <c r="V269" s="11" t="str">
        <v>✅</v>
      </c>
      <c r="X269" s="16" t="str">
        <v>✅</v>
      </c>
      <c r="Z269" s="14" t="inlineStr">
        <is>
          <r>
            <t>@郑永超</t>
          </r>
        </is>
      </c>
    </row>
    <row r="270" spans="1:26">
      <c r="A270" s="30" t="str">
        <v>晕动舒缓显示控制</v>
      </c>
      <c r="B270" s="168"/>
      <c r="C270" s="168"/>
      <c r="D270" s="168"/>
      <c r="E270" s="16" t="str">
        <v>关闭舒缓显示</v>
      </c>
      <c r="F270" s="181" t="str">
        <v>Y</v>
      </c>
      <c r="I270" s="158"/>
      <c r="J270" s="233"/>
      <c r="K270" s="156"/>
      <c r="N270" s="53" t="str">
        <v>✅</v>
      </c>
      <c r="O270" s="53" t="str">
        <v>✅</v>
      </c>
      <c r="P270" s="16" t="str">
        <v>✅</v>
      </c>
      <c r="Q270" s="16" t="str">
        <v>✅</v>
      </c>
      <c r="S270" s="11" t="str">
        <v>✅</v>
      </c>
      <c r="T270" s="11" t="str">
        <v>✅</v>
      </c>
      <c r="V270" s="11" t="str">
        <v>✅</v>
      </c>
      <c r="X270" s="16" t="str">
        <v>✅</v>
      </c>
      <c r="Z270" s="14" t="inlineStr">
        <is>
          <r>
            <t>@郑永超</t>
          </r>
        </is>
      </c>
    </row>
    <row r="271" spans="1:26">
      <c r="A271" s="30" t="str">
        <v>晕动舒缓显示控制</v>
      </c>
      <c r="B271" s="30"/>
      <c r="C271" s="30"/>
      <c r="D271" s="30"/>
      <c r="E271" s="16" t="str">
        <v>关闭防晕车运动提示</v>
      </c>
      <c r="F271" s="181" t="str">
        <v>Y</v>
      </c>
      <c r="I271" s="160"/>
      <c r="J271" s="216"/>
      <c r="K271" s="61" t="str">
        <v>【14】【后排吸顶屏】Vehicle_Platform1.0_IS4PR_Yu_Yin_Kong_Zhi_IS4PR_Hou_Pai_Ping_Ying_Jian_Kong_Zhi__PRD.pdf</v>
      </c>
      <c r="N271" s="53" t="str">
        <v>✅</v>
      </c>
      <c r="O271" s="53" t="str">
        <v>✅</v>
      </c>
      <c r="P271" s="11" t="str">
        <v>✅</v>
      </c>
      <c r="Q271" s="11" t="str">
        <v>✅</v>
      </c>
      <c r="S271" s="11" t="str">
        <v>✅</v>
      </c>
      <c r="T271" s="11" t="str">
        <v>✅</v>
      </c>
      <c r="V271" s="11" t="str">
        <v>✅</v>
      </c>
      <c r="X271" s="11" t="str">
        <v>✅</v>
      </c>
      <c r="Z271" s="14" t="inlineStr">
        <is>
          <r>
            <t>@郑永超</t>
          </r>
        </is>
      </c>
    </row>
    <row r="272" spans="1:26">
      <c r="A272" s="30" t="str">
        <v>后排吸顶屏控制</v>
      </c>
      <c r="B272" s="166" t="str">
        <v>14后排吸顶屏控制</v>
      </c>
      <c r="C272" s="166" t="str">
        <v>语音控制后排吸顶屏开关</v>
      </c>
      <c r="D272" s="166" t="str">
        <v>P0</v>
      </c>
      <c r="E272" s="16" t="str">
        <v>打开后排吸顶屏</v>
      </c>
      <c r="F272" s="181" t="str">
        <v>Y</v>
      </c>
      <c r="G272" s="181" t="str">
        <v>setScreenSwitch</v>
      </c>
      <c r="I272" s="157" t="str">
        <v>✅
点检标准：负1屏控制后排屏展开/折叠生效。</v>
      </c>
      <c r="J272" s="122" t="str">
        <v>车机屏幕开关</v>
      </c>
      <c r="K272" s="139"/>
      <c r="N272" s="16" t="str">
        <v>✅</v>
      </c>
      <c r="O272" s="16" t="str">
        <v>✅</v>
      </c>
      <c r="P272" s="11" t="str">
        <v>✅</v>
      </c>
      <c r="Q272" s="11" t="str">
        <v>✅</v>
      </c>
      <c r="R272" s="16" t="str">
        <v>✅</v>
      </c>
      <c r="S272" s="11" t="str">
        <v>❌</v>
      </c>
      <c r="T272" s="16" t="str">
        <v>✅</v>
      </c>
      <c r="V272" s="16" t="str">
        <v>✅</v>
      </c>
      <c r="X272" s="11" t="str">
        <v>✅</v>
      </c>
      <c r="Z272" s="14" t="inlineStr">
        <is>
          <r>
            <t>@郑永超</t>
          </r>
        </is>
      </c>
    </row>
    <row r="273" spans="1:26">
      <c r="A273" s="30" t="str">
        <v>后排吸顶屏控制</v>
      </c>
      <c r="B273" s="168"/>
      <c r="C273" s="30"/>
      <c r="D273" s="30"/>
      <c r="E273" s="16" t="str">
        <v>关闭后排吸顶屏</v>
      </c>
      <c r="F273" s="181" t="str">
        <v>Y</v>
      </c>
      <c r="G273" s="181" t="str">
        <v>setScreenSwitch</v>
      </c>
      <c r="I273" s="158"/>
      <c r="J273" s="190"/>
      <c r="K273" s="139"/>
      <c r="N273" s="16" t="str">
        <v>✅</v>
      </c>
      <c r="O273" s="16" t="str">
        <v>✅</v>
      </c>
      <c r="P273" s="11" t="str">
        <v>✅</v>
      </c>
      <c r="Q273" s="11" t="str">
        <v>✅</v>
      </c>
      <c r="R273" s="16" t="str">
        <v>✅</v>
      </c>
      <c r="S273" s="11" t="str">
        <v>❌</v>
      </c>
      <c r="T273" s="16" t="str">
        <v>✅</v>
      </c>
      <c r="V273" s="16" t="str">
        <v>✅</v>
      </c>
      <c r="X273" s="11" t="str">
        <v>✅</v>
      </c>
      <c r="Z273" s="14" t="inlineStr">
        <is>
          <r>
            <t>@郑永超</t>
          </r>
        </is>
      </c>
    </row>
    <row r="274" spans="1:26">
      <c r="A274" s="30" t="str">
        <v>后排吸顶屏控制</v>
      </c>
      <c r="B274" s="168"/>
      <c r="C274" s="166" t="str">
        <v>语音控制吸顶屏角度调节</v>
      </c>
      <c r="D274" s="166" t="str">
        <v>P1</v>
      </c>
      <c r="E274" s="16" t="str">
        <v>调大吸顶屏角度</v>
      </c>
      <c r="F274" s="181" t="str">
        <v>Y</v>
      </c>
      <c r="G274" s="181" t="str">
        <v>adjustScreenAngleSpecificValue</v>
      </c>
      <c r="I274" s="158"/>
      <c r="J274" s="122" t="str">
        <v>屏幕角度调节</v>
      </c>
      <c r="K274" s="139"/>
      <c r="N274" s="16" t="str">
        <v>✅</v>
      </c>
      <c r="O274" s="16" t="str">
        <v>✅</v>
      </c>
      <c r="P274" s="11" t="str">
        <v>✅</v>
      </c>
      <c r="Q274" s="11" t="str">
        <v>✅</v>
      </c>
      <c r="V274" s="73" t="str">
        <v>✅</v>
      </c>
      <c r="X274" s="11" t="str">
        <v>✅</v>
      </c>
      <c r="Z274" s="14" t="inlineStr">
        <is>
          <r>
            <t>@郑永超</t>
          </r>
        </is>
      </c>
    </row>
    <row r="275" spans="1:26">
      <c r="A275" s="30" t="str">
        <v>后排吸顶屏控制</v>
      </c>
      <c r="B275" s="168"/>
      <c r="C275" s="168"/>
      <c r="D275" s="168"/>
      <c r="E275" s="16" t="str">
        <v>后排吸顶屏幕的角度调小</v>
      </c>
      <c r="F275" s="181" t="str">
        <v>Y</v>
      </c>
      <c r="G275" s="181" t="str">
        <v>adjustScreenAngleSpecificValue</v>
      </c>
      <c r="I275" s="158"/>
      <c r="J275" s="194"/>
      <c r="K275" s="139"/>
      <c r="N275" s="16" t="str">
        <v>✅</v>
      </c>
      <c r="O275" s="16" t="str">
        <v>✅</v>
      </c>
      <c r="P275" s="11" t="str">
        <v>✅</v>
      </c>
      <c r="Q275" s="11" t="str">
        <v>✅</v>
      </c>
      <c r="V275" s="73" t="str">
        <v>✅</v>
      </c>
      <c r="X275" s="11" t="str">
        <v>✅</v>
      </c>
      <c r="Z275" s="14" t="inlineStr">
        <is>
          <r>
            <t>@郑永超</t>
          </r>
        </is>
      </c>
    </row>
    <row r="276" spans="1:26">
      <c r="A276" s="30" t="str">
        <v>后排吸顶屏控制</v>
      </c>
      <c r="B276" s="168"/>
      <c r="C276" s="168"/>
      <c r="D276" s="168"/>
      <c r="E276" s="16" t="str">
        <v>吸顶屏角度调到 90 度</v>
      </c>
      <c r="F276" s="181" t="str">
        <v>Y</v>
      </c>
      <c r="G276" s="181" t="str">
        <v>adjustScreenAngleSpecificValue</v>
      </c>
      <c r="I276" s="158"/>
      <c r="J276" s="194"/>
      <c r="K276" s="139"/>
      <c r="N276" s="16" t="str">
        <v>✅</v>
      </c>
      <c r="O276" s="16" t="str">
        <v>✅</v>
      </c>
      <c r="P276" s="11" t="str">
        <v>✅</v>
      </c>
      <c r="Q276" s="11" t="str">
        <v>✅</v>
      </c>
      <c r="V276" s="73" t="str">
        <v>✅</v>
      </c>
      <c r="X276" s="11" t="str">
        <v>✅</v>
      </c>
      <c r="Z276" s="14" t="inlineStr">
        <is>
          <r>
            <t>@郑永超</t>
          </r>
        </is>
      </c>
    </row>
    <row r="277" spans="1:26">
      <c r="A277" s="30" t="str">
        <v>后排吸顶屏控制</v>
      </c>
      <c r="B277" s="168"/>
      <c r="C277" s="168"/>
      <c r="D277" s="168"/>
      <c r="E277" s="16" t="str">
        <v>吸顶屏角度调到最大</v>
      </c>
      <c r="F277" s="181" t="str">
        <v>Y</v>
      </c>
      <c r="G277" s="181" t="str">
        <v>adjustScreenAngleSpecificValue</v>
      </c>
      <c r="I277" s="158"/>
      <c r="J277" s="194"/>
      <c r="K277" s="139"/>
      <c r="N277" s="16" t="str">
        <v>✅</v>
      </c>
      <c r="O277" s="16" t="str">
        <v>✅</v>
      </c>
      <c r="P277" s="11" t="str">
        <v>✅</v>
      </c>
      <c r="Q277" s="11" t="str">
        <v>✅</v>
      </c>
      <c r="V277" s="73" t="str">
        <v>✅</v>
      </c>
      <c r="X277" s="11" t="str">
        <v>✅</v>
      </c>
      <c r="Z277" s="14" t="inlineStr">
        <is>
          <r>
            <t>@郑永超</t>
          </r>
        </is>
      </c>
    </row>
    <row r="278" spans="1:26">
      <c r="A278" s="30" t="str">
        <v>后排吸顶屏控制</v>
      </c>
      <c r="B278" s="30"/>
      <c r="C278" s="30"/>
      <c r="D278" s="30"/>
      <c r="E278" s="16" t="str">
        <v>吸顶屏角度调小一点</v>
      </c>
      <c r="F278" s="181" t="str">
        <v>Y</v>
      </c>
      <c r="G278" s="181" t="str">
        <v>adjustScreenAngleSpecificValue</v>
      </c>
      <c r="I278" s="160"/>
      <c r="J278" s="190"/>
      <c r="K278" s="156"/>
      <c r="N278" s="16" t="str">
        <v>✅</v>
      </c>
      <c r="O278" s="16" t="str">
        <v>✅</v>
      </c>
      <c r="P278" s="11" t="str">
        <v>✅</v>
      </c>
      <c r="Q278" s="11" t="str">
        <v>✅</v>
      </c>
      <c r="V278" s="73" t="str">
        <v>✅</v>
      </c>
      <c r="X278" s="11" t="str">
        <v>✅</v>
      </c>
      <c r="Z278" s="14" t="inlineStr">
        <is>
          <r>
            <t>@郑永超</t>
          </r>
        </is>
      </c>
    </row>
    <row r="279" spans="1:26">
      <c r="A279" s="30" t="str">
        <v>驾驶模式控制</v>
      </c>
      <c r="B279" s="166" t="str">
        <v>15驾驶模式控制</v>
      </c>
      <c r="C279" s="166" t="str">
        <v>切换驾驶模式意图</v>
      </c>
      <c r="D279" s="166" t="str">
        <v>P0</v>
      </c>
      <c r="E279" s="16" t="str">
        <v>切换驾驶模式</v>
      </c>
      <c r="F279" s="167" t="str">
        <v>Y</v>
      </c>
      <c r="H279" s="11" t="str">
        <v>✅</v>
      </c>
      <c r="I279" s="122" t="inlineStr">
        <is>
          <r>
            <rPr>
              <sz val="10"/>
              <color rgb="FFF54A45"/>
              <rFont val="Arial"/>
            </rPr>
            <t xml:space="preserve">✅
</t>
          </r>
          <r>
            <rPr>
              <sz val="10"/>
              <color rgb="FF1F2329"/>
              <rFont val="Arial"/>
            </rPr>
            <t>点检标准：支持切换各种驾驶模式，按钮不回弹</t>
          </r>
        </is>
      </c>
      <c r="J279" s="46" t="str">
        <v>驾驶模式设置</v>
      </c>
      <c r="K279" s="61" t="str">
        <v>【驾驶模式】Vehicle_Platform1.0_IS4PR_Yu_Yin_Kong_Zhi_IS4PR_Jia_Shi_Mo_Shi__PRD.pdf</v>
      </c>
      <c r="M279" s="11" t="str">
        <v>setDrivingMode(@AdsDrivingMode int mode)对应参数值</v>
      </c>
      <c r="N279" s="11" t="str">
        <v>✅</v>
      </c>
      <c r="P279" s="16" t="str">
        <v>✅</v>
      </c>
      <c r="Q279" s="16" t="str">
        <v>✅</v>
      </c>
      <c r="R279" s="16" t="str">
        <v>✅</v>
      </c>
      <c r="S279" s="16" t="str">
        <v>✅</v>
      </c>
      <c r="T279" s="16" t="str">
        <v>✅</v>
      </c>
      <c r="V279" s="16" t="str">
        <v>✅</v>
      </c>
      <c r="X279" s="16" t="str">
        <v>✅</v>
      </c>
      <c r="Z279" s="14" t="inlineStr">
        <is>
          <r>
            <t>@郑永超</t>
          </r>
        </is>
      </c>
    </row>
    <row r="280" spans="1:26">
      <c r="A280" s="30" t="str">
        <v>驾驶模式控制</v>
      </c>
      <c r="B280" s="168"/>
      <c r="C280" s="30"/>
      <c r="D280" s="30"/>
      <c r="E280" s="16" t="str">
        <v>帮我切驾驶模式</v>
      </c>
      <c r="F280" s="167" t="str">
        <v>Y</v>
      </c>
      <c r="H280" s="11" t="str">
        <v>✅</v>
      </c>
      <c r="I280" s="194"/>
      <c r="J280" s="60"/>
      <c r="K280" s="139"/>
      <c r="M280" s="11" t="str">
        <v>setDrivingMode</v>
      </c>
      <c r="N280" s="11" t="str">
        <v>✅</v>
      </c>
      <c r="P280" s="16" t="str">
        <v>✅</v>
      </c>
      <c r="Q280" s="16" t="str">
        <v>✅</v>
      </c>
      <c r="R280" s="16" t="str">
        <v>✅</v>
      </c>
      <c r="S280" s="16" t="str">
        <v>✅</v>
      </c>
      <c r="T280" s="16" t="str">
        <v>✅</v>
      </c>
      <c r="V280" s="16" t="str">
        <v>✅</v>
      </c>
      <c r="X280" s="16" t="str">
        <v>✅</v>
      </c>
      <c r="Z280" s="14" t="inlineStr">
        <is>
          <r>
            <t>@郑永超</t>
          </r>
        </is>
      </c>
    </row>
    <row r="281" spans="1:26">
      <c r="A281" s="30" t="str">
        <v>驾驶模式控制</v>
      </c>
      <c r="B281" s="168"/>
      <c r="C281" s="166" t="str">
        <v>切换 / 打开具体驾驶模式</v>
      </c>
      <c r="D281" s="166" t="str">
        <v>P0</v>
      </c>
      <c r="E281" s="16" t="str">
        <v>切换成&lt;驾驶模式&gt;</v>
      </c>
      <c r="F281" s="167" t="str">
        <v>Y</v>
      </c>
      <c r="H281" s="11" t="str">
        <v>✅</v>
      </c>
      <c r="I281" s="194"/>
      <c r="J281" s="60"/>
      <c r="K281" s="139"/>
      <c r="M281" s="11" t="str">
        <v>setDrivingMode4 1 2 3 4 6 7 12</v>
      </c>
      <c r="N281" s="11" t="str">
        <v>✅</v>
      </c>
      <c r="P281" s="16" t="str">
        <v>✅</v>
      </c>
      <c r="Q281" s="16" t="str">
        <v>✅</v>
      </c>
      <c r="R281" s="16" t="str">
        <v>✅</v>
      </c>
      <c r="S281" s="16" t="str">
        <v>✅</v>
      </c>
      <c r="T281" s="16" t="str">
        <v>✅</v>
      </c>
      <c r="V281" s="16" t="str">
        <v>✅</v>
      </c>
      <c r="X281" s="16" t="str">
        <v>✅</v>
      </c>
      <c r="Z281" s="14" t="inlineStr">
        <is>
          <r>
            <t>@郑永超</t>
          </r>
        </is>
      </c>
    </row>
    <row r="282" spans="1:26">
      <c r="A282" s="30" t="str">
        <v>驾驶模式控制</v>
      </c>
      <c r="B282" s="168"/>
      <c r="C282" s="30"/>
      <c r="D282" s="30"/>
      <c r="E282" s="234" t="str">
        <v>驾驶模式=标准/个性化/运动/舒适/雪地/超级节能/晕车舒缓</v>
      </c>
      <c r="F282" s="167" t="str">
        <v>Y</v>
      </c>
      <c r="H282" s="11" t="str">
        <v>✅</v>
      </c>
      <c r="I282" s="194"/>
      <c r="J282" s="60"/>
      <c r="K282" s="139"/>
      <c r="M282" s="11" t="str">
        <v>setDrivingMode 1超低电量/2经济模式/运动4/超级运动5/雪地6/个性化7/标砖3/冲浪10/舒缓12</v>
      </c>
      <c r="N282" s="11" t="str">
        <v>✅</v>
      </c>
      <c r="P282" s="16" t="str">
        <v>✅</v>
      </c>
      <c r="Q282" s="16" t="str">
        <v>✅</v>
      </c>
      <c r="R282" s="11" t="str">
        <v>❌</v>
      </c>
      <c r="S282" s="11" t="str">
        <v>❌</v>
      </c>
      <c r="T282" s="14" t="str">
        <v>❌</v>
      </c>
      <c r="V282" s="73" t="str">
        <v>✅</v>
      </c>
      <c r="X282" s="16" t="str">
        <v>✅</v>
      </c>
      <c r="Z282" s="14" t="inlineStr">
        <is>
          <r>
            <t>@郑永超</t>
          </r>
        </is>
      </c>
    </row>
    <row r="283" spans="1:26">
      <c r="A283" s="219" t="str">
        <v>驾驶模式控制</v>
      </c>
      <c r="B283" s="168"/>
      <c r="C283" s="220" t="str">
        <v>退出驾驶模式</v>
      </c>
      <c r="D283" s="220" t="str">
        <v>P1</v>
      </c>
      <c r="E283" s="179" t="str">
        <v>退出&lt;运动模式&gt;</v>
      </c>
      <c r="F283" s="195" t="str">
        <v>Y</v>
      </c>
      <c r="H283" s="196" t="str">
        <v>✅</v>
      </c>
      <c r="I283" s="194"/>
      <c r="J283" s="60"/>
      <c r="K283" s="139"/>
      <c r="M283" s="196" t="str">
        <v>上汽说没有退出功能只有切换功能，不做打开关闭功能</v>
      </c>
      <c r="Z283" s="14" t="inlineStr">
        <is>
          <r>
            <t>@郑永超</t>
          </r>
        </is>
      </c>
    </row>
    <row r="284" spans="1:26">
      <c r="A284" s="219" t="str">
        <v>驾驶模式控制</v>
      </c>
      <c r="B284" s="168"/>
      <c r="C284" s="219"/>
      <c r="D284" s="219"/>
      <c r="E284" s="179" t="str">
        <v>运动模式=超低电量/经济模式/标准/运动/雪地/自定义/晕车舒适</v>
      </c>
      <c r="F284" s="195" t="str">
        <v>Y</v>
      </c>
      <c r="H284" s="196" t="str">
        <v>✅</v>
      </c>
      <c r="I284" s="194"/>
      <c r="J284" s="110"/>
      <c r="K284" s="139"/>
      <c r="M284" s="196" t="str">
        <v>上汽说没有退出功能只有切换功能，不做打开关闭功能</v>
      </c>
      <c r="Z284" s="14" t="inlineStr">
        <is>
          <r>
            <t>@郑永超</t>
          </r>
        </is>
      </c>
    </row>
    <row r="285" spans="1:26">
      <c r="A285" s="30" t="str">
        <v>驾驶模式控制</v>
      </c>
      <c r="B285" s="168"/>
      <c r="C285" s="16" t="str">
        <v>语音控制动力响应</v>
      </c>
      <c r="D285" s="16" t="str">
        <v>P1</v>
      </c>
      <c r="E285" s="16" t="str">
        <v>动力响应设置为经济/标准/运动</v>
      </c>
      <c r="F285" s="167" t="str">
        <v>Y</v>
      </c>
      <c r="H285" s="11" t="str">
        <v>✅</v>
      </c>
      <c r="I285" s="194"/>
      <c r="J285" s="11" t="str">
        <v>动力性能设置</v>
      </c>
      <c r="K285" s="139"/>
      <c r="M285" s="11" t="str">
        <v>setEptTorqueCustMode对应参数值是啥？</v>
      </c>
      <c r="N285" s="2" t="str">
        <v>✅</v>
      </c>
      <c r="O285" s="11" t="str">
        <v>✅</v>
      </c>
      <c r="P285" s="16" t="str">
        <v>✅</v>
      </c>
      <c r="Q285" s="16" t="str">
        <v>✅</v>
      </c>
      <c r="R285" s="11" t="str">
        <v>❌</v>
      </c>
      <c r="S285" s="11" t="str">
        <v>❌</v>
      </c>
      <c r="T285" s="16" t="str">
        <v>✅</v>
      </c>
      <c r="V285" s="16" t="str">
        <v>✅</v>
      </c>
      <c r="X285" s="16" t="str">
        <v>✅</v>
      </c>
      <c r="Z285" s="14" t="inlineStr">
        <is>
          <r>
            <t>@郑永超</t>
          </r>
        </is>
      </c>
    </row>
    <row r="286" spans="1:26">
      <c r="A286" s="30" t="str">
        <v>驾驶模式控制</v>
      </c>
      <c r="B286" s="168"/>
      <c r="C286" s="16" t="str">
        <v>语音控制转向手感</v>
      </c>
      <c r="D286" s="16" t="str">
        <v>P1</v>
      </c>
      <c r="E286" s="16" t="inlineStr">
        <is>
          <r>
            <rPr>
              <sz val="10"/>
              <color rgb="FF000000"/>
              <rFont val="Arial"/>
            </rPr>
            <t>转向手感设置为</t>
          </r>
          <r>
            <rPr>
              <sz val="10"/>
              <color rgb="FFF54A45"/>
              <rFont val="Arial"/>
            </rPr>
            <t>轻盈/标准/沉稳</t>
          </r>
        </is>
      </c>
      <c r="F286" s="167" t="str">
        <v>Y</v>
      </c>
      <c r="H286" s="11" t="str">
        <v>只有「极致转向辅助」</v>
      </c>
      <c r="I286" s="194"/>
      <c r="J286" s="218" t="str">
        <v>方向盘助力调节</v>
      </c>
      <c r="K286" s="139"/>
      <c r="N286" s="11" t="str">
        <v>✅</v>
      </c>
      <c r="O286" s="53" t="str">
        <v>✅</v>
      </c>
      <c r="P286" s="16" t="str">
        <v>✅</v>
      </c>
      <c r="Q286" s="16" t="str">
        <v>✅</v>
      </c>
      <c r="S286" s="11" t="str">
        <v>❌</v>
      </c>
      <c r="V286" s="16" t="str">
        <v>✅</v>
      </c>
      <c r="X286" s="16" t="str">
        <v>✅</v>
      </c>
      <c r="Z286" s="14" t="inlineStr">
        <is>
          <r>
            <t>@郑永超</t>
          </r>
        </is>
      </c>
    </row>
    <row r="287" spans="1:26">
      <c r="A287" s="30" t="str">
        <v>驾驶模式控制</v>
      </c>
      <c r="B287" s="168"/>
      <c r="C287" s="16" t="str">
        <v>语音控制悬架阻尼</v>
      </c>
      <c r="D287" s="16" t="str">
        <v>P1</v>
      </c>
      <c r="E287" s="16" t="str">
        <v>悬架阻尼设置为舒适/标准/运动</v>
      </c>
      <c r="F287" s="181" t="str">
        <v>Y</v>
      </c>
      <c r="H287" s="11" t="str">
        <v>只有「智慧悬架」</v>
      </c>
      <c r="I287" s="194"/>
      <c r="J287" s="11" t="str">
        <v>悬架阻尼设置</v>
      </c>
      <c r="K287" s="139"/>
      <c r="M287" s="11" t="str">
        <v>setSuspensionSts对应参数值值是啥？</v>
      </c>
      <c r="N287" s="11" t="str">
        <v>✅</v>
      </c>
      <c r="O287" s="11" t="str">
        <v>✅</v>
      </c>
      <c r="P287" s="16" t="str">
        <v>✅</v>
      </c>
      <c r="Q287" s="16" t="str">
        <v>✅</v>
      </c>
      <c r="S287" s="16" t="str">
        <v>✅</v>
      </c>
      <c r="X287" s="16" t="str">
        <v>✅</v>
      </c>
      <c r="Z287" s="14" t="inlineStr">
        <is>
          <r>
            <t>@郑永超</t>
          </r>
        </is>
      </c>
    </row>
    <row r="288" spans="1:26">
      <c r="A288" s="30" t="str">
        <v>驾驶模式控制</v>
      </c>
      <c r="B288" s="168"/>
      <c r="C288" s="166" t="str">
        <v>语音控制恢复标准</v>
      </c>
      <c r="D288" s="166" t="str">
        <v>P1</v>
      </c>
      <c r="E288" s="16" t="str">
        <v>驾驶模式恢复标准</v>
      </c>
      <c r="F288" s="167" t="str">
        <v>Y</v>
      </c>
      <c r="H288" s="11" t="str">
        <v>✅</v>
      </c>
      <c r="I288" s="194"/>
      <c r="J288" s="46" t="str">
        <v>驾驶模式设置</v>
      </c>
      <c r="K288" s="139"/>
      <c r="M288" s="11" t="str">
        <v>setDrivingMode</v>
      </c>
      <c r="N288" s="16" t="str">
        <v>✅</v>
      </c>
      <c r="O288" s="16" t="str">
        <v>✅</v>
      </c>
      <c r="P288" s="16" t="str">
        <v>✅</v>
      </c>
      <c r="Q288" s="16" t="str">
        <v>✅</v>
      </c>
      <c r="R288" s="11" t="str">
        <v>❌</v>
      </c>
      <c r="S288" s="16" t="str">
        <v>✅</v>
      </c>
      <c r="T288" s="16" t="str">
        <v>✅</v>
      </c>
      <c r="V288" s="16" t="str">
        <v>✅</v>
      </c>
      <c r="X288" s="16" t="str">
        <v>✅</v>
      </c>
      <c r="Z288" s="14" t="inlineStr">
        <is>
          <r>
            <t>@郑永超</t>
          </r>
        </is>
      </c>
    </row>
    <row r="289" spans="1:26">
      <c r="A289" s="30" t="str">
        <v>驾驶模式控制</v>
      </c>
      <c r="B289" s="30"/>
      <c r="C289" s="30"/>
      <c r="D289" s="30"/>
      <c r="E289" s="16" t="str">
        <v>驾驶模式恢复默认值</v>
      </c>
      <c r="F289" s="167" t="str">
        <v>Y</v>
      </c>
      <c r="H289" s="11" t="str">
        <v>✅</v>
      </c>
      <c r="I289" s="190"/>
      <c r="J289" s="110"/>
      <c r="K289" s="156"/>
      <c r="M289" s="11" t="str">
        <v>setDrivingMode</v>
      </c>
      <c r="N289" s="16" t="str">
        <v>✅</v>
      </c>
      <c r="O289" s="16" t="str">
        <v>✅</v>
      </c>
      <c r="P289" s="16" t="str">
        <v>✅</v>
      </c>
      <c r="Q289" s="16" t="str">
        <v>✅</v>
      </c>
      <c r="R289" s="11" t="str">
        <v>❌</v>
      </c>
      <c r="S289" s="11" t="str">
        <v>❌</v>
      </c>
      <c r="T289" s="14" t="str">
        <v>✅</v>
      </c>
      <c r="V289" s="14" t="str">
        <v>✅</v>
      </c>
      <c r="X289" s="16" t="str">
        <v>✅</v>
      </c>
      <c r="Z289" s="14" t="inlineStr">
        <is>
          <r>
            <t>@郑永超</t>
          </r>
        </is>
      </c>
    </row>
    <row r="290" spans="1:26">
      <c r="A290" s="30" t="str">
        <v>驾驶设置</v>
      </c>
      <c r="B290" s="166" t="str">
        <v>16驾驶设置</v>
      </c>
      <c r="C290" s="166" t="str">
        <v>语音控制能量回收设置</v>
      </c>
      <c r="D290" s="166" t="str">
        <v>P0</v>
      </c>
      <c r="E290" s="16" t="str">
        <v>能量回收设置为高/中/低</v>
      </c>
      <c r="F290" s="167" t="str">
        <v>Y </v>
      </c>
      <c r="H290" s="11" t="str">
        <v>✅</v>
      </c>
      <c r="I290" s="157" t="str">
        <v>✅
点检目标：HMI设置档位后不回弹。</v>
      </c>
      <c r="J290" s="11" t="str">
        <v>滑行能量回收调节</v>
      </c>
      <c r="K290" s="61" t="str">
        <v>【驾驶设置】Vehicle_Platform1.0_IS4PR_Yu_Yin_Kong_Zhi_IS4PR_Jia_Shi_She_Zhi__PRD.pdf</v>
      </c>
      <c r="N290" s="150" t="str">
        <v>✅</v>
      </c>
      <c r="O290" s="150" t="str">
        <v>✅</v>
      </c>
      <c r="P290" s="16" t="str">
        <v>✅</v>
      </c>
      <c r="Q290" s="16" t="str">
        <v>✅</v>
      </c>
      <c r="R290" s="11" t="str">
        <v>❌</v>
      </c>
      <c r="S290" s="16" t="str">
        <v>✅</v>
      </c>
      <c r="T290" s="16" t="str">
        <v>✅</v>
      </c>
      <c r="V290" s="16" t="str">
        <v>✅</v>
      </c>
      <c r="X290" s="16" t="str">
        <v>✅</v>
      </c>
      <c r="Z290" s="14" t="inlineStr">
        <is>
          <r>
            <t>@郑永超</t>
          </r>
        </is>
      </c>
    </row>
    <row r="291" spans="1:26">
      <c r="A291" s="30" t="str">
        <v>驾驶设置</v>
      </c>
      <c r="B291" s="168"/>
      <c r="C291" s="30"/>
      <c r="D291" s="30"/>
      <c r="E291" s="16" t="str">
        <v>能量回收设置为自适应</v>
      </c>
      <c r="F291" s="167" t="str">
        <v>Y</v>
      </c>
      <c r="H291" s="11" t="str">
        <v>❌</v>
      </c>
      <c r="I291" s="158"/>
      <c r="J291" s="218" t="str">
        <v>滑动能量回收开关</v>
      </c>
      <c r="K291" s="139"/>
      <c r="N291" s="150" t="str">
        <v>✅</v>
      </c>
      <c r="O291" s="150" t="str">
        <v>已开发完毕，实车无按钮
0727复测</v>
      </c>
      <c r="P291" s="16" t="str">
        <v>block</v>
      </c>
      <c r="Q291" s="14" t="str">
        <v>❌</v>
      </c>
      <c r="V291" s="73" t="str">
        <v>❌</v>
      </c>
      <c r="W291" s="14" t="str">
        <v>❌</v>
      </c>
      <c r="X291" s="16" t="str">
        <v>block</v>
      </c>
      <c r="Z291" s="14" t="inlineStr">
        <is>
          <r>
            <t>@郑永超</t>
          </r>
        </is>
      </c>
    </row>
    <row r="292" spans="1:26">
      <c r="A292" s="30" t="str">
        <v>驾驶设置</v>
      </c>
      <c r="B292" s="168"/>
      <c r="C292" s="16" t="str">
        <v>打开某动力源模式</v>
      </c>
      <c r="D292" s="16" t="str">
        <v>P1</v>
      </c>
      <c r="E292" s="16" t="str">
        <v>打开&lt;动力源&gt;
&lt;动力源&gt;=极致纯电/纯电模式/智能混动/强制保电</v>
      </c>
      <c r="F292" s="167" t="str">
        <v>Y</v>
      </c>
      <c r="H292" s="11" t="str">
        <v>✅</v>
      </c>
      <c r="I292" s="158"/>
      <c r="J292" s="174" t="str">
        <v>动力源模式设置</v>
      </c>
      <c r="K292" s="139"/>
      <c r="N292" s="150" t="str">
        <v>✅</v>
      </c>
      <c r="O292" s="150" t="str">
        <v>✅</v>
      </c>
      <c r="P292" s="16" t="str">
        <v>✅</v>
      </c>
      <c r="Q292" s="16" t="str">
        <v>✅</v>
      </c>
      <c r="S292" s="11" t="str">
        <v>❌</v>
      </c>
      <c r="T292" s="11" t="str">
        <v>❌</v>
      </c>
      <c r="V292" s="73" t="str">
        <v>✅</v>
      </c>
      <c r="X292" s="16" t="str">
        <v>✅</v>
      </c>
      <c r="Z292" s="14" t="inlineStr">
        <is>
          <r>
            <t>@郑永超</t>
          </r>
        </is>
      </c>
    </row>
    <row r="293" spans="1:26">
      <c r="A293" s="30" t="str">
        <v>驾驶设置</v>
      </c>
      <c r="B293" s="168"/>
      <c r="C293" s="16" t="str">
        <v>关闭某动力源模式</v>
      </c>
      <c r="D293" s="16" t="str">
        <v>P1</v>
      </c>
      <c r="E293" s="16" t="str">
        <v>关闭&lt;动力源&gt;
&lt;动力源&gt;=极致纯电/纯电模式/智能混动/强制保电</v>
      </c>
      <c r="F293" s="167" t="str">
        <v>Y</v>
      </c>
      <c r="H293" s="11" t="str">
        <v>✅</v>
      </c>
      <c r="I293" s="158"/>
      <c r="J293" s="175"/>
      <c r="K293" s="139"/>
      <c r="N293" s="150" t="str">
        <v>✅</v>
      </c>
      <c r="O293" s="150" t="str">
        <v>✅</v>
      </c>
      <c r="P293" s="16" t="str">
        <v>✅</v>
      </c>
      <c r="Q293" s="16" t="str">
        <v>✅</v>
      </c>
      <c r="S293" s="11" t="str">
        <v>❌</v>
      </c>
      <c r="T293" s="11" t="str">
        <v>❌</v>
      </c>
      <c r="V293" s="73" t="str">
        <v>✅</v>
      </c>
      <c r="X293" s="16" t="str">
        <v>✅</v>
      </c>
      <c r="Z293" s="14" t="inlineStr">
        <is>
          <r>
            <t>@郑永超</t>
          </r>
        </is>
      </c>
    </row>
    <row r="294" spans="1:26">
      <c r="A294" s="30" t="str">
        <v>驾驶设置</v>
      </c>
      <c r="B294" s="168"/>
      <c r="C294" s="166" t="str">
        <v>语音设置强制保电值</v>
      </c>
      <c r="D294" s="166" t="str">
        <v>P1</v>
      </c>
      <c r="E294" s="16" t="str">
        <v>设置强制保电值为50%</v>
      </c>
      <c r="F294" s="167" t="str">
        <v>Y</v>
      </c>
      <c r="H294" s="11" t="str">
        <v>✅</v>
      </c>
      <c r="I294" s="158"/>
      <c r="J294" s="46" t="str">
        <v>智能保电SOC设置</v>
      </c>
      <c r="K294" s="139"/>
      <c r="N294" s="150" t="str">
        <v>✅</v>
      </c>
      <c r="O294" s="150" t="str">
        <v>✅</v>
      </c>
      <c r="P294" s="16" t="str">
        <v>✅</v>
      </c>
      <c r="Q294" s="16" t="str">
        <v>✅</v>
      </c>
      <c r="R294" s="11" t="str">
        <v>❌</v>
      </c>
      <c r="S294" s="16" t="str">
        <v>✅</v>
      </c>
      <c r="T294" s="16" t="str">
        <v>✅</v>
      </c>
      <c r="V294" s="16" t="str">
        <v>✅</v>
      </c>
      <c r="X294" s="16" t="str">
        <v>✅</v>
      </c>
      <c r="Z294" s="14" t="inlineStr">
        <is>
          <r>
            <t>@郑永超</t>
          </r>
        </is>
      </c>
    </row>
    <row r="295" spans="1:26">
      <c r="A295" s="30" t="str">
        <v>驾驶设置</v>
      </c>
      <c r="B295" s="168"/>
      <c r="C295" s="30"/>
      <c r="D295" s="30"/>
      <c r="E295" s="16" t="str">
        <v>强制保电调到 80%</v>
      </c>
      <c r="F295" s="167" t="str">
        <v>Y</v>
      </c>
      <c r="H295" s="11" t="str">
        <v>✅</v>
      </c>
      <c r="I295" s="158"/>
      <c r="J295" s="110"/>
      <c r="K295" s="139"/>
      <c r="N295" s="150" t="str">
        <v>✅</v>
      </c>
      <c r="O295" s="150" t="str">
        <v>✅</v>
      </c>
      <c r="P295" s="16" t="str">
        <v>✅</v>
      </c>
      <c r="Q295" s="16" t="str">
        <v>✅</v>
      </c>
      <c r="R295" s="11" t="str">
        <v>❌</v>
      </c>
      <c r="S295" s="16" t="str">
        <v>✅</v>
      </c>
      <c r="T295" s="16" t="str">
        <v>✅</v>
      </c>
      <c r="V295" s="16" t="str">
        <v>✅</v>
      </c>
      <c r="X295" s="16" t="str">
        <v>✅</v>
      </c>
      <c r="Z295" s="14" t="inlineStr">
        <is>
          <r>
            <t>@郑永超</t>
          </r>
        </is>
      </c>
    </row>
    <row r="296" spans="1:26">
      <c r="A296" s="30" t="str">
        <v>驾驶设置</v>
      </c>
      <c r="B296" s="168"/>
      <c r="C296" s="166" t="str">
        <v>语音控制发动机维修模式</v>
      </c>
      <c r="D296" s="166" t="str">
        <v>P1</v>
      </c>
      <c r="E296" s="16" t="str">
        <v>打开发动机维修模式</v>
      </c>
      <c r="F296" s="167" t="str">
        <v>Y</v>
      </c>
      <c r="I296" s="158"/>
      <c r="J296" s="174" t="str">
        <v>发动机维修模式开关</v>
      </c>
      <c r="K296" s="139"/>
      <c r="N296" s="150" t="str">
        <v>✅</v>
      </c>
      <c r="P296" s="16" t="str">
        <v>✅</v>
      </c>
      <c r="X296" s="16" t="str">
        <v>✅</v>
      </c>
      <c r="Z296" s="14" t="inlineStr">
        <is>
          <r>
            <t>@郑永超</t>
          </r>
        </is>
      </c>
    </row>
    <row r="297" spans="1:26">
      <c r="A297" s="30" t="str">
        <v>驾驶设置</v>
      </c>
      <c r="B297" s="30"/>
      <c r="C297" s="30"/>
      <c r="D297" s="30"/>
      <c r="E297" s="16" t="str">
        <v>关闭发动机维修模式</v>
      </c>
      <c r="F297" s="167" t="str">
        <v>Y</v>
      </c>
      <c r="I297" s="160"/>
      <c r="J297" s="175"/>
      <c r="K297" s="156"/>
      <c r="N297" s="150" t="str">
        <v>✅</v>
      </c>
      <c r="P297" s="16" t="str">
        <v>✅</v>
      </c>
      <c r="X297" s="16" t="str">
        <v>✅</v>
      </c>
      <c r="Z297" s="14" t="inlineStr">
        <is>
          <r>
            <t>@郑永超</t>
          </r>
        </is>
      </c>
    </row>
    <row r="298" spans="1:26">
      <c r="A298" s="226" t="str">
        <v>HUD 控制</v>
      </c>
      <c r="B298" s="227" t="str">
        <v>17HUD 控制</v>
      </c>
      <c r="C298" s="177" t="str">
        <v>HUD 开关 - 打开</v>
      </c>
      <c r="D298" s="16" t="str">
        <v>P1</v>
      </c>
      <c r="E298" s="177" t="str">
        <v>打开 HUD</v>
      </c>
      <c r="F298" s="235" t="str">
        <v>N</v>
      </c>
      <c r="J298" s="236" t="str">
        <v>兜底</v>
      </c>
      <c r="Z298" s="14" t="inlineStr">
        <is>
          <r>
            <t>@郑永超</t>
          </r>
        </is>
      </c>
    </row>
    <row r="299" spans="1:26">
      <c r="A299" s="226" t="str">
        <v>HUD 控制</v>
      </c>
      <c r="B299" s="226"/>
      <c r="C299" s="177" t="str">
        <v>HUD 开关 - 打开</v>
      </c>
      <c r="D299" s="16" t="str">
        <v>P1</v>
      </c>
      <c r="E299" s="177" t="str">
        <v>打开抬头显示</v>
      </c>
      <c r="F299" s="235" t="str">
        <v>N</v>
      </c>
      <c r="J299" s="237"/>
      <c r="Z299" s="14" t="inlineStr">
        <is>
          <r>
            <t>@郑永超</t>
          </r>
        </is>
      </c>
    </row>
    <row r="300" spans="1:26">
      <c r="A300" s="30" t="str">
        <v>摄像头相关控制</v>
      </c>
      <c r="B300" s="166" t="str">
        <v>18摄像头相关控制</v>
      </c>
      <c r="C300" s="16" t="str">
        <v>拍照 - 普通拍照</v>
      </c>
      <c r="D300" s="16" t="str">
        <v>P0</v>
      </c>
      <c r="E300" s="16" t="str">
        <v>拍照</v>
      </c>
      <c r="F300" s="181" t="str">
        <v>Y</v>
      </c>
      <c r="G300" s="205" t="str">
        <v>&lt;uses-permission android:name="com.zone.permission.CARLOG_CTL" /&gt;
见--摄像头相关.zip</v>
      </c>
      <c r="I300" s="122" t="str">
        <v>❌
PPV1实车无摄像头相关控制HMI设置项。</v>
      </c>
      <c r="J300" s="11" t="str">
        <v>车内外摄像头功能调节</v>
      </c>
      <c r="K300" s="61" t="str">
        <v>【摄像头】Vehicle_Platform1.0_IS4PR_Yu_Yin_Kong_Zhi_IS4PR_Yu_Yin_Kong_Zhi_She_Xiang_Tou_Xiang_Guan_Gong_Neng__PRD.pdf
【18】【摄像头0318】Vehicle_Platform1.0_IS4PR_Yu_Yin_Kong_Zhi_IS4PR_Yu_Yin_Kong_Zhi_She_Xiang_Tou_Xiang_Guan_Gong_Neng__PRD.pdf:https://internal-api-drive-stream.larkoffice.com/space/api/box/stream/download/preview/ZUWIb2dDPo7opexCWuZcUVKanXo?mount_point=docx_file&amp;preview_type=16
update：
【摄像头】Vehicle_Platform1.0_IS4PR_Yu_Yin_Kong_Zhi_IS4PR_Yu_Yin_Kong_Zhi_She_Xiang_Tou_Xiang_Guan_Gong_Neng__PRD.pdf:https://bytedance.larkoffice.com/file/BnbebbOYCoSkVdxab7QcKep5nDg </v>
      </c>
      <c r="M300" s="11" t="str">
        <v>已接入</v>
      </c>
      <c r="N300" s="16" t="str">
        <v>✅</v>
      </c>
      <c r="P300" s="11" t="str">
        <v>block 需要U盘</v>
      </c>
      <c r="Q300" s="16" t="str">
        <v>✅</v>
      </c>
      <c r="R300" s="11" t="str">
        <v>block 需要U盘</v>
      </c>
      <c r="S300" s="11" t="str">
        <v>block 需要U盘</v>
      </c>
      <c r="T300" s="11" t="str">
        <v>block 需要U盘</v>
      </c>
      <c r="V300" s="11" t="str">
        <v>block 需要U盘</v>
      </c>
      <c r="X300" s="16" t="str">
        <v>✅</v>
      </c>
      <c r="Z300" s="14" t="inlineStr">
        <is>
          <r>
            <t>@郑永超</t>
          </r>
        </is>
      </c>
    </row>
    <row r="301" spans="1:26">
      <c r="A301" s="30" t="str">
        <v>摄像头相关控制</v>
      </c>
      <c r="B301" s="168"/>
      <c r="C301" s="16" t="str">
        <v>拍照 - 自拍</v>
      </c>
      <c r="D301" s="16" t="str">
        <v>P0</v>
      </c>
      <c r="E301" s="16" t="str">
        <v>我想自拍</v>
      </c>
      <c r="F301" s="181" t="str">
        <v>Y</v>
      </c>
      <c r="G301" s="238"/>
      <c r="I301" s="194"/>
      <c r="J301" s="11" t="str">
        <v>车内外摄像头功能调节</v>
      </c>
      <c r="K301" s="139"/>
      <c r="M301" s="11" t="str">
        <v>已接入</v>
      </c>
      <c r="N301" s="16" t="str">
        <v>✅</v>
      </c>
      <c r="P301" s="11" t="str">
        <v>block 需要U盘</v>
      </c>
      <c r="Q301" s="16" t="str">
        <v>✅</v>
      </c>
      <c r="R301" s="11" t="str">
        <v>block 需要U盘</v>
      </c>
      <c r="S301" s="11" t="str">
        <v>block 需要U盘</v>
      </c>
      <c r="T301" s="11" t="str">
        <v>block 需要U盘</v>
      </c>
      <c r="V301" s="11" t="str">
        <v>block 需要U盘</v>
      </c>
      <c r="X301" s="16" t="str">
        <v>✅</v>
      </c>
      <c r="Z301" s="14" t="inlineStr">
        <is>
          <r>
            <t>@郑永超</t>
          </r>
        </is>
      </c>
    </row>
    <row r="302" spans="1:26">
      <c r="A302" s="30" t="str">
        <v>摄像头相关控制</v>
      </c>
      <c r="B302" s="168"/>
      <c r="C302" s="16" t="str">
        <v>拍照 - 上下文理解</v>
      </c>
      <c r="D302" s="16" t="str">
        <v>P0</v>
      </c>
      <c r="E302" s="16" t="str">
        <v>再来一张</v>
      </c>
      <c r="F302" s="181" t="str">
        <v>Y</v>
      </c>
      <c r="G302" s="238"/>
      <c r="I302" s="194"/>
      <c r="K302" s="139"/>
      <c r="M302" s="11" t="str">
        <v>已接入</v>
      </c>
      <c r="N302" s="16" t="str">
        <v>✅</v>
      </c>
      <c r="P302" s="11" t="str">
        <v>block 需要U盘</v>
      </c>
      <c r="Q302" s="16" t="str">
        <v>✅</v>
      </c>
      <c r="R302" s="11" t="str">
        <v>block 需要U盘</v>
      </c>
      <c r="S302" s="11" t="str">
        <v>block 需要U盘</v>
      </c>
      <c r="T302" s="11" t="str">
        <v>block 需要U盘</v>
      </c>
      <c r="V302" s="11" t="str">
        <v>block 需要U盘</v>
      </c>
      <c r="X302" s="16" t="str">
        <v>✅</v>
      </c>
      <c r="Z302" s="14" t="inlineStr">
        <is>
          <r>
            <t>@郑永超</t>
          </r>
        </is>
      </c>
    </row>
    <row r="303" spans="1:26">
      <c r="A303" s="30" t="str">
        <v>摄像头相关控制</v>
      </c>
      <c r="B303" s="168"/>
      <c r="C303" s="16" t="str">
        <v>拍照 - 上下文理解</v>
      </c>
      <c r="D303" s="16" t="str">
        <v>P0</v>
      </c>
      <c r="E303" s="16" t="str">
        <v>再拍一次</v>
      </c>
      <c r="F303" s="181" t="str">
        <v>Y</v>
      </c>
      <c r="G303" s="238"/>
      <c r="I303" s="194"/>
      <c r="K303" s="139"/>
      <c r="M303" s="11" t="str">
        <v>已接入</v>
      </c>
      <c r="N303" s="16" t="str">
        <v>✅</v>
      </c>
      <c r="P303" s="11" t="str">
        <v>block 需要U盘</v>
      </c>
      <c r="Q303" s="16" t="str">
        <v>✅</v>
      </c>
      <c r="R303" s="11" t="str">
        <v>block 需要U盘</v>
      </c>
      <c r="S303" s="11" t="str">
        <v>block 需要U盘</v>
      </c>
      <c r="T303" s="11" t="str">
        <v>block 需要U盘</v>
      </c>
      <c r="V303" s="11" t="str">
        <v>block 需要U盘</v>
      </c>
      <c r="X303" s="16" t="str">
        <v>✅</v>
      </c>
      <c r="Z303" s="14" t="inlineStr">
        <is>
          <r>
            <t>@郑永超</t>
          </r>
        </is>
      </c>
    </row>
    <row r="304" spans="1:29">
      <c r="A304" s="30" t="str">
        <v>摄像头相关控制</v>
      </c>
      <c r="B304" s="168"/>
      <c r="C304" s="16" t="str">
        <v>录像 - 普通录像</v>
      </c>
      <c r="D304" s="16" t="str">
        <v>P0</v>
      </c>
      <c r="E304" s="16" t="str">
        <v>录像</v>
      </c>
      <c r="F304" s="181" t="str">
        <v>Y</v>
      </c>
      <c r="G304" s="238"/>
      <c r="I304" s="194"/>
      <c r="J304" s="11" t="str">
        <v>车内外摄像头功能调节</v>
      </c>
      <c r="K304" s="139"/>
      <c r="M304" s="11" t="str">
        <v>已接入</v>
      </c>
      <c r="N304" s="16" t="str">
        <v>✅</v>
      </c>
      <c r="P304" s="11" t="str">
        <v>block 需要U盘</v>
      </c>
      <c r="Q304" s="11" t="str">
        <v>❌</v>
      </c>
      <c r="R304" s="11" t="str">
        <v>block 需要U盘</v>
      </c>
      <c r="S304" s="11" t="str">
        <v>block 需要U盘</v>
      </c>
      <c r="T304" s="11" t="str">
        <v>block 需要U盘</v>
      </c>
      <c r="V304" s="11" t="str">
        <v>block 需要U盘</v>
      </c>
      <c r="X304" s="11" t="str">
        <v>❌</v>
      </c>
      <c r="Z304" s="14" t="inlineStr">
        <is>
          <r>
            <t>@郑永超</t>
          </r>
        </is>
      </c>
      <c r="AC304" s="11" t="str">
        <v>20260717111715E36CB058E6733E9ED43F</v>
      </c>
    </row>
    <row r="305" spans="1:26">
      <c r="A305" s="30" t="str">
        <v>摄像头相关控制</v>
      </c>
      <c r="B305" s="168"/>
      <c r="C305" s="16" t="str">
        <v>录像 - 短视频录像</v>
      </c>
      <c r="D305" s="16" t="str">
        <v>P1</v>
      </c>
      <c r="E305" s="16" t="str">
        <v>拍短视频</v>
      </c>
      <c r="F305" s="181" t="str">
        <v>Y</v>
      </c>
      <c r="G305" s="238"/>
      <c r="I305" s="194"/>
      <c r="J305" s="218" t="str">
        <v>短视频录像开关</v>
      </c>
      <c r="K305" s="139"/>
      <c r="M305" s="11" t="str">
        <v>已接入</v>
      </c>
      <c r="N305" s="16" t="str">
        <v>✅</v>
      </c>
      <c r="Q305" s="11" t="str">
        <v>❌</v>
      </c>
      <c r="R305" s="11" t="str">
        <v>block 需要U盘</v>
      </c>
      <c r="S305" s="11" t="str">
        <v>block 需要U盘</v>
      </c>
      <c r="X305" s="11" t="str">
        <v>❌</v>
      </c>
      <c r="Z305" s="14" t="inlineStr">
        <is>
          <r>
            <t>@郑永超</t>
          </r>
        </is>
      </c>
    </row>
    <row r="306" spans="1:26">
      <c r="A306" s="30" t="str">
        <v>摄像头相关控制</v>
      </c>
      <c r="B306" s="168"/>
      <c r="C306" s="16" t="str">
        <v>录像 - 延时摄影</v>
      </c>
      <c r="D306" s="16" t="str">
        <v>P1</v>
      </c>
      <c r="E306" s="16" t="str">
        <v>开始延时摄影</v>
      </c>
      <c r="F306" s="181" t="str">
        <v>NA</v>
      </c>
      <c r="G306" s="238"/>
      <c r="I306" s="194"/>
      <c r="J306" s="81" t="str">
        <v>车内外延时摄影开关</v>
      </c>
      <c r="K306" s="139"/>
      <c r="M306" s="11" t="str">
        <v>已接入</v>
      </c>
      <c r="N306" s="16" t="str">
        <v>✅</v>
      </c>
      <c r="P306" s="11" t="str">
        <v>block 需要U盘</v>
      </c>
      <c r="Q306" s="16" t="str">
        <v>✅</v>
      </c>
      <c r="R306" s="11" t="str">
        <v>block 需要U盘</v>
      </c>
      <c r="S306" s="11" t="str">
        <v>block 需要U盘</v>
      </c>
      <c r="T306" s="11" t="str">
        <v>block 需要U盘</v>
      </c>
      <c r="V306" s="11" t="str">
        <v>block 需要U盘</v>
      </c>
      <c r="X306" s="16" t="str">
        <v>✅</v>
      </c>
      <c r="Z306" s="14" t="inlineStr">
        <is>
          <r>
            <t>@郑永超</t>
          </r>
        </is>
      </c>
    </row>
    <row r="307" spans="1:26">
      <c r="A307" s="30" t="str">
        <v>摄像头相关控制</v>
      </c>
      <c r="B307" s="168"/>
      <c r="C307" s="16" t="str">
        <v>录像 - 停止录像</v>
      </c>
      <c r="D307" s="16" t="str">
        <v>P1</v>
      </c>
      <c r="E307" s="16" t="str">
        <v>停止录像</v>
      </c>
      <c r="F307" s="181" t="str">
        <v>Y</v>
      </c>
      <c r="G307" s="208"/>
      <c r="I307" s="194"/>
      <c r="J307" s="11" t="str">
        <v>车内外摄像头功能调节</v>
      </c>
      <c r="K307" s="139"/>
      <c r="M307" s="11" t="str">
        <v>已接入</v>
      </c>
      <c r="N307" s="16" t="str">
        <v>✅</v>
      </c>
      <c r="P307" s="11" t="str">
        <v>block 需要U盘</v>
      </c>
      <c r="Q307" s="11" t="str">
        <v>❌</v>
      </c>
      <c r="R307" s="11" t="str">
        <v>block 需要U盘</v>
      </c>
      <c r="S307" s="11" t="str">
        <v>block 需要U盘</v>
      </c>
      <c r="T307" s="11" t="str">
        <v>block 需要U盘</v>
      </c>
      <c r="V307" s="11" t="str">
        <v>block 需要U盘</v>
      </c>
      <c r="X307" s="11" t="str">
        <v>❌</v>
      </c>
      <c r="Z307" s="14" t="inlineStr">
        <is>
          <r>
            <t>@郑永超</t>
          </r>
        </is>
      </c>
    </row>
    <row r="308" spans="1:26">
      <c r="A308" s="30" t="str">
        <v>摄像头相关控制</v>
      </c>
      <c r="B308" s="168"/>
      <c r="C308" s="16" t="str">
        <v>控制 DVR - 打开行车影像应用</v>
      </c>
      <c r="D308" s="16" t="str">
        <v>P0</v>
      </c>
      <c r="E308" s="16" t="str">
        <v>打开行车影像应用
打开行车记录仪</v>
      </c>
      <c r="F308" s="167" t="str">
        <v>Y</v>
      </c>
      <c r="G308" s="167" t="str">
        <v>原生打开app能力</v>
      </c>
      <c r="I308" s="194"/>
      <c r="J308" s="24" t="str">
        <v>指定应用开关
行车记录仪开关</v>
      </c>
      <c r="K308" s="139"/>
      <c r="M308" s="46" t="str">
        <v>已接入</v>
      </c>
      <c r="N308" s="16" t="str">
        <v>✅</v>
      </c>
      <c r="O308" s="16" t="str">
        <v>自测通过</v>
      </c>
      <c r="P308" s="16" t="str">
        <v>✅</v>
      </c>
      <c r="Q308" s="16" t="str">
        <v>✅</v>
      </c>
      <c r="R308" s="16" t="str">
        <v>✅</v>
      </c>
      <c r="S308" s="16" t="str">
        <v>✅</v>
      </c>
      <c r="T308" s="16" t="str">
        <v>✅</v>
      </c>
      <c r="V308" s="16" t="str">
        <v>✅</v>
      </c>
      <c r="X308" s="16" t="str">
        <v>✅</v>
      </c>
      <c r="Z308" s="14" t="inlineStr">
        <is>
          <r>
            <t>@郑永超</t>
          </r>
        </is>
      </c>
    </row>
    <row r="309" spans="1:26">
      <c r="A309" s="30" t="str">
        <v>摄像头相关控制</v>
      </c>
      <c r="B309" s="168"/>
      <c r="C309" s="16" t="str">
        <v>控制 DVR - 关闭行车影像应用</v>
      </c>
      <c r="D309" s="16" t="str">
        <v>P0</v>
      </c>
      <c r="E309" s="16" t="str">
        <v>关闭行车影像应用
关闭行车记录仪</v>
      </c>
      <c r="F309" s="181" t="str">
        <v>Y</v>
      </c>
      <c r="G309" s="181" t="str">
        <v>通过拉起其他app（如桌面等）</v>
      </c>
      <c r="I309" s="194"/>
      <c r="J309" s="24" t="str">
        <v>指定应用开关
行车记录仪</v>
      </c>
      <c r="K309" s="139"/>
      <c r="M309" s="110"/>
      <c r="N309" s="16" t="str">
        <v>✅</v>
      </c>
      <c r="O309" s="16" t="str">
        <v>自测通过</v>
      </c>
      <c r="P309" s="16" t="str">
        <v>✅</v>
      </c>
      <c r="Q309" s="16" t="str">
        <v>✅</v>
      </c>
      <c r="R309" s="16" t="str">
        <v>✅</v>
      </c>
      <c r="S309" s="16" t="str">
        <v>✅</v>
      </c>
      <c r="T309" s="16" t="str">
        <v>✅</v>
      </c>
      <c r="V309" s="16" t="str">
        <v>✅</v>
      </c>
      <c r="X309" s="16" t="str">
        <v>✅</v>
      </c>
      <c r="Z309" s="14" t="inlineStr">
        <is>
          <r>
            <t>@郑永超</t>
          </r>
        </is>
      </c>
    </row>
    <row r="310" spans="1:26">
      <c r="A310" s="30" t="str">
        <v>摄像头相关控制</v>
      </c>
      <c r="B310" s="168"/>
      <c r="C310" s="16" t="str">
        <v>控制 DVR - 打开行车影像设置页</v>
      </c>
      <c r="D310" s="16" t="str">
        <v>P1</v>
      </c>
      <c r="E310" s="16" t="str">
        <v>打开行车影像设置页面</v>
      </c>
      <c r="F310" s="181" t="str">
        <v>Y</v>
      </c>
      <c r="G310" s="181" t="str">
        <v>跳转设置页
packagename: com.zone.hmi.dvr   
action: com.zone.hmi.dvr.action.start_app_page     
StringExtra:  
      name: page
      value: setting</v>
      </c>
      <c r="I310" s="194"/>
      <c r="J310" s="11" t="str">
        <v>行车记录仪设置页面</v>
      </c>
      <c r="K310" s="139"/>
      <c r="M310" s="46" t="str">
        <v>已接入</v>
      </c>
      <c r="N310" s="16" t="str">
        <v>✅</v>
      </c>
      <c r="O310" s="11" t="str">
        <v>自测通过</v>
      </c>
      <c r="P310" s="16" t="str">
        <v>✅</v>
      </c>
      <c r="Q310" s="16" t="str">
        <v>✅</v>
      </c>
      <c r="R310" s="11" t="str">
        <v>❌</v>
      </c>
      <c r="S310" s="11" t="str">
        <v>❌</v>
      </c>
      <c r="T310" s="14" t="str">
        <v>✅</v>
      </c>
      <c r="V310" s="14" t="str">
        <v>✅</v>
      </c>
      <c r="X310" s="16" t="str">
        <v>✅</v>
      </c>
      <c r="Z310" s="14" t="inlineStr">
        <is>
          <r>
            <t>@郑永超</t>
          </r>
        </is>
      </c>
    </row>
    <row r="311" spans="1:26">
      <c r="A311" s="30" t="str">
        <v>摄像头相关控制</v>
      </c>
      <c r="B311" s="168"/>
      <c r="C311" s="16" t="str">
        <v>控制 DVR - 关闭行车影像设置页</v>
      </c>
      <c r="D311" s="16" t="str">
        <v>P1</v>
      </c>
      <c r="E311" s="16" t="str">
        <v>关闭行车影像设置页面</v>
      </c>
      <c r="F311" s="181" t="str">
        <v>Y</v>
      </c>
      <c r="I311" s="194"/>
      <c r="J311" s="11" t="str">
        <v>行车记录仪设置页面</v>
      </c>
      <c r="K311" s="139"/>
      <c r="M311" s="110"/>
      <c r="N311" s="16" t="str">
        <v>✅</v>
      </c>
      <c r="O311" s="11" t="str">
        <v>自测通过</v>
      </c>
      <c r="P311" s="16" t="str">
        <v>✅</v>
      </c>
      <c r="Q311" s="16" t="str">
        <v>✅</v>
      </c>
      <c r="R311" s="11" t="str">
        <v>❌</v>
      </c>
      <c r="S311" s="11" t="str">
        <v>❌</v>
      </c>
      <c r="T311" s="14" t="str">
        <v>✅</v>
      </c>
      <c r="V311" s="14" t="str">
        <v>✅</v>
      </c>
      <c r="X311" s="16" t="str">
        <v>✅</v>
      </c>
      <c r="Z311" s="14" t="inlineStr">
        <is>
          <r>
            <t>@郑永超</t>
          </r>
        </is>
      </c>
    </row>
    <row r="312" spans="1:26">
      <c r="A312" s="30" t="str">
        <v>摄像头相关控制</v>
      </c>
      <c r="B312" s="168"/>
      <c r="C312" s="16" t="str">
        <v>控制 DVR - 打开一般录像开关</v>
      </c>
      <c r="D312" s="16" t="str">
        <v>P0</v>
      </c>
      <c r="E312" s="16" t="str">
        <v>打开一般录像开关</v>
      </c>
      <c r="F312" s="167" t="str">
        <v>Y</v>
      </c>
      <c r="G312" s="173" t="str">
        <v>DvrManager
public String startRecord(long videoType)</v>
      </c>
      <c r="I312" s="194"/>
      <c r="J312" s="214" t="str">
        <v>一般录像开关</v>
      </c>
      <c r="K312" s="139"/>
      <c r="M312" s="46" t="str">
        <v>已接入</v>
      </c>
      <c r="N312" s="16" t="str">
        <v>✅</v>
      </c>
      <c r="O312" s="11" t="str">
        <v>自测通过</v>
      </c>
      <c r="P312" s="16" t="str">
        <v>✅</v>
      </c>
      <c r="Q312" s="16" t="str">
        <v>✅</v>
      </c>
      <c r="R312" s="11" t="str">
        <v>❌</v>
      </c>
      <c r="S312" s="11" t="str">
        <v>❌</v>
      </c>
      <c r="T312" s="16" t="str">
        <v>✅</v>
      </c>
      <c r="V312" s="16" t="str">
        <v>✅</v>
      </c>
      <c r="X312" s="16" t="str">
        <v>✅</v>
      </c>
      <c r="Z312" s="14" t="inlineStr">
        <is>
          <r>
            <t>@郑永超</t>
          </r>
        </is>
      </c>
    </row>
    <row r="313" spans="1:26">
      <c r="A313" s="30" t="str">
        <v>摄像头相关控制</v>
      </c>
      <c r="B313" s="168"/>
      <c r="C313" s="16" t="str">
        <v>控制 DVR - 关闭一般录像开关</v>
      </c>
      <c r="D313" s="16" t="str">
        <v>P0</v>
      </c>
      <c r="E313" s="16" t="str">
        <v>关闭一般录像开关</v>
      </c>
      <c r="F313" s="167" t="str">
        <v>Y</v>
      </c>
      <c r="G313" s="173" t="str">
        <v>DvrManager
public String stopRecord(long videoType) </v>
      </c>
      <c r="I313" s="194"/>
      <c r="J313" s="216"/>
      <c r="K313" s="139"/>
      <c r="M313" s="110"/>
      <c r="N313" s="16" t="str">
        <v>✅</v>
      </c>
      <c r="O313" s="11" t="str">
        <v>自测通过</v>
      </c>
      <c r="P313" s="16" t="str">
        <v>✅</v>
      </c>
      <c r="Q313" s="16" t="str">
        <v>✅</v>
      </c>
      <c r="R313" s="11" t="str">
        <v>❌</v>
      </c>
      <c r="S313" s="11" t="str">
        <v>❌</v>
      </c>
      <c r="T313" s="11" t="str">
        <v>❌</v>
      </c>
      <c r="V313" s="73" t="str">
        <v>✅</v>
      </c>
      <c r="X313" s="16" t="str">
        <v>✅</v>
      </c>
      <c r="Z313" s="14" t="inlineStr">
        <is>
          <r>
            <t>@郑永超</t>
          </r>
        </is>
      </c>
    </row>
    <row r="314" spans="1:26">
      <c r="A314" s="30" t="str">
        <v>摄像头相关控制</v>
      </c>
      <c r="B314" s="168"/>
      <c r="C314" s="179" t="str">
        <v>控制 DVR - 打开紧急录像循环覆盖开关</v>
      </c>
      <c r="D314" s="16" t="str">
        <v>P1</v>
      </c>
      <c r="E314" s="179" t="str">
        <v>打开紧急录像循环覆盖</v>
      </c>
      <c r="F314" s="195" t="str">
        <v>N</v>
      </c>
      <c r="G314" s="195" t="str">
        <v>NA</v>
      </c>
      <c r="I314" s="194"/>
      <c r="J314" s="196" t="str">
        <v>NA</v>
      </c>
      <c r="K314" s="139"/>
      <c r="M314" s="46" t="str">
        <v>已接入</v>
      </c>
      <c r="N314" s="16" t="str">
        <v>✅</v>
      </c>
      <c r="O314" s="11" t="str">
        <v>自测通过</v>
      </c>
      <c r="Q314" s="67" t="str">
        <v>Block</v>
      </c>
      <c r="R314" s="67" t="str">
        <v>Block</v>
      </c>
      <c r="S314" s="67" t="str">
        <v>Block</v>
      </c>
      <c r="T314" s="67" t="str">
        <v>Block</v>
      </c>
      <c r="V314" s="67" t="str">
        <v>Block</v>
      </c>
      <c r="Z314" s="14" t="inlineStr">
        <is>
          <r>
            <t>@郑永超</t>
          </r>
        </is>
      </c>
    </row>
    <row r="315" spans="1:26">
      <c r="A315" s="30" t="str">
        <v>摄像头相关控制</v>
      </c>
      <c r="B315" s="168"/>
      <c r="C315" s="179" t="str">
        <v>控制 DVR - 关闭紧急录像循环覆盖开关</v>
      </c>
      <c r="D315" s="16" t="str">
        <v>P1</v>
      </c>
      <c r="E315" s="179" t="str">
        <v>关闭紧急录像循环覆盖</v>
      </c>
      <c r="F315" s="195" t="str">
        <v>N</v>
      </c>
      <c r="G315" s="195" t="str">
        <v>NA</v>
      </c>
      <c r="I315" s="194"/>
      <c r="J315" s="196" t="str">
        <v>NA</v>
      </c>
      <c r="K315" s="139"/>
      <c r="M315" s="110"/>
      <c r="N315" s="16" t="str">
        <v>✅</v>
      </c>
      <c r="O315" s="11" t="str">
        <v>自测通过</v>
      </c>
      <c r="Q315" s="72" t="str">
        <v>Block</v>
      </c>
      <c r="R315" s="72" t="str">
        <v>Block</v>
      </c>
      <c r="S315" s="72" t="str">
        <v>Block</v>
      </c>
      <c r="T315" s="72" t="str">
        <v>Block</v>
      </c>
      <c r="V315" s="72" t="str">
        <v>Block</v>
      </c>
      <c r="Z315" s="14" t="inlineStr">
        <is>
          <r>
            <t>@郑永超</t>
          </r>
        </is>
      </c>
    </row>
    <row r="316" spans="1:26">
      <c r="A316" s="30" t="str">
        <v>摄像头相关控制</v>
      </c>
      <c r="B316" s="168"/>
      <c r="C316" s="16" t="str">
        <v>控制 DVR - 设置录制时长</v>
      </c>
      <c r="D316" s="16" t="str">
        <v>P1</v>
      </c>
      <c r="E316" s="16" t="str">
        <v>行车影像录制时长设为 3 分钟</v>
      </c>
      <c r="F316" s="167" t="str">
        <v>Y</v>
      </c>
      <c r="G316" s="173" t="str">
        <v>DvrManager
public int setVideoSegmentPeriod(int duration)</v>
      </c>
      <c r="I316" s="194"/>
      <c r="J316" s="218" t="str">
        <v>行车记录仪录制时长设置</v>
      </c>
      <c r="K316" s="139"/>
      <c r="M316" s="46" t="str">
        <v>已接入</v>
      </c>
      <c r="N316" s="16" t="str">
        <v>✅</v>
      </c>
      <c r="O316" s="11" t="str">
        <v>自测通过</v>
      </c>
      <c r="P316" s="16" t="str">
        <v>✅</v>
      </c>
      <c r="Q316" s="16" t="str">
        <v>✅</v>
      </c>
      <c r="R316" s="11" t="str">
        <v>block 需要U盘</v>
      </c>
      <c r="S316" s="11" t="str">
        <v>block 需要U盘</v>
      </c>
      <c r="X316" s="16" t="str">
        <v>✅</v>
      </c>
      <c r="Z316" s="14" t="inlineStr">
        <is>
          <r>
            <t>@郑永超</t>
          </r>
        </is>
      </c>
    </row>
    <row r="317" spans="1:26">
      <c r="A317" s="30" t="str">
        <v>摄像头相关控制</v>
      </c>
      <c r="B317" s="168"/>
      <c r="C317" s="16" t="str">
        <v>控制 DVR - 打开录音开关</v>
      </c>
      <c r="D317" s="16" t="str">
        <v>P1</v>
      </c>
      <c r="E317" s="16" t="str">
        <v>打开录音开关</v>
      </c>
      <c r="F317" s="167" t="str">
        <v>Y</v>
      </c>
      <c r="G317" s="173" t="str">
        <v>DvrManager
public String switchOnAudioRecord()</v>
      </c>
      <c r="I317" s="194"/>
      <c r="J317" s="11" t="str">
        <v>行车记录仪录音开关</v>
      </c>
      <c r="K317" s="139"/>
      <c r="M317" s="110"/>
      <c r="N317" s="16" t="str">
        <v>✅</v>
      </c>
      <c r="O317" s="16" t="str">
        <v>自测通过</v>
      </c>
      <c r="P317" s="14" t="str">
        <v>✅</v>
      </c>
      <c r="Q317" s="14" t="str">
        <v>✅</v>
      </c>
      <c r="R317" s="11" t="str">
        <v>❌</v>
      </c>
      <c r="S317" s="11" t="str">
        <v>❌</v>
      </c>
      <c r="T317" s="11" t="str">
        <v>❌</v>
      </c>
      <c r="V317" s="11" t="str">
        <v>❌</v>
      </c>
      <c r="W317" s="14" t="str">
        <v>✅</v>
      </c>
      <c r="X317" s="14" t="str">
        <v>✅</v>
      </c>
      <c r="Z317" s="14" t="inlineStr">
        <is>
          <r>
            <t>@郑永超</t>
          </r>
        </is>
      </c>
    </row>
    <row r="318" spans="1:26">
      <c r="A318" s="30" t="str">
        <v>摄像头相关控制</v>
      </c>
      <c r="B318" s="168"/>
      <c r="C318" s="16" t="str">
        <v>控制 DVR - 关闭录音开关</v>
      </c>
      <c r="D318" s="16" t="str">
        <v>P1</v>
      </c>
      <c r="E318" s="16" t="str">
        <v>关闭录音开关</v>
      </c>
      <c r="F318" s="167" t="str">
        <v>Y</v>
      </c>
      <c r="G318" s="173" t="str">
        <v>DvrManager
public String switchOffAudioRecord()</v>
      </c>
      <c r="I318" s="194"/>
      <c r="J318" s="11" t="str">
        <v>行车记录仪录音开关</v>
      </c>
      <c r="K318" s="139"/>
      <c r="N318" s="16" t="str">
        <v>✅</v>
      </c>
      <c r="O318" s="16" t="str">
        <v>自测通过</v>
      </c>
      <c r="P318" s="14" t="str">
        <v>✅</v>
      </c>
      <c r="Q318" s="14" t="str">
        <v>✅</v>
      </c>
      <c r="R318" s="11" t="str">
        <v>❌</v>
      </c>
      <c r="S318" s="11" t="str">
        <v>❌</v>
      </c>
      <c r="T318" s="11" t="str">
        <v>❌</v>
      </c>
      <c r="V318" s="11" t="str">
        <v>❌</v>
      </c>
      <c r="W318" s="14" t="str">
        <v>✅</v>
      </c>
      <c r="X318" s="14" t="str">
        <v>✅</v>
      </c>
      <c r="Z318" s="14" t="inlineStr">
        <is>
          <r>
            <t>@郑永超</t>
          </r>
        </is>
      </c>
    </row>
    <row r="319" spans="1:26">
      <c r="A319" s="30" t="str">
        <v>摄像头相关控制</v>
      </c>
      <c r="B319" s="168"/>
      <c r="C319" s="16" t="str">
        <v>控制 DVR - 打开文件管理页</v>
      </c>
      <c r="D319" s="16" t="str">
        <v>P1</v>
      </c>
      <c r="E319" s="16" t="str">
        <v>打开录像文件页面</v>
      </c>
      <c r="F319" s="181" t="str">
        <v>Y</v>
      </c>
      <c r="G319" s="181" t="str">
        <v>跳转行车影像文件管理页
packagename: com.zone.hmi.dvr   
action: com.zone.hmi.dvr.action.start_app_page     
StringExtra:  
      name: page
      value: dvr</v>
      </c>
      <c r="I319" s="194"/>
      <c r="J319" s="174" t="str">
        <v>录像文件页面开关</v>
      </c>
      <c r="K319" s="139"/>
      <c r="M319" s="11" t="str">
        <v>已接入</v>
      </c>
      <c r="N319" s="11" t="str">
        <v>✅</v>
      </c>
      <c r="O319" s="11" t="str">
        <v>自测通过</v>
      </c>
      <c r="P319" s="14" t="str">
        <v>✅</v>
      </c>
      <c r="Q319" s="14" t="str">
        <v>✅</v>
      </c>
      <c r="R319" s="11" t="str">
        <v>block 需要U盘</v>
      </c>
      <c r="S319" s="11" t="str">
        <v>block 需要U盘</v>
      </c>
      <c r="T319" s="11" t="str">
        <v>✅</v>
      </c>
      <c r="V319" s="11" t="str">
        <v>✅</v>
      </c>
      <c r="X319" s="14" t="str">
        <v>✅</v>
      </c>
      <c r="Z319" s="14" t="inlineStr">
        <is>
          <r>
            <t>@郑永超</t>
          </r>
        </is>
      </c>
    </row>
    <row r="320" spans="1:26">
      <c r="A320" s="30" t="str">
        <v>摄像头相关控制</v>
      </c>
      <c r="B320" s="168"/>
      <c r="C320" s="16" t="str">
        <v>控制 DVR - 关闭文件管理页</v>
      </c>
      <c r="D320" s="16" t="str">
        <v>P1</v>
      </c>
      <c r="E320" s="16" t="str">
        <v>关闭录像文件页面</v>
      </c>
      <c r="F320" s="181" t="str">
        <v>N</v>
      </c>
      <c r="I320" s="194"/>
      <c r="J320" s="175"/>
      <c r="K320" s="139"/>
      <c r="M320" s="11" t="str">
        <v>已接入</v>
      </c>
      <c r="N320" s="11" t="str">
        <v>✅</v>
      </c>
      <c r="O320" s="11" t="str">
        <v>自测通过</v>
      </c>
      <c r="P320" s="14" t="str">
        <v>✅</v>
      </c>
      <c r="Q320" s="14" t="str">
        <v>✅</v>
      </c>
      <c r="R320" s="72" t="str">
        <v>Block</v>
      </c>
      <c r="S320" s="11" t="str">
        <v>❌</v>
      </c>
      <c r="T320" s="11" t="str">
        <v>✅</v>
      </c>
      <c r="V320" s="11" t="str">
        <v>✅</v>
      </c>
      <c r="X320" s="14" t="str">
        <v>✅</v>
      </c>
      <c r="Z320" s="14" t="inlineStr">
        <is>
          <r>
            <t>@郑永超</t>
          </r>
        </is>
      </c>
    </row>
    <row r="321" spans="1:26">
      <c r="A321" s="30" t="str">
        <v>摄像头相关控制</v>
      </c>
      <c r="B321" s="168"/>
      <c r="C321" s="16" t="str">
        <v>控制 Carlog - 打开 Carlog 应用</v>
      </c>
      <c r="D321" s="16" t="str">
        <v>P1</v>
      </c>
      <c r="E321" s="16" t="str">
        <v>打开 Carlog</v>
      </c>
      <c r="F321" s="181" t="str">
        <v>Y</v>
      </c>
      <c r="G321" s="181" t="str">
        <v>原生打开app能力</v>
      </c>
      <c r="I321" s="194"/>
      <c r="J321" s="11" t="str">
        <v>指定应用开关</v>
      </c>
      <c r="K321" s="139"/>
      <c r="M321" s="46" t="str">
        <v>已接入</v>
      </c>
      <c r="N321" s="16" t="str">
        <v>✅</v>
      </c>
      <c r="O321" s="11" t="str">
        <v>FC下发错误</v>
      </c>
      <c r="P321" s="14" t="str">
        <v>✅</v>
      </c>
      <c r="Q321" s="14" t="str">
        <v>✅</v>
      </c>
      <c r="R321" s="11" t="str">
        <v>❌</v>
      </c>
      <c r="S321" s="11" t="str">
        <v>❌</v>
      </c>
      <c r="T321" s="11" t="str">
        <v>✅</v>
      </c>
      <c r="V321" s="11" t="str">
        <v>✅</v>
      </c>
      <c r="X321" s="14" t="str">
        <v>✅</v>
      </c>
      <c r="Z321" s="14" t="inlineStr">
        <is>
          <r>
            <t>@郑永超</t>
          </r>
        </is>
      </c>
    </row>
    <row r="322" spans="1:26">
      <c r="A322" s="30" t="str">
        <v>摄像头相关控制</v>
      </c>
      <c r="B322" s="168"/>
      <c r="C322" s="16" t="str">
        <v>控制 Carlog - 关闭 Carlog 应用</v>
      </c>
      <c r="D322" s="16" t="str">
        <v>P1</v>
      </c>
      <c r="E322" s="16" t="str">
        <v>关闭 Carlog</v>
      </c>
      <c r="F322" s="181" t="str">
        <v>Y</v>
      </c>
      <c r="G322" s="181" t="str">
        <v>通过拉起其他app（如桌面等）</v>
      </c>
      <c r="I322" s="194"/>
      <c r="J322" s="11" t="str">
        <v>指定应用开关</v>
      </c>
      <c r="K322" s="139"/>
      <c r="M322" s="110"/>
      <c r="N322" s="16" t="str">
        <v>✅</v>
      </c>
      <c r="O322" s="11" t="str">
        <v>FC下发错误</v>
      </c>
      <c r="P322" s="14" t="str">
        <v>✅</v>
      </c>
      <c r="Q322" s="14" t="str">
        <v>✅</v>
      </c>
      <c r="R322" s="11" t="str">
        <v>block</v>
      </c>
      <c r="S322" s="11" t="str">
        <v>❌</v>
      </c>
      <c r="T322" s="11" t="str">
        <v>✅</v>
      </c>
      <c r="V322" s="11" t="str">
        <v>✅</v>
      </c>
      <c r="X322" s="14" t="str">
        <v>✅</v>
      </c>
      <c r="Z322" s="14" t="inlineStr">
        <is>
          <r>
            <t>@郑永超</t>
          </r>
        </is>
      </c>
    </row>
    <row r="323" spans="1:26">
      <c r="A323" s="30" t="str">
        <v>摄像头相关控制</v>
      </c>
      <c r="B323" s="168"/>
      <c r="C323" s="179" t="str">
        <v>控制 Carlog - 设置延时摄影速率</v>
      </c>
      <c r="D323" s="16" t="str">
        <v>P1</v>
      </c>
      <c r="E323" s="179" t="str">
        <v>延时摄影速率设置为 60 倍</v>
      </c>
      <c r="F323" s="195" t="str">
        <v>N</v>
      </c>
      <c r="G323" s="195" t="str">
        <v>NA</v>
      </c>
      <c r="I323" s="194"/>
      <c r="J323" s="196" t="str">
        <v>NA</v>
      </c>
      <c r="K323" s="139"/>
      <c r="M323" s="46" t="str">
        <v>已接入</v>
      </c>
      <c r="N323" s="16" t="str">
        <v>✅</v>
      </c>
      <c r="O323" s="11" t="str">
        <v>新增需求</v>
      </c>
      <c r="Q323" s="72" t="str">
        <v>Block</v>
      </c>
      <c r="R323" s="72" t="str">
        <v>Block</v>
      </c>
      <c r="S323" s="72" t="str">
        <v>Block</v>
      </c>
      <c r="T323" s="72" t="str">
        <v>Block</v>
      </c>
      <c r="V323" s="72" t="str">
        <v>Block</v>
      </c>
      <c r="Z323" s="14" t="inlineStr">
        <is>
          <r>
            <t>@郑永超</t>
          </r>
        </is>
      </c>
    </row>
    <row r="324" spans="1:26">
      <c r="A324" s="30" t="str">
        <v>摄像头相关控制</v>
      </c>
      <c r="B324" s="168"/>
      <c r="C324" s="179" t="str">
        <v>控制 Carlog - 设置延时摄影时长</v>
      </c>
      <c r="D324" s="16" t="str">
        <v>P1</v>
      </c>
      <c r="E324" s="179" t="str">
        <v>延时摄影时长设为 5 分钟</v>
      </c>
      <c r="F324" s="195" t="str">
        <v>N</v>
      </c>
      <c r="G324" s="195" t="str">
        <v>NA</v>
      </c>
      <c r="I324" s="194"/>
      <c r="J324" s="196" t="str">
        <v>NA</v>
      </c>
      <c r="K324" s="139"/>
      <c r="M324" s="110"/>
      <c r="N324" s="16" t="str">
        <v>✅</v>
      </c>
      <c r="O324" s="11" t="str">
        <v>新增需求</v>
      </c>
      <c r="Q324" s="72" t="str">
        <v>Block</v>
      </c>
      <c r="R324" s="72" t="str">
        <v>Block</v>
      </c>
      <c r="S324" s="72" t="str">
        <v>Block</v>
      </c>
      <c r="T324" s="72" t="str">
        <v>Block</v>
      </c>
      <c r="V324" s="72" t="str">
        <v>Block</v>
      </c>
      <c r="Z324" s="14" t="inlineStr">
        <is>
          <r>
            <t>@郑永超</t>
          </r>
        </is>
      </c>
    </row>
    <row r="325" spans="1:26">
      <c r="A325" s="30" t="str">
        <v>摄像头相关控制</v>
      </c>
      <c r="B325" s="168"/>
      <c r="C325" s="16" t="str">
        <v>控制相册 - 打开相册</v>
      </c>
      <c r="D325" s="16" t="str">
        <v>P0</v>
      </c>
      <c r="E325" s="16" t="str">
        <v>打开相册</v>
      </c>
      <c r="F325" s="181" t="str">
        <v>Y</v>
      </c>
      <c r="G325" s="181" t="str">
        <v>原生打开app能力</v>
      </c>
      <c r="I325" s="194"/>
      <c r="J325" s="174" t="str">
        <v>指定应用开关</v>
      </c>
      <c r="K325" s="139"/>
      <c r="M325" s="46" t="str">
        <v>已接入</v>
      </c>
      <c r="N325" s="16" t="str">
        <v>✅</v>
      </c>
      <c r="O325" s="11" t="str">
        <v>自测通过</v>
      </c>
      <c r="P325" s="14" t="str">
        <v>✅</v>
      </c>
      <c r="Q325" s="14" t="str">
        <v>✅</v>
      </c>
      <c r="R325" s="11" t="str">
        <v>✅</v>
      </c>
      <c r="S325" s="11" t="str">
        <v>✅</v>
      </c>
      <c r="T325" s="11" t="str">
        <v>✅</v>
      </c>
      <c r="V325" s="11" t="str">
        <v>✅</v>
      </c>
      <c r="X325" s="14" t="str">
        <v>✅</v>
      </c>
      <c r="Z325" s="14" t="inlineStr">
        <is>
          <r>
            <t>@郑永超</t>
          </r>
        </is>
      </c>
    </row>
    <row r="326" spans="1:26">
      <c r="A326" s="30" t="str">
        <v>摄像头相关控制</v>
      </c>
      <c r="B326" s="168"/>
      <c r="C326" s="16" t="str">
        <v>控制相册 - 关闭相册</v>
      </c>
      <c r="D326" s="16" t="str">
        <v>P0</v>
      </c>
      <c r="E326" s="16" t="str">
        <v>关闭相册</v>
      </c>
      <c r="F326" s="181" t="str">
        <v>Y</v>
      </c>
      <c r="G326" s="181" t="str">
        <v>通过拉起其他app（如桌面等）</v>
      </c>
      <c r="I326" s="194"/>
      <c r="J326" s="175"/>
      <c r="K326" s="139"/>
      <c r="M326" s="110"/>
      <c r="N326" s="16" t="str">
        <v>✅</v>
      </c>
      <c r="O326" s="11" t="str">
        <v>自测通过</v>
      </c>
      <c r="P326" s="14" t="str">
        <v>✅</v>
      </c>
      <c r="Q326" s="14" t="str">
        <v>✅</v>
      </c>
      <c r="R326" s="11" t="str">
        <v>❌</v>
      </c>
      <c r="S326" s="11" t="str">
        <v>❌</v>
      </c>
      <c r="T326" s="11" t="str">
        <v>✅</v>
      </c>
      <c r="V326" s="11" t="str">
        <v>✅</v>
      </c>
      <c r="X326" s="14" t="str">
        <v>✅</v>
      </c>
      <c r="Z326" s="14" t="inlineStr">
        <is>
          <r>
            <t>@郑永超</t>
          </r>
        </is>
      </c>
    </row>
    <row r="327" spans="1:26">
      <c r="A327" s="30" t="str">
        <v>摄像头相关控制</v>
      </c>
      <c r="B327" s="168"/>
      <c r="C327" s="16" t="str">
        <v>控制 OMS - 打开 OMS 功能</v>
      </c>
      <c r="D327" s="16" t="str">
        <v>P0</v>
      </c>
      <c r="E327" s="16" t="str">
        <v>打开车内智能感知</v>
      </c>
      <c r="F327" s="167" t="str">
        <v>Y</v>
      </c>
      <c r="G327" s="173" t="str">
        <v>OMSManager
public boolean setOMSSwitchStatus(byte type, int enable)
type: OMSSwitchDefine.SW_MAIN
enable: OMSSwitchDefine.State.SW_ON</v>
      </c>
      <c r="I327" s="194"/>
      <c r="J327" s="11" t="str">
        <v>OMS摄像头开关</v>
      </c>
      <c r="K327" s="139"/>
      <c r="M327" s="46" t="str">
        <v>已接入</v>
      </c>
      <c r="N327" s="16" t="str">
        <v>✅</v>
      </c>
      <c r="O327" s="11" t="str">
        <v>自测通过</v>
      </c>
      <c r="P327" s="14" t="str">
        <v>✅</v>
      </c>
      <c r="Q327" s="14" t="str">
        <v>✅</v>
      </c>
      <c r="R327" s="11" t="str">
        <v>❌</v>
      </c>
      <c r="S327" s="16" t="str">
        <v>✅</v>
      </c>
      <c r="T327" s="16" t="str">
        <v>✅</v>
      </c>
      <c r="V327" s="16" t="str">
        <v>✅</v>
      </c>
      <c r="X327" s="14" t="str">
        <v>✅</v>
      </c>
      <c r="Z327" s="14" t="inlineStr">
        <is>
          <r>
            <t>@郑永超</t>
          </r>
        </is>
      </c>
    </row>
    <row r="328" spans="1:26">
      <c r="A328" s="30" t="str">
        <v>摄像头相关控制</v>
      </c>
      <c r="B328" s="168"/>
      <c r="C328" s="16" t="str">
        <v>控制 OMS - 关闭 OMS 功能</v>
      </c>
      <c r="D328" s="16" t="str">
        <v>P0</v>
      </c>
      <c r="E328" s="16" t="str">
        <v>关闭车内智能感知</v>
      </c>
      <c r="F328" s="167" t="str">
        <v>Y</v>
      </c>
      <c r="G328" s="173" t="str">
        <v>OMSManager
public boolean setOMSSwitchStatus(byte type, int enable)
type: OMSSwitchDefine.SW_MAIN
enable: OMSSwitchDefine.State.SW_OFF</v>
      </c>
      <c r="I328" s="194"/>
      <c r="J328" s="11" t="str">
        <v>OMS摄像头开关</v>
      </c>
      <c r="K328" s="139"/>
      <c r="M328" s="110"/>
      <c r="N328" s="16" t="str">
        <v>✅</v>
      </c>
      <c r="O328" s="11" t="str">
        <v>自测通过</v>
      </c>
      <c r="P328" s="14" t="str">
        <v>✅</v>
      </c>
      <c r="Q328" s="14" t="str">
        <v>✅</v>
      </c>
      <c r="R328" s="11" t="str">
        <v>❌</v>
      </c>
      <c r="S328" s="16" t="str">
        <v>✅</v>
      </c>
      <c r="T328" s="16" t="str">
        <v>✅</v>
      </c>
      <c r="V328" s="16" t="str">
        <v>✅</v>
      </c>
      <c r="X328" s="14" t="str">
        <v>✅</v>
      </c>
      <c r="Z328" s="14" t="inlineStr">
        <is>
          <r>
            <t>@郑永超</t>
          </r>
        </is>
      </c>
    </row>
    <row r="329" spans="1:26">
      <c r="A329" s="30" t="str">
        <v>摄像头相关控制</v>
      </c>
      <c r="B329" s="168"/>
      <c r="C329" s="16" t="str">
        <v>控制 OMS - 打开后排查看</v>
      </c>
      <c r="D329" s="16" t="str">
        <v>P1</v>
      </c>
      <c r="E329" s="16" t="str">
        <v>打开后排查看</v>
      </c>
      <c r="F329" s="167" t="str">
        <v>Y</v>
      </c>
      <c r="G329" s="173" t="str">
        <v>OMSManager
public boolean showOmsDisplay(OMSAsyncCallRetListener callRet)</v>
      </c>
      <c r="I329" s="194"/>
      <c r="J329" s="174" t="str">
        <v>OMS摄像查看开关</v>
      </c>
      <c r="K329" s="139"/>
      <c r="M329" s="46" t="str">
        <v>已接入</v>
      </c>
      <c r="N329" s="16" t="str">
        <v>✅</v>
      </c>
      <c r="O329" s="11" t="str">
        <v>自测通过</v>
      </c>
      <c r="P329" s="14" t="str">
        <v>✅</v>
      </c>
      <c r="Q329" s="16" t="str">
        <v>✅</v>
      </c>
      <c r="R329" s="11" t="str">
        <v>❌</v>
      </c>
      <c r="S329" s="16" t="str">
        <v>✅</v>
      </c>
      <c r="T329" s="16" t="str">
        <v>✅</v>
      </c>
      <c r="V329" s="16" t="str">
        <v>✅</v>
      </c>
      <c r="X329" s="14" t="str">
        <v>block</v>
      </c>
      <c r="Z329" s="14" t="inlineStr">
        <is>
          <r>
            <t>@郑永超</t>
          </r>
        </is>
      </c>
    </row>
    <row r="330" spans="1:26">
      <c r="A330" s="30" t="str">
        <v>摄像头相关控制</v>
      </c>
      <c r="B330" s="168"/>
      <c r="C330" s="16" t="str">
        <v>控制 OMS - 关闭后排查看</v>
      </c>
      <c r="D330" s="16" t="str">
        <v>P1</v>
      </c>
      <c r="E330" s="16" t="str">
        <v>关闭后排查看</v>
      </c>
      <c r="F330" s="184" t="str">
        <v>Y</v>
      </c>
      <c r="G330" s="173" t="str">
        <v>OMSManager
public boolean hideOmsDisplay()</v>
      </c>
      <c r="I330" s="194"/>
      <c r="J330" s="175"/>
      <c r="K330" s="139"/>
      <c r="M330" s="110"/>
      <c r="N330" s="16" t="str">
        <v>✅</v>
      </c>
      <c r="O330" s="11" t="str">
        <v>自测通过</v>
      </c>
      <c r="P330" s="14" t="str">
        <v>✅</v>
      </c>
      <c r="Q330" s="16" t="str">
        <v>✅</v>
      </c>
      <c r="R330" s="11" t="str">
        <v>❌</v>
      </c>
      <c r="S330" s="16" t="str">
        <v>✅</v>
      </c>
      <c r="T330" s="16" t="str">
        <v>✅</v>
      </c>
      <c r="V330" s="16" t="str">
        <v>✅</v>
      </c>
      <c r="X330" s="14" t="str">
        <v>block</v>
      </c>
      <c r="Z330" s="14" t="inlineStr">
        <is>
          <r>
            <t>@郑永超</t>
          </r>
        </is>
      </c>
    </row>
    <row r="331" spans="1:26">
      <c r="A331" s="30" t="str">
        <v>摄像头相关控制</v>
      </c>
      <c r="B331" s="168"/>
      <c r="C331" s="179" t="str">
        <v>控制 OMS - 打开物品遗忘提醒</v>
      </c>
      <c r="D331" s="16" t="str">
        <v>P1</v>
      </c>
      <c r="E331" s="179" t="str">
        <v>打开物品遗留提醒</v>
      </c>
      <c r="F331" s="195" t="str">
        <v>N</v>
      </c>
      <c r="I331" s="194"/>
      <c r="J331" s="196" t="str">
        <v>遗留物品检测开关</v>
      </c>
      <c r="K331" s="139"/>
      <c r="M331" s="196" t="str">
        <v>走兜底</v>
      </c>
      <c r="N331" s="196" t="str">
        <v>✅</v>
      </c>
      <c r="Q331" s="196" t="str">
        <v>Block</v>
      </c>
      <c r="R331" s="196" t="str">
        <v>Block</v>
      </c>
      <c r="S331" s="196" t="str">
        <v>Block</v>
      </c>
      <c r="T331" s="196" t="str">
        <v>Block</v>
      </c>
      <c r="V331" s="196" t="str">
        <v>Block</v>
      </c>
      <c r="Z331" s="14" t="inlineStr">
        <is>
          <r>
            <t>@郑永超</t>
          </r>
        </is>
      </c>
    </row>
    <row r="332" spans="1:26">
      <c r="A332" s="30" t="str">
        <v>摄像头相关控制</v>
      </c>
      <c r="B332" s="168"/>
      <c r="C332" s="179" t="str">
        <v>控制 OMS - 关闭物品遗忘提醒</v>
      </c>
      <c r="D332" s="16" t="str">
        <v>P1</v>
      </c>
      <c r="E332" s="179" t="str">
        <v>关闭物品遗留提醒</v>
      </c>
      <c r="F332" s="195" t="str">
        <v>N</v>
      </c>
      <c r="I332" s="194"/>
      <c r="J332" s="196" t="str">
        <v>遗留物品检测开关</v>
      </c>
      <c r="K332" s="139"/>
      <c r="M332" s="196" t="str">
        <v>走兜底</v>
      </c>
      <c r="N332" s="196" t="str">
        <v>✅</v>
      </c>
      <c r="Q332" s="196" t="str">
        <v>Block</v>
      </c>
      <c r="R332" s="196" t="str">
        <v>Block</v>
      </c>
      <c r="S332" s="196" t="str">
        <v>Block</v>
      </c>
      <c r="T332" s="196" t="str">
        <v>Block</v>
      </c>
      <c r="V332" s="196" t="str">
        <v>Block</v>
      </c>
      <c r="Z332" s="14" t="inlineStr">
        <is>
          <r>
            <t>@郑永超</t>
          </r>
        </is>
      </c>
    </row>
    <row r="333" spans="1:26">
      <c r="A333" s="30" t="str">
        <v>摄像头相关控制</v>
      </c>
      <c r="B333" s="168"/>
      <c r="C333" s="16" t="str">
        <v>控制 OMS - 打开快捷手势操作</v>
      </c>
      <c r="D333" s="16" t="str">
        <v>P1</v>
      </c>
      <c r="E333" s="16" t="str">
        <v>打开快捷手势操作</v>
      </c>
      <c r="F333" s="167" t="str">
        <v>Y</v>
      </c>
      <c r="G333" s="173" t="str">
        <v>OMSManager
public boolean setOMSSwitchStatus(byte type, int enable)
type: OMSSwitchDefine.SW_QUICK_GESTURE_CTRL
enable: OMSSwitchDefine.State.SW_ON</v>
      </c>
      <c r="I333" s="194"/>
      <c r="J333" s="11" t="str">
        <v>手势识别开关</v>
      </c>
      <c r="K333" s="139"/>
      <c r="M333" s="11" t="str">
        <v>已接入</v>
      </c>
      <c r="N333" s="16" t="str">
        <v>✅</v>
      </c>
      <c r="O333" s="16" t="str">
        <v>自测通过</v>
      </c>
      <c r="P333" s="11" t="str">
        <v>block</v>
      </c>
      <c r="Q333" s="16" t="str">
        <v>✅</v>
      </c>
      <c r="R333" s="11" t="str">
        <v>❌</v>
      </c>
      <c r="S333" s="11" t="str">
        <v>❌</v>
      </c>
      <c r="T333" s="16" t="str">
        <v>✅</v>
      </c>
      <c r="V333" s="16" t="str">
        <v>✅</v>
      </c>
      <c r="X333" s="11" t="str">
        <v>block</v>
      </c>
      <c r="Z333" s="14" t="inlineStr">
        <is>
          <r>
            <t>@郑永超</t>
          </r>
        </is>
      </c>
    </row>
    <row r="334" spans="1:26">
      <c r="A334" s="30" t="str">
        <v>摄像头相关控制</v>
      </c>
      <c r="B334" s="168"/>
      <c r="C334" s="16" t="str">
        <v>控制 OMS - 关闭快捷手势操作</v>
      </c>
      <c r="D334" s="16" t="str">
        <v>P1</v>
      </c>
      <c r="E334" s="16" t="str">
        <v>关闭快捷手势操作</v>
      </c>
      <c r="F334" s="167" t="str">
        <v>Y</v>
      </c>
      <c r="G334" s="173" t="str">
        <v>OMSManager
public boolean setOMSSwitchStatus(byte type, int enable)
type: OMSSwitchDefine.SW_QUICK_GESTURE_CTRL
enable: OMSSwitchDefine.State.SW_OFF</v>
      </c>
      <c r="I334" s="194"/>
      <c r="J334" s="11" t="str">
        <v>手势识别开关</v>
      </c>
      <c r="K334" s="139"/>
      <c r="M334" s="11" t="str">
        <v>已接入</v>
      </c>
      <c r="N334" s="16" t="str">
        <v>✅</v>
      </c>
      <c r="O334" s="16" t="str">
        <v>自测通过</v>
      </c>
      <c r="P334" s="11" t="str">
        <v>block</v>
      </c>
      <c r="Q334" s="16" t="str">
        <v>✅</v>
      </c>
      <c r="R334" s="11" t="str">
        <v>❌</v>
      </c>
      <c r="S334" s="11" t="str">
        <v>❌</v>
      </c>
      <c r="T334" s="16" t="str">
        <v>✅</v>
      </c>
      <c r="V334" s="16" t="str">
        <v>✅</v>
      </c>
      <c r="X334" s="11" t="str">
        <v>block</v>
      </c>
      <c r="Z334" s="14" t="inlineStr">
        <is>
          <r>
            <t>@郑永超</t>
          </r>
        </is>
      </c>
    </row>
    <row r="335" spans="1:26">
      <c r="A335" s="30" t="str">
        <v>摄像头相关控制</v>
      </c>
      <c r="B335" s="168"/>
      <c r="C335" s="16" t="str">
        <v>控制 DMS - 打开 DMS 功能</v>
      </c>
      <c r="D335" s="16" t="str">
        <v>P0</v>
      </c>
      <c r="E335" s="16" t="str">
        <v>打开驾驶员智能感知</v>
      </c>
      <c r="F335" s="167" t="str">
        <v>Y</v>
      </c>
      <c r="I335" s="194"/>
      <c r="J335" s="214" t="inlineStr">
        <is>
          <r>
            <rPr>
              <strike/>
              <sz val="10"/>
              <rFont val="Arial"/>
            </rPr>
            <t xml:space="preserve">驾驶员状态监测开关
</t>
          </r>
          <r>
            <rPr>
              <sz val="10"/>
              <rFont val="Arial"/>
            </rPr>
            <t>驾驶员监测系统开关</t>
          </r>
        </is>
      </c>
      <c r="K335" s="139"/>
      <c r="M335" s="11" t="str">
        <v>已接入</v>
      </c>
      <c r="N335" s="16" t="str">
        <v>✅</v>
      </c>
      <c r="O335" s="11" t="str">
        <v>自测通过</v>
      </c>
      <c r="P335" s="14" t="str">
        <v>✅</v>
      </c>
      <c r="Q335" s="14" t="str">
        <v>✅</v>
      </c>
      <c r="R335" s="11" t="str">
        <v>❌</v>
      </c>
      <c r="S335" s="11" t="str">
        <v>❌</v>
      </c>
      <c r="T335" s="14" t="str">
        <v>✅</v>
      </c>
      <c r="V335" s="14" t="str">
        <v>✅</v>
      </c>
      <c r="X335" s="14" t="str">
        <v>✅</v>
      </c>
      <c r="Z335" s="14" t="inlineStr">
        <is>
          <r>
            <t>@郑永超</t>
          </r>
        </is>
      </c>
    </row>
    <row r="336" spans="1:26">
      <c r="A336" s="30" t="str">
        <v>摄像头相关控制</v>
      </c>
      <c r="B336" s="168"/>
      <c r="C336" s="16" t="str">
        <v>控制 DMS - 关闭 DMS 功能</v>
      </c>
      <c r="D336" s="16" t="str">
        <v>P0</v>
      </c>
      <c r="E336" s="16" t="str">
        <v>关闭驾驶员智能感知</v>
      </c>
      <c r="F336" s="167" t="str">
        <v>Y</v>
      </c>
      <c r="I336" s="194"/>
      <c r="J336" s="216"/>
      <c r="K336" s="139"/>
      <c r="M336" s="11" t="str">
        <v>已接入</v>
      </c>
      <c r="N336" s="16" t="str">
        <v>✅</v>
      </c>
      <c r="O336" s="11" t="str">
        <v>自测通过</v>
      </c>
      <c r="P336" s="14" t="str">
        <v>✅</v>
      </c>
      <c r="Q336" s="14" t="str">
        <v>✅</v>
      </c>
      <c r="R336" s="11" t="str">
        <v>❌</v>
      </c>
      <c r="S336" s="11" t="str">
        <v>✅</v>
      </c>
      <c r="T336" s="11" t="str">
        <v>✅</v>
      </c>
      <c r="V336" s="11" t="str">
        <v>✅</v>
      </c>
      <c r="X336" s="14" t="str">
        <v>✅</v>
      </c>
      <c r="Z336" s="14" t="inlineStr">
        <is>
          <r>
            <t>@郑永超</t>
          </r>
        </is>
      </c>
    </row>
    <row r="337" spans="1:26">
      <c r="A337" s="30" t="str">
        <v>摄像头相关控制</v>
      </c>
      <c r="B337" s="168"/>
      <c r="C337" s="16" t="str">
        <v>控制 DMS - 打开疲劳监测</v>
      </c>
      <c r="D337" s="16" t="str">
        <v>P0</v>
      </c>
      <c r="E337" s="16" t="str">
        <v>打开驾驶员疲劳监测</v>
      </c>
      <c r="F337" s="167" t="str">
        <v>Y</v>
      </c>
      <c r="G337" s="1"/>
      <c r="I337" s="194"/>
      <c r="J337" s="214" t="str">
        <v>驾驶员监测系统开关</v>
      </c>
      <c r="K337" s="139"/>
      <c r="M337" s="11" t="str">
        <v>已接入</v>
      </c>
      <c r="N337" s="16" t="str">
        <v>✅</v>
      </c>
      <c r="O337" s="16" t="str">
        <v>自测通过</v>
      </c>
      <c r="P337" s="14" t="str">
        <v>✅</v>
      </c>
      <c r="Q337" s="14" t="str">
        <v>✅</v>
      </c>
      <c r="R337" s="11" t="str">
        <v>❌</v>
      </c>
      <c r="S337" s="11" t="str">
        <v>❌</v>
      </c>
      <c r="T337" s="11" t="str">
        <v>❌</v>
      </c>
      <c r="V337" s="73" t="str">
        <v>✅</v>
      </c>
      <c r="X337" s="14" t="str">
        <v>✅</v>
      </c>
      <c r="Z337" s="14" t="inlineStr">
        <is>
          <r>
            <t>@郑永超</t>
          </r>
        </is>
      </c>
    </row>
    <row r="338" spans="1:26">
      <c r="A338" s="30" t="str">
        <v>摄像头相关控制</v>
      </c>
      <c r="B338" s="168"/>
      <c r="C338" s="16" t="str">
        <v>控制 DMS - 关闭疲劳监测</v>
      </c>
      <c r="D338" s="16" t="str">
        <v>P0</v>
      </c>
      <c r="E338" s="16" t="str">
        <v>关闭驾驶员疲劳监测</v>
      </c>
      <c r="F338" s="167" t="str">
        <v>Y</v>
      </c>
      <c r="G338" s="1"/>
      <c r="I338" s="194"/>
      <c r="J338" s="216"/>
      <c r="K338" s="139"/>
      <c r="M338" s="11" t="str">
        <v>已接入</v>
      </c>
      <c r="N338" s="16" t="str">
        <v>✅</v>
      </c>
      <c r="O338" s="16" t="str">
        <v>自测通过</v>
      </c>
      <c r="P338" s="14" t="str">
        <v>✅</v>
      </c>
      <c r="Q338" s="14" t="str">
        <v>✅</v>
      </c>
      <c r="R338" s="11" t="str">
        <v>❌</v>
      </c>
      <c r="S338" s="11" t="str">
        <v>❌</v>
      </c>
      <c r="T338" s="11" t="str">
        <v>❌</v>
      </c>
      <c r="V338" s="11" t="str">
        <v>❌</v>
      </c>
      <c r="W338" s="11" t="str">
        <v>❌</v>
      </c>
      <c r="X338" s="14" t="str">
        <v>✅</v>
      </c>
      <c r="Z338" s="14" t="inlineStr">
        <is>
          <r>
            <t>@郑永超</t>
          </r>
        </is>
      </c>
    </row>
    <row r="339" spans="1:26">
      <c r="A339" s="30" t="str">
        <v>摄像头相关控制</v>
      </c>
      <c r="B339" s="168"/>
      <c r="C339" s="171" t="str">
        <v>控制 DMS - 打开分心监测</v>
      </c>
      <c r="D339" s="16" t="str">
        <v>P0</v>
      </c>
      <c r="E339" s="171" t="str">
        <v>打开驾驶员分心监测</v>
      </c>
      <c r="F339" s="167" t="str">
        <v>Y</v>
      </c>
      <c r="I339" s="194"/>
      <c r="J339" s="239" t="str">
        <v>驾驶员监测系统开关</v>
      </c>
      <c r="K339" s="139"/>
      <c r="M339" s="46" t="str">
        <v>已接入</v>
      </c>
      <c r="N339" s="11" t="str">
        <v>✅</v>
      </c>
      <c r="O339" s="11" t="str">
        <v>自测通过</v>
      </c>
      <c r="P339" s="14" t="str">
        <v>✅</v>
      </c>
      <c r="Q339" s="14" t="str">
        <v>✅</v>
      </c>
      <c r="R339" s="11" t="str">
        <v>✅</v>
      </c>
      <c r="S339" s="240" t="str">
        <v>❌</v>
      </c>
      <c r="T339" s="240" t="str">
        <v>❌</v>
      </c>
      <c r="V339" s="73" t="str">
        <v>✅</v>
      </c>
      <c r="X339" s="14" t="str">
        <v>✅</v>
      </c>
      <c r="Z339" s="14" t="inlineStr">
        <is>
          <r>
            <t>@郑永超</t>
          </r>
        </is>
      </c>
    </row>
    <row r="340" spans="1:26">
      <c r="A340" s="30" t="str">
        <v>摄像头相关控制</v>
      </c>
      <c r="B340" s="168"/>
      <c r="C340" s="171" t="str">
        <v>控制 DMS - 关闭分心监测</v>
      </c>
      <c r="D340" s="16" t="str">
        <v>P0</v>
      </c>
      <c r="E340" s="171" t="str">
        <v>关闭驾驶员分心监测</v>
      </c>
      <c r="F340" s="167" t="str">
        <v>Y</v>
      </c>
      <c r="I340" s="194"/>
      <c r="J340" s="241"/>
      <c r="K340" s="139"/>
      <c r="M340" s="110"/>
      <c r="N340" s="11" t="str">
        <v>✅</v>
      </c>
      <c r="O340" s="11" t="str">
        <v>自测通过</v>
      </c>
      <c r="P340" s="14" t="str">
        <v>✅</v>
      </c>
      <c r="Q340" s="14" t="str">
        <v>✅</v>
      </c>
      <c r="R340" s="11" t="str">
        <v>✅</v>
      </c>
      <c r="S340" s="240" t="str">
        <v>❌</v>
      </c>
      <c r="T340" s="240" t="str">
        <v>❌</v>
      </c>
      <c r="V340" s="11" t="str">
        <v>❌</v>
      </c>
      <c r="W340" s="11" t="str">
        <v>❌</v>
      </c>
      <c r="X340" s="14" t="str">
        <v>✅</v>
      </c>
      <c r="Z340" s="14" t="inlineStr">
        <is>
          <r>
            <t>@郑永超</t>
          </r>
        </is>
      </c>
    </row>
    <row r="341" spans="1:26">
      <c r="A341" s="30" t="str">
        <v>摄像头相关控制</v>
      </c>
      <c r="B341" s="168"/>
      <c r="C341" s="16" t="str">
        <v>控制哨兵模式 - 打开哨兵模式</v>
      </c>
      <c r="D341" s="16" t="str">
        <v>P0</v>
      </c>
      <c r="E341" s="16" t="str">
        <v>打开哨兵模式</v>
      </c>
      <c r="F341" s="167" t="str">
        <v>Y</v>
      </c>
      <c r="G341" s="173" t="str">
        <v>SentryModeManager
public void setSwitch(int type, boolean isOn)</v>
      </c>
      <c r="I341" s="194"/>
      <c r="J341" s="11" t="str">
        <v>哨兵模式开关</v>
      </c>
      <c r="K341" s="139"/>
      <c r="M341" s="11" t="str">
        <v>已接入</v>
      </c>
      <c r="N341" s="16" t="str">
        <v>✅</v>
      </c>
      <c r="O341" s="16" t="str">
        <v>自测通过</v>
      </c>
      <c r="P341" s="14" t="str">
        <v>✅</v>
      </c>
      <c r="Q341" s="14" t="str">
        <v>✅</v>
      </c>
      <c r="R341" s="11" t="str">
        <v>❌</v>
      </c>
      <c r="S341" s="11" t="str">
        <v>✅</v>
      </c>
      <c r="T341" s="11" t="str">
        <v>✅</v>
      </c>
      <c r="V341" s="11" t="str">
        <v>✅</v>
      </c>
      <c r="X341" s="14" t="str">
        <v>✅</v>
      </c>
      <c r="Z341" s="14" t="inlineStr">
        <is>
          <r>
            <t>@郑永超</t>
          </r>
        </is>
      </c>
    </row>
    <row r="342" spans="1:26">
      <c r="A342" s="30" t="str">
        <v>摄像头相关控制</v>
      </c>
      <c r="B342" s="30"/>
      <c r="C342" s="16" t="str">
        <v>控制哨兵模式 - 关闭哨兵模式</v>
      </c>
      <c r="D342" s="16" t="str">
        <v>P0</v>
      </c>
      <c r="E342" s="16" t="str">
        <v>关闭哨兵模式</v>
      </c>
      <c r="F342" s="167" t="str">
        <v>Y</v>
      </c>
      <c r="G342" s="173" t="str">
        <v>SentryModeManager
public void setSwitch(int type, boolean isOn)</v>
      </c>
      <c r="I342" s="190"/>
      <c r="J342" s="11" t="str">
        <v>哨兵模式开关</v>
      </c>
      <c r="K342" s="156"/>
      <c r="M342" s="11" t="str">
        <v>已接入</v>
      </c>
      <c r="N342" s="16" t="str">
        <v>✅</v>
      </c>
      <c r="O342" s="16" t="str">
        <v>自测通过</v>
      </c>
      <c r="P342" s="14" t="str">
        <v>✅</v>
      </c>
      <c r="Q342" s="14" t="str">
        <v>✅</v>
      </c>
      <c r="R342" s="11" t="str">
        <v>❌</v>
      </c>
      <c r="S342" s="11" t="str">
        <v>✅</v>
      </c>
      <c r="T342" s="11" t="str">
        <v>✅</v>
      </c>
      <c r="V342" s="11" t="str">
        <v>✅</v>
      </c>
      <c r="X342" s="14" t="str">
        <v>✅</v>
      </c>
      <c r="Z342" s="14" t="inlineStr">
        <is>
          <r>
            <t>@郑永超</t>
          </r>
        </is>
      </c>
    </row>
    <row r="343" spans="1:26">
      <c r="A343" s="30" t="str">
        <v>维保控制</v>
      </c>
      <c r="B343" s="166" t="str">
        <v>19维保控制</v>
      </c>
      <c r="C343" s="16" t="str">
        <v>查询保养状态</v>
      </c>
      <c r="D343" s="16" t="str">
        <v>P1</v>
      </c>
      <c r="E343" s="16" t="str">
        <v>查一下车辆的保养状态</v>
      </c>
      <c r="F343" s="181" t="str">
        <v>Y</v>
      </c>
      <c r="G343" s="205" t="str">
        <v>参考IP5PM的IP5PM-105，无法提供维保里程等信息，原逻辑修改为帮用户打开维保页面
adb shell am start -a com.zone.intent.tab.software -n  com.zone.hmi.settings/com.zone.hmi.settings.ui.MainFragmentActivity
DataManager.getIntByGlobal
key：Global_Maintenance_Info                String        //维保信息
value:        {
                        "maintenance_mileage": 10000,                //常规里程剩余                里程单位是km
                        "maintenance_interval": 365,                //常规时间剩余                时间单位是天
                        "threshold_mileage": 1000,                        //常规提醒阈值里程
                        "threshold_interval": 30,                        //常规提醒阈值时间
                        "hev_maintenance_mileage": 10000,        //混动剩余里程
                        "hev_maintenance_interval": 365,        //混动剩余时间
                        "hev_threshold_mileage": 1000,                //混动提醒阈值里程
                        "hev_threshold_interval": 30,                //混动提醒阈值时间
                }
key: Global_Maint_Odo                Int                //上次复位常规里程        里程单位是km
key: Global_Maint_Date                Long        //上次复位常规时间        时间单位是毫秒级时间戳
key；Global_HevOdo                        Int                //上次复位混动里程
key: Global_Maint_HevDate        Long        //上次复位混动时间</v>
      </c>
      <c r="I343" s="46" t="str">
        <v>不涉及</v>
      </c>
      <c r="J343" s="46" t="str">
        <v>端状态</v>
      </c>
      <c r="K343" s="61" t="str">
        <v>【19】【维保】Vehicle_Platform1.0_IS4PR_Yu_Yin_Kong_Zhi_IS4PR_Yu_Yin_Kong_Zhi_Wei_Bao.pdf</v>
      </c>
      <c r="N343" s="16" t="str">
        <v>✅</v>
      </c>
      <c r="O343" s="16" t="str">
        <v>✅</v>
      </c>
      <c r="Q343" s="11" t="str">
        <v>✅</v>
      </c>
      <c r="X343" s="11" t="str">
        <v>✅</v>
      </c>
      <c r="Z343" s="11" t="inlineStr">
        <is>
          <r>
            <t>@谢军军</t>
          </r>
        </is>
      </c>
    </row>
    <row r="344" spans="1:26">
      <c r="A344" s="30" t="str">
        <v>维保控制</v>
      </c>
      <c r="B344" s="30"/>
      <c r="C344" s="16" t="str">
        <v>查询上次保养时间</v>
      </c>
      <c r="D344" s="16" t="str">
        <v>P1</v>
      </c>
      <c r="E344" s="16" t="str">
        <v>查一下上次保养时间</v>
      </c>
      <c r="F344" s="181" t="str">
        <v>Y</v>
      </c>
      <c r="G344" s="208"/>
      <c r="I344" s="110"/>
      <c r="J344" s="110"/>
      <c r="K344" s="156"/>
      <c r="N344" s="16" t="str">
        <v>✅</v>
      </c>
      <c r="O344" s="16" t="str">
        <v>✅</v>
      </c>
      <c r="Q344" s="11" t="str">
        <v>✅</v>
      </c>
      <c r="X344" s="11" t="str">
        <v>✅</v>
      </c>
      <c r="Z344" s="11" t="inlineStr">
        <is>
          <r>
            <t>@谢军军</t>
          </r>
        </is>
      </c>
    </row>
    <row r="345" spans="1:26">
      <c r="A345" s="30" t="str">
        <v>制动控制</v>
      </c>
      <c r="B345" s="166" t="str">
        <v>20制动控制</v>
      </c>
      <c r="C345" s="16" t="str">
        <v>自动驻车开关 - 打开</v>
      </c>
      <c r="D345" s="16" t="str">
        <v>P0</v>
      </c>
      <c r="E345" s="16" t="str">
        <v>打开自动驻车</v>
      </c>
      <c r="F345" s="167" t="str">
        <v>Y</v>
      </c>
      <c r="H345" s="11" t="str">
        <v>✅</v>
      </c>
      <c r="I345" s="122" t="str">
        <v>❌
PPV1实车制动控制HMI设置项不生效。</v>
      </c>
      <c r="J345" s="11" t="str">
        <v>自动驻车开关</v>
      </c>
      <c r="K345" s="61" t="str">
        <v>20【制动控制】Vehicle_Platform1.0_IS4PR_Yu_Yin_Kong_Zhi_IS4PR_Zhi_Dong_Kong_Zhi__PRD.pdf</v>
      </c>
      <c r="M345" s="11" t="str">
        <v>int setAutoHoldMode(@AutoHoldMdSts int status)对应参数值1</v>
      </c>
      <c r="N345" s="16" t="str">
        <v>✅</v>
      </c>
      <c r="O345" s="16" t="str">
        <v>✅</v>
      </c>
      <c r="Q345" s="11" t="str">
        <v>✅</v>
      </c>
      <c r="S345" s="11" t="str">
        <v>❌</v>
      </c>
      <c r="V345" s="11" t="str">
        <v>❌</v>
      </c>
      <c r="W345" s="11" t="str">
        <v>✅</v>
      </c>
      <c r="X345" s="11" t="str">
        <v>✅</v>
      </c>
      <c r="Z345" s="11" t="inlineStr">
        <is>
          <r>
            <t>@谢军军</t>
          </r>
        </is>
      </c>
    </row>
    <row r="346" spans="1:26">
      <c r="A346" s="30" t="str">
        <v>制动控制</v>
      </c>
      <c r="B346" s="168"/>
      <c r="C346" s="16" t="str">
        <v>自动驻车开关 - 关闭</v>
      </c>
      <c r="D346" s="16" t="str">
        <v>P0</v>
      </c>
      <c r="E346" s="16" t="str">
        <v>关闭自动驻车</v>
      </c>
      <c r="F346" s="167" t="str">
        <v>Y</v>
      </c>
      <c r="H346" s="11" t="str">
        <v>✅</v>
      </c>
      <c r="I346" s="194"/>
      <c r="J346" s="11" t="str">
        <v>自动驻车开关</v>
      </c>
      <c r="K346" s="139"/>
      <c r="M346" s="11" t="str">
        <v>int setAutoHoldMode(@AutoHoldMdSts int status)对应参数值0</v>
      </c>
      <c r="N346" s="16" t="str">
        <v>✅</v>
      </c>
      <c r="O346" s="16" t="str">
        <v>✅</v>
      </c>
      <c r="Q346" s="11" t="str">
        <v>✅</v>
      </c>
      <c r="R346" s="11" t="str">
        <v>❌</v>
      </c>
      <c r="S346" s="11" t="str">
        <v>❌</v>
      </c>
      <c r="T346" s="11" t="str">
        <v>❌</v>
      </c>
      <c r="V346" s="73" t="str">
        <v>✅</v>
      </c>
      <c r="X346" s="11" t="str">
        <v>✅</v>
      </c>
      <c r="Z346" s="11" t="inlineStr">
        <is>
          <r>
            <t>@谢军军</t>
          </r>
        </is>
      </c>
    </row>
    <row r="347" spans="1:26">
      <c r="A347" s="30" t="str">
        <v>制动控制</v>
      </c>
      <c r="B347" s="168"/>
      <c r="C347" s="16" t="str">
        <v>电子稳定系统 - 打开</v>
      </c>
      <c r="D347" s="16" t="str">
        <v>P1</v>
      </c>
      <c r="E347" s="16" t="str">
        <v>打开电子稳定控制系统</v>
      </c>
      <c r="F347" s="167" t="str">
        <v>Y</v>
      </c>
      <c r="H347" s="11" t="str">
        <v>✅</v>
      </c>
      <c r="I347" s="194"/>
      <c r="J347" s="11" t="str">
        <v>电子稳定系统开关</v>
      </c>
      <c r="K347" s="139"/>
      <c r="M347" s="11" t="str">
        <v>setEspStatus(SwitchStatus status)1</v>
      </c>
      <c r="N347" s="16" t="str">
        <v>✅</v>
      </c>
      <c r="O347" s="16" t="str">
        <v>✅</v>
      </c>
      <c r="Q347" s="11" t="str">
        <v>✅</v>
      </c>
      <c r="R347" s="16" t="str">
        <v>✅</v>
      </c>
      <c r="S347" s="11" t="str">
        <v>❌</v>
      </c>
      <c r="T347" s="16" t="str">
        <v>✅</v>
      </c>
      <c r="V347" s="16" t="str">
        <v>✅</v>
      </c>
      <c r="X347" s="11" t="str">
        <v>✅</v>
      </c>
      <c r="Z347" s="11" t="inlineStr">
        <is>
          <r>
            <t>@谢军军</t>
          </r>
        </is>
      </c>
    </row>
    <row r="348" spans="1:26">
      <c r="A348" s="30" t="str">
        <v>制动控制</v>
      </c>
      <c r="B348" s="168"/>
      <c r="C348" s="16" t="str">
        <v>电子稳定系统 - 关闭</v>
      </c>
      <c r="D348" s="16" t="str">
        <v>P1</v>
      </c>
      <c r="E348" s="16" t="str">
        <v>关闭电子稳定控制系统</v>
      </c>
      <c r="F348" s="167" t="str">
        <v>Y</v>
      </c>
      <c r="H348" s="11" t="str">
        <v>✅</v>
      </c>
      <c r="I348" s="194"/>
      <c r="J348" s="11" t="str">
        <v>电子稳定系统开关</v>
      </c>
      <c r="K348" s="139"/>
      <c r="M348" s="11" t="str">
        <v>setEspStatus(SwitchStatus status)0</v>
      </c>
      <c r="N348" s="16" t="str">
        <v>✅</v>
      </c>
      <c r="O348" s="16" t="str">
        <v>✅</v>
      </c>
      <c r="Q348" s="11" t="str">
        <v>✅</v>
      </c>
      <c r="R348" s="16" t="str">
        <v>✅</v>
      </c>
      <c r="S348" s="11" t="str">
        <v>❌</v>
      </c>
      <c r="T348" s="16" t="str">
        <v>✅</v>
      </c>
      <c r="V348" s="16" t="str">
        <v>✅</v>
      </c>
      <c r="X348" s="11" t="str">
        <v>✅</v>
      </c>
      <c r="Z348" s="11" t="inlineStr">
        <is>
          <r>
            <t>@谢军军</t>
          </r>
        </is>
      </c>
    </row>
    <row r="349" spans="1:26">
      <c r="A349" s="30" t="str">
        <v>制动控制</v>
      </c>
      <c r="B349" s="168"/>
      <c r="C349" s="16" t="str">
        <v>陡坡缓降 - 打开</v>
      </c>
      <c r="D349" s="16" t="str">
        <v>P1</v>
      </c>
      <c r="E349" s="16" t="str">
        <v>打开陡坡缓降</v>
      </c>
      <c r="F349" s="167" t="str">
        <v>Y</v>
      </c>
      <c r="H349" s="11" t="str">
        <v>✅</v>
      </c>
      <c r="I349" s="194"/>
      <c r="J349" s="24" t="str">
        <v>陡坡缓降开关</v>
      </c>
      <c r="K349" s="139"/>
      <c r="M349" s="11" t="str">
        <v>int setHdcStatus(SwitchStatus status)status对应参数值1</v>
      </c>
      <c r="N349" s="16" t="str">
        <v>✅</v>
      </c>
      <c r="O349" s="16" t="str">
        <v>✅</v>
      </c>
      <c r="Q349" s="11" t="str">
        <v>✅</v>
      </c>
      <c r="R349" s="16" t="str">
        <v>✅</v>
      </c>
      <c r="S349" s="16" t="str">
        <v>✅</v>
      </c>
      <c r="T349" s="16" t="str">
        <v>✅</v>
      </c>
      <c r="V349" s="16" t="str">
        <v>✅</v>
      </c>
      <c r="X349" s="11" t="str">
        <v>✅</v>
      </c>
      <c r="Z349" s="11" t="inlineStr">
        <is>
          <r>
            <t>@谢军军</t>
          </r>
        </is>
      </c>
    </row>
    <row r="350" spans="1:26">
      <c r="A350" s="30" t="str">
        <v>制动控制</v>
      </c>
      <c r="B350" s="168"/>
      <c r="C350" s="16" t="str">
        <v>陡坡缓降 - 关闭</v>
      </c>
      <c r="D350" s="16" t="str">
        <v>P1</v>
      </c>
      <c r="E350" s="16" t="str">
        <v>关闭陡坡缓降</v>
      </c>
      <c r="F350" s="167" t="str">
        <v>Y</v>
      </c>
      <c r="H350" s="11" t="str">
        <v>✅</v>
      </c>
      <c r="I350" s="194"/>
      <c r="J350" s="24" t="str">
        <v>陡坡缓降开关</v>
      </c>
      <c r="K350" s="139"/>
      <c r="M350" s="11" t="str">
        <v>int setHdcStatus(SwitchStatus status)对应参数值0</v>
      </c>
      <c r="N350" s="16" t="str">
        <v>✅</v>
      </c>
      <c r="O350" s="16" t="str">
        <v>✅</v>
      </c>
      <c r="Q350" s="11" t="str">
        <v>✅</v>
      </c>
      <c r="R350" s="16" t="str">
        <v>✅</v>
      </c>
      <c r="S350" s="16" t="str">
        <v>✅</v>
      </c>
      <c r="T350" s="16" t="str">
        <v>✅</v>
      </c>
      <c r="V350" s="16" t="str">
        <v>✅</v>
      </c>
      <c r="X350" s="11" t="str">
        <v>✅</v>
      </c>
      <c r="Z350" s="11" t="inlineStr">
        <is>
          <r>
            <t>@谢军军</t>
          </r>
        </is>
      </c>
    </row>
    <row r="351" spans="1:26">
      <c r="A351" s="30" t="str">
        <v>制动控制</v>
      </c>
      <c r="B351" s="168"/>
      <c r="C351" s="16" t="str">
        <v>舒适制动 - 打开</v>
      </c>
      <c r="D351" s="16" t="str">
        <v>P1</v>
      </c>
      <c r="E351" s="16" t="str">
        <v>打开舒适制动</v>
      </c>
      <c r="F351" s="167" t="str">
        <v>Y</v>
      </c>
      <c r="H351" s="11" t="str">
        <v>✅</v>
      </c>
      <c r="I351" s="194"/>
      <c r="J351" s="12" t="str">
        <v>舒适停车开关</v>
      </c>
      <c r="K351" s="139"/>
      <c r="M351" s="11" t="str">
        <v>setSoftStopStatus(SwitchStatus status)1</v>
      </c>
      <c r="N351" s="16" t="str">
        <v>✅</v>
      </c>
      <c r="O351" s="16" t="str">
        <v>✅</v>
      </c>
      <c r="Q351" s="11" t="str">
        <v>✅</v>
      </c>
      <c r="R351" s="16" t="str">
        <v>✅</v>
      </c>
      <c r="S351" s="16" t="str">
        <v>✅</v>
      </c>
      <c r="T351" s="16" t="str">
        <v>✅</v>
      </c>
      <c r="V351" s="16" t="str">
        <v>✅</v>
      </c>
      <c r="X351" s="11" t="str">
        <v>✅</v>
      </c>
      <c r="Z351" s="11" t="inlineStr">
        <is>
          <r>
            <t>@谢军军</t>
          </r>
        </is>
      </c>
    </row>
    <row r="352" spans="1:26">
      <c r="A352" s="30" t="str">
        <v>制动控制</v>
      </c>
      <c r="B352" s="30"/>
      <c r="C352" s="16" t="str">
        <v>舒适制动 - 关闭</v>
      </c>
      <c r="D352" s="16" t="str">
        <v>P1</v>
      </c>
      <c r="E352" s="16" t="str">
        <v>关闭舒适制动</v>
      </c>
      <c r="F352" s="167" t="str">
        <v>Y</v>
      </c>
      <c r="H352" s="11" t="str">
        <v>✅</v>
      </c>
      <c r="I352" s="190"/>
      <c r="J352" s="12" t="str">
        <v>舒适停车开关</v>
      </c>
      <c r="K352" s="156"/>
      <c r="M352" s="11" t="str">
        <v>setSoftStopStatus(SwitchStatus status)0</v>
      </c>
      <c r="N352" s="16" t="str">
        <v>✅</v>
      </c>
      <c r="O352" s="16" t="str">
        <v>✅</v>
      </c>
      <c r="Q352" s="11" t="str">
        <v>✅</v>
      </c>
      <c r="R352" s="16" t="str">
        <v>✅</v>
      </c>
      <c r="S352" s="16" t="str">
        <v>✅</v>
      </c>
      <c r="T352" s="16" t="str">
        <v>✅</v>
      </c>
      <c r="V352" s="16" t="str">
        <v>✅</v>
      </c>
      <c r="X352" s="11" t="str">
        <v>✅</v>
      </c>
      <c r="Z352" s="11" t="inlineStr">
        <is>
          <r>
            <t>@谢军军</t>
          </r>
        </is>
      </c>
    </row>
    <row r="353" spans="1:26">
      <c r="A353" s="30" t="str">
        <v>仪表及其他</v>
      </c>
      <c r="B353" s="166" t="str">
        <v>21仪表及其他</v>
      </c>
      <c r="C353" s="16" t="str">
        <v>查询续驶里程</v>
      </c>
      <c r="D353" s="16" t="str">
        <v>P0</v>
      </c>
      <c r="E353" s="16" t="str">
        <v>剩余续航里程是多少</v>
      </c>
      <c r="F353" s="167" t="str">
        <v>Y</v>
      </c>
      <c r="I353" s="46" t="str">
        <v>不涉及</v>
      </c>
      <c r="J353" s="11" t="str">
        <v>端状态 尹泽陆</v>
      </c>
      <c r="K353" s="61" t="str">
        <v>【仪表及其他】Vehicle_Platform1.0_IS4PR_Yu_Yin_Kong_Zhi_Yu_Yin_Kong_Zhi_Yi_Biao_Ji_Qi_Ta_Fu_Zhu_Xi_Tong__PRD.pdf</v>
      </c>
      <c r="N353" s="240" t="str">
        <v>✅</v>
      </c>
      <c r="O353" s="11" t="str">
        <v>上报的内容剩余的电量、剩余的油量、剩余的续航里程</v>
      </c>
      <c r="Q353" s="11" t="str">
        <v>✅</v>
      </c>
      <c r="R353" s="11" t="str">
        <v>❌</v>
      </c>
      <c r="S353" s="11" t="str">
        <v>❌</v>
      </c>
      <c r="T353" s="11" t="str">
        <v>❌</v>
      </c>
      <c r="V353" s="73" t="str">
        <v>✅</v>
      </c>
      <c r="X353" s="11" t="str">
        <v>✅</v>
      </c>
      <c r="Z353" s="11" t="inlineStr">
        <is>
          <r>
            <t>@谢军军</t>
          </r>
        </is>
      </c>
    </row>
    <row r="354" spans="1:26">
      <c r="A354" s="30" t="str">
        <v>仪表及其他</v>
      </c>
      <c r="B354" s="168"/>
      <c r="C354" s="16" t="str">
        <v>查询总里程</v>
      </c>
      <c r="D354" s="16" t="str">
        <v>P0</v>
      </c>
      <c r="E354" s="81" t="str">
        <v>总里程是多少</v>
      </c>
      <c r="F354" s="167" t="str">
        <v>Y</v>
      </c>
      <c r="I354" s="60"/>
      <c r="J354" s="11" t="str">
        <v>端状态 田高琳</v>
      </c>
      <c r="K354" s="139"/>
      <c r="N354" s="240" t="str">
        <v>✅</v>
      </c>
      <c r="O354" s="11" t="str">
        <v>里程类型、里程数</v>
      </c>
      <c r="Q354" s="11" t="str">
        <v>✅</v>
      </c>
      <c r="R354" s="11" t="str">
        <v>❌</v>
      </c>
      <c r="S354" s="11" t="str">
        <v>❌</v>
      </c>
      <c r="T354" s="11" t="str">
        <v>❌</v>
      </c>
      <c r="V354" s="73" t="str">
        <v>✅</v>
      </c>
      <c r="X354" s="11" t="str">
        <v>✅</v>
      </c>
      <c r="Z354" s="11" t="inlineStr">
        <is>
          <r>
            <t>@谢军军</t>
          </r>
        </is>
      </c>
    </row>
    <row r="355" spans="1:26">
      <c r="A355" s="30" t="str">
        <v>仪表及其他</v>
      </c>
      <c r="B355" s="168"/>
      <c r="C355" s="16" t="str">
        <v>查询剩余电量</v>
      </c>
      <c r="D355" s="16" t="str">
        <v>P0</v>
      </c>
      <c r="E355" s="16" t="str">
        <v>剩余电量是多少</v>
      </c>
      <c r="F355" s="167" t="str">
        <v>Y</v>
      </c>
      <c r="G355" s="181" t="str">
        <v>  /**
     * 电池电量百分比通知
     *
     * @param result &lt;br&gt;
     * {@link FloatResult#getResult} 0.0-100.0% &lt;br&gt;
     * {@link IntResult#getCode()} {@link ResultCode}
     */
    default void onBmsPackSocPercentChanged(@NonNull FloatResult result) {
    }</v>
      </c>
      <c r="I355" s="60"/>
      <c r="J355" s="11" t="str">
        <v>端状态</v>
      </c>
      <c r="K355" s="139"/>
      <c r="N355" s="240" t="str">
        <v>✅</v>
      </c>
      <c r="O355" s="11" t="str">
        <v>同1</v>
      </c>
      <c r="Q355" s="11" t="str">
        <v>✅</v>
      </c>
      <c r="R355" s="11" t="str">
        <v>❌</v>
      </c>
      <c r="S355" s="11" t="str">
        <v>✅</v>
      </c>
      <c r="T355" s="11" t="str">
        <v>✅</v>
      </c>
      <c r="V355" s="11" t="str">
        <v>✅</v>
      </c>
      <c r="X355" s="11" t="str">
        <v>✅</v>
      </c>
      <c r="Z355" s="11" t="inlineStr">
        <is>
          <r>
            <t>@谢军军</t>
          </r>
        </is>
      </c>
    </row>
    <row r="356" spans="1:29">
      <c r="A356" s="30" t="str">
        <v>仪表及其他</v>
      </c>
      <c r="B356" s="168"/>
      <c r="C356" s="16" t="str">
        <v>查询剩余油量 (混动)</v>
      </c>
      <c r="D356" s="16" t="str">
        <v>P0</v>
      </c>
      <c r="E356" s="16" t="str">
        <v>剩余油量是多少</v>
      </c>
      <c r="F356" s="167" t="str">
        <v>Y</v>
      </c>
      <c r="G356" s="181" t="str">
        <v>    /**
     * 油量变化通知
     *
     * @param result &lt;br&gt;
     * {@link IntResult#getCode()} {@link ResultCode}
     */
    default void onClstrDspdFuelChanged(IntResult result) {
        // TODO: 21-4-1  logic will be implemented by client.
    }</v>
      </c>
      <c r="I356" s="60"/>
      <c r="J356" s="11" t="str">
        <v>端状态</v>
      </c>
      <c r="K356" s="139"/>
      <c r="N356" s="240" t="str">
        <v>✅</v>
      </c>
      <c r="O356" s="11" t="str">
        <v>同1</v>
      </c>
      <c r="Q356" s="11" t="str">
        <v>❌</v>
      </c>
      <c r="R356" s="11" t="str">
        <v>✅</v>
      </c>
      <c r="S356" s="11" t="str">
        <v>❌</v>
      </c>
      <c r="T356" s="11" t="str">
        <v>✅</v>
      </c>
      <c r="V356" s="11" t="str">
        <v>✅</v>
      </c>
      <c r="X356" s="11" t="str">
        <v>❌</v>
      </c>
      <c r="Z356" s="11" t="inlineStr">
        <is>
          <r>
            <t>@谢军军</t>
          </r>
        </is>
      </c>
      <c r="AC356" s="11" t="str">
        <v>剩余油量多少 20260716161707F1CEEBE1A718DDA5C5DB</v>
      </c>
    </row>
    <row r="357" spans="1:26">
      <c r="A357" s="30" t="str">
        <v>仪表及其他</v>
      </c>
      <c r="B357" s="168"/>
      <c r="C357" s="16" t="str">
        <v>查询胎压</v>
      </c>
      <c r="D357" s="16" t="str">
        <v>P0</v>
      </c>
      <c r="E357" s="16" t="str">
        <v>胎压是多少</v>
      </c>
      <c r="F357" s="167" t="str">
        <v>Y</v>
      </c>
      <c r="I357" s="60"/>
      <c r="J357" s="11" t="str">
        <v>端状态</v>
      </c>
      <c r="K357" s="139"/>
      <c r="N357" s="240" t="str">
        <v>✅</v>
      </c>
      <c r="O357" s="11" t="inlineStr">
        <is>
          <r>
            <rPr>
              <sz val="10"/>
              <rFont val="Arial"/>
            </rPr>
            <t>胎压、</t>
          </r>
          <r>
            <rPr>
              <sz val="10"/>
              <color rgb="FFF54A45"/>
              <rFont val="Arial"/>
            </rPr>
            <t>胎温</t>
          </r>
          <r>
            <rPr>
              <sz val="10"/>
              <rFont val="Arial"/>
            </rPr>
            <t>、位置</t>
          </r>
        </is>
      </c>
      <c r="Q357" s="16" t="str">
        <v>✅</v>
      </c>
      <c r="R357" s="11" t="str">
        <v>✅</v>
      </c>
      <c r="S357" s="16" t="str">
        <v>✅</v>
      </c>
      <c r="T357" s="16" t="str">
        <v>✅</v>
      </c>
      <c r="V357" s="16" t="str">
        <v>✅</v>
      </c>
      <c r="X357" s="16" t="str">
        <v>✅</v>
      </c>
      <c r="Z357" s="11" t="inlineStr">
        <is>
          <r>
            <t>@谢军军</t>
          </r>
        </is>
      </c>
    </row>
    <row r="358" spans="1:26">
      <c r="A358" s="30" t="str">
        <v>仪表及其他</v>
      </c>
      <c r="B358" s="168"/>
      <c r="C358" s="16" t="str">
        <v>查询车门锁状态</v>
      </c>
      <c r="D358" s="16" t="str">
        <v>P0</v>
      </c>
      <c r="E358" s="81" t="str">
        <v>车门锁开着吗</v>
      </c>
      <c r="F358" s="167" t="str">
        <v>Y</v>
      </c>
      <c r="I358" s="60"/>
      <c r="J358" s="11" t="str">
        <v>端状态</v>
      </c>
      <c r="K358" s="139"/>
      <c r="N358" s="240" t="str">
        <v>✅</v>
      </c>
      <c r="O358" s="11" t="str">
        <v>开关、位置</v>
      </c>
      <c r="Q358" s="16" t="str">
        <v>✅</v>
      </c>
      <c r="R358" s="11" t="str">
        <v>✅</v>
      </c>
      <c r="S358" s="11" t="str">
        <v>❌</v>
      </c>
      <c r="T358" s="11" t="str">
        <v>❌</v>
      </c>
      <c r="V358" s="73" t="str">
        <v>✅</v>
      </c>
      <c r="X358" s="16" t="str">
        <v>✅</v>
      </c>
      <c r="Z358" s="11" t="inlineStr">
        <is>
          <r>
            <t>@谢军军</t>
          </r>
        </is>
      </c>
    </row>
    <row r="359" spans="1:26">
      <c r="A359" s="30" t="str">
        <v>仪表及其他</v>
      </c>
      <c r="B359" s="168"/>
      <c r="C359" s="16" t="str">
        <v>查询车窗锁状态</v>
      </c>
      <c r="D359" s="16" t="str">
        <v>P0</v>
      </c>
      <c r="E359" s="81" t="str">
        <v>查询车窗锁状态</v>
      </c>
      <c r="F359" s="167" t="str">
        <v>Y</v>
      </c>
      <c r="I359" s="60"/>
      <c r="J359" s="11" t="str">
        <v>端状态</v>
      </c>
      <c r="K359" s="139"/>
      <c r="N359" s="240" t="str">
        <v>✅</v>
      </c>
      <c r="O359" s="11" t="inlineStr">
        <is>
          <r>
            <rPr>
              <sz val="10"/>
              <rFont val="Arial"/>
            </rPr>
            <t>开关、开启程度、</t>
          </r>
          <r>
            <rPr>
              <sz val="10"/>
              <color rgb="FFF54A45"/>
              <rFont val="Arial"/>
            </rPr>
            <t>透明度</t>
          </r>
          <r>
            <rPr>
              <sz val="10"/>
              <rFont val="Arial"/>
            </rPr>
            <t>、位置</t>
          </r>
        </is>
      </c>
      <c r="Q359" s="16" t="str">
        <v>✅</v>
      </c>
      <c r="R359" s="11" t="str">
        <v>❌</v>
      </c>
      <c r="S359" s="16" t="str">
        <v>✅</v>
      </c>
      <c r="T359" s="16" t="str">
        <v>✅</v>
      </c>
      <c r="V359" s="16" t="str">
        <v>✅</v>
      </c>
      <c r="X359" s="16" t="str">
        <v>✅</v>
      </c>
      <c r="Z359" s="11" t="inlineStr">
        <is>
          <r>
            <t>@谢军军</t>
          </r>
        </is>
      </c>
    </row>
    <row r="360" spans="1:26">
      <c r="A360" s="30" t="str">
        <v>仪表及其他</v>
      </c>
      <c r="B360" s="168"/>
      <c r="C360" s="16" t="str">
        <v>查询当前车速</v>
      </c>
      <c r="D360" s="16" t="str">
        <v>P0</v>
      </c>
      <c r="E360" s="16" t="str">
        <v>车辆速度是多少</v>
      </c>
      <c r="F360" s="167" t="str">
        <v>Y</v>
      </c>
      <c r="I360" s="60"/>
      <c r="J360" s="11" t="str">
        <v>端状态</v>
      </c>
      <c r="K360" s="139"/>
      <c r="N360" s="240" t="str">
        <v>✅</v>
      </c>
      <c r="O360" s="11" t="str">
        <v>速度</v>
      </c>
      <c r="Q360" s="16" t="str">
        <v>✅</v>
      </c>
      <c r="R360" s="240" t="str">
        <v>✅</v>
      </c>
      <c r="S360" s="16" t="str">
        <v>✅</v>
      </c>
      <c r="T360" s="16" t="str">
        <v>✅</v>
      </c>
      <c r="V360" s="16" t="str">
        <v>✅</v>
      </c>
      <c r="X360" s="16" t="str">
        <v>✅</v>
      </c>
      <c r="Z360" s="11" t="inlineStr">
        <is>
          <r>
            <t>@谢军军</t>
          </r>
        </is>
      </c>
    </row>
    <row r="361" spans="1:26">
      <c r="A361" s="30" t="str">
        <v>仪表及其他</v>
      </c>
      <c r="B361" s="168"/>
      <c r="C361" s="16" t="str">
        <v>查询剩余充电时间</v>
      </c>
      <c r="D361" s="16" t="str">
        <v>P0</v>
      </c>
      <c r="E361" s="16" t="str">
        <v>还有多久充满电</v>
      </c>
      <c r="F361" s="167" t="str">
        <v>Y</v>
      </c>
      <c r="I361" s="60"/>
      <c r="J361" s="11" t="str">
        <v>端状态</v>
      </c>
      <c r="K361" s="139"/>
      <c r="N361" s="240" t="str">
        <v>✅</v>
      </c>
      <c r="O361" s="11" t="inlineStr">
        <is>
          <r>
            <rPr>
              <sz val="10"/>
              <rFont val="Arial"/>
            </rPr>
            <t>充电状态、</t>
          </r>
          <r>
            <rPr>
              <sz val="10"/>
              <color rgb="FF373C43"/>
              <rFont val="Arial"/>
            </rPr>
            <t>充电类型</t>
          </r>
          <r>
            <rPr>
              <sz val="10"/>
              <rFont val="Arial"/>
            </rPr>
            <t>、充电时长</t>
          </r>
        </is>
      </c>
      <c r="Q361" s="16" t="str">
        <v>✅</v>
      </c>
      <c r="R361" s="11" t="str">
        <v>❌</v>
      </c>
      <c r="S361" s="16" t="str">
        <v>✅</v>
      </c>
      <c r="T361" s="16" t="str">
        <v>✅</v>
      </c>
      <c r="V361" s="16" t="str">
        <v>✅</v>
      </c>
      <c r="X361" s="16" t="str">
        <v>✅</v>
      </c>
      <c r="Z361" s="11" t="inlineStr">
        <is>
          <r>
            <t>@谢军军</t>
          </r>
        </is>
      </c>
    </row>
    <row r="362" spans="1:26">
      <c r="A362" s="30" t="str">
        <v>仪表及其他</v>
      </c>
      <c r="B362" s="168"/>
      <c r="C362" s="16" t="str">
        <v>查询车辆最大电量</v>
      </c>
      <c r="D362" s="16" t="str">
        <v>P0</v>
      </c>
      <c r="E362" s="16" t="str">
        <v>查询车辆最大电量</v>
      </c>
      <c r="F362" s="167" t="str">
        <v>Y</v>
      </c>
      <c r="I362" s="60"/>
      <c r="J362" s="11" t="str">
        <v>端状态</v>
      </c>
      <c r="K362" s="139"/>
      <c r="N362" s="240" t="str">
        <v>✅</v>
      </c>
      <c r="O362" s="11" t="inlineStr">
        <is>
          <r>
            <rPr>
              <sz val="10"/>
              <rFont val="Arial"/>
            </rPr>
            <t>充电上限、</t>
          </r>
          <r>
            <rPr>
              <sz val="10"/>
              <color rgb="FFF54A45"/>
              <rFont val="Arial"/>
            </rPr>
            <t>最大电量</t>
          </r>
        </is>
      </c>
      <c r="Q362" s="16" t="str">
        <v>✅</v>
      </c>
      <c r="R362" s="11" t="str">
        <v>❌</v>
      </c>
      <c r="S362" s="16" t="str">
        <v>✅</v>
      </c>
      <c r="T362" s="16" t="str">
        <v>✅</v>
      </c>
      <c r="V362" s="16" t="str">
        <v>✅</v>
      </c>
      <c r="X362" s="16" t="str">
        <v>✅</v>
      </c>
      <c r="Z362" s="11" t="inlineStr">
        <is>
          <r>
            <t>@谢军军</t>
          </r>
        </is>
      </c>
    </row>
    <row r="363" spans="1:26">
      <c r="A363" s="30" t="str">
        <v>仪表及其他</v>
      </c>
      <c r="B363" s="168"/>
      <c r="C363" s="16" t="str">
        <v>查询车辆最大续航里程</v>
      </c>
      <c r="D363" s="16" t="str">
        <v>P0</v>
      </c>
      <c r="E363" s="16" t="str">
        <v>查询最大续航里程</v>
      </c>
      <c r="F363" s="167" t="str">
        <v>Y</v>
      </c>
      <c r="I363" s="60"/>
      <c r="J363" s="11" t="str">
        <v>端状态</v>
      </c>
      <c r="K363" s="139"/>
      <c r="N363" s="240" t="str">
        <v>✅</v>
      </c>
      <c r="Q363" s="16" t="str">
        <v>✅</v>
      </c>
      <c r="R363" s="11" t="str">
        <v>❌</v>
      </c>
      <c r="S363" s="16" t="str">
        <v>✅</v>
      </c>
      <c r="T363" s="16" t="str">
        <v>✅</v>
      </c>
      <c r="V363" s="16" t="str">
        <v>✅</v>
      </c>
      <c r="X363" s="16" t="str">
        <v>✅</v>
      </c>
      <c r="Z363" s="11" t="inlineStr">
        <is>
          <r>
            <t>@谢军军</t>
          </r>
        </is>
      </c>
    </row>
    <row r="364" ht="56" customHeight="1" spans="1:26">
      <c r="A364" s="30" t="str">
        <v>仪表及其他</v>
      </c>
      <c r="B364" s="30"/>
      <c r="C364" s="16" t="str">
        <v>切换仪表视图</v>
      </c>
      <c r="D364" s="16" t="str">
        <v>P1</v>
      </c>
      <c r="E364" s="16" t="str">
        <v>切换仪表视图为〈视图名称〉
视图名称：车速视图、仪表视图、地图视图</v>
      </c>
      <c r="F364" s="181" t="str">
        <v>Y</v>
      </c>
      <c r="G364" s="181"/>
      <c r="I364" s="110"/>
      <c r="J364" s="11" t="str">
        <v>仪表视图显示设置</v>
      </c>
      <c r="K364" s="156"/>
      <c r="N364" s="240" t="str">
        <v>✅</v>
      </c>
      <c r="Q364" s="73" t="str">
        <v>✅</v>
      </c>
      <c r="R364" s="11" t="str">
        <v>❌</v>
      </c>
      <c r="S364" s="11" t="str">
        <v>❌</v>
      </c>
      <c r="T364" s="11" t="str">
        <v>❌</v>
      </c>
      <c r="V364" s="73" t="str">
        <v>✅</v>
      </c>
      <c r="Z364" s="11" t="inlineStr">
        <is>
          <r>
            <t>@谢军军</t>
          </r>
        </is>
      </c>
    </row>
    <row r="365" spans="1:30">
      <c r="A365" s="30" t="str">
        <v>内灯</v>
      </c>
      <c r="B365" s="166" t="str">
        <v>22内灯</v>
      </c>
      <c r="C365" s="16" t="str">
        <v>氛围灯开关 - 打开氛围灯</v>
      </c>
      <c r="D365" s="16" t="str">
        <v>P0</v>
      </c>
      <c r="E365" s="16" t="str">
        <v>打开氛围灯；点亮氛围灯；氛围灯开</v>
      </c>
      <c r="F365" s="181" t="str">
        <v>Y</v>
      </c>
      <c r="G365" s="173" t="str">
        <v> /**
 * 氛围灯开关设置
 * PermissionRequest(permissions = { zone.permission.vehicle.LIGHT_SET })
 * @param status 设置值 {@link int}
 * @return resultCode 返回结果码 {@link ResultCode}
 */
 int setAtmosphereLampStatus(int status);
 0x0=OFF 
 0x1=ON</v>
      </c>
      <c r="I365" s="157" t="str">
        <v>✅
点检标准：支持系统和硬件驱动打开/关闭阅读灯、氛围灯。HMI设置生效不回弹。</v>
      </c>
      <c r="J365" s="24" t="str">
        <v>氛围灯开关</v>
      </c>
      <c r="K365" s="61" t="str">
        <v>语音控制内灯_Flowchart_v1.0-1.pdf
【内灯】Vehicle_Platform1.0_IS4PR_Yu_Yin_Kong_Zhi_IS4PR_Yu_Yin_Kong_Zhi_Nei_Deng__PRD.pdf:https://internal-api-drive-stream.larkoffice.com/space/api/box/stream/download/preview/L1ejba5woowkASxEls2cnGMGnfZ?mount_point=docx_file&amp;preview_type=16
内灯update：
【22】【内灯0318】Vehicle_Platform1.0_IS4PR_Yu_Yin_Kong_Zhi_IS4PR_Yu_Yin_Kong_Zhi_Nei_Deng__PRD.pdf:https://internal-api-drive-stream.larkoffice.com/space/api/box/stream/download/preview/K4OVbY9QYowFcDxNwn8cFVEhn4G?mount_point=docx_file&amp;preview_type=16</v>
      </c>
      <c r="N365" s="240" t="str">
        <v>✅</v>
      </c>
      <c r="O365" s="240" t="str">
        <v>✅</v>
      </c>
      <c r="Q365" s="11" t="str">
        <v>❌</v>
      </c>
      <c r="R365" s="11" t="str">
        <v>❌</v>
      </c>
      <c r="S365" s="16" t="str">
        <v>✅</v>
      </c>
      <c r="T365" s="16" t="str">
        <v>✅</v>
      </c>
      <c r="V365" s="11" t="str">
        <v>✅</v>
      </c>
      <c r="X365" s="11" t="str">
        <v>✅</v>
      </c>
      <c r="Y365" s="11" t="str">
        <v>❌</v>
      </c>
      <c r="Z365" s="11" t="inlineStr">
        <is>
          <r>
            <t>@谢军军</t>
          </r>
        </is>
      </c>
      <c r="AC365" s="11" t="str">
        <v>2026072300534602AC107BDEDC4EEA24F5
20260723005409D2E78943F7862F39F567</v>
      </c>
      <c r="AD365" s="11" t="str">
        <v>点亮氛围灯，未点亮
点点亮氛围灯，回复了一串英文</v>
      </c>
    </row>
    <row r="366" spans="1:30">
      <c r="A366" s="30" t="str">
        <v>内灯</v>
      </c>
      <c r="B366" s="168"/>
      <c r="C366" s="16" t="str">
        <v>氛围灯开关 - 关闭氛围灯</v>
      </c>
      <c r="D366" s="16" t="str">
        <v>P0</v>
      </c>
      <c r="E366" s="16" t="str">
        <v>关闭氛围灯；关下氛围灯；氛围灯关</v>
      </c>
      <c r="F366" s="181" t="str">
        <v>Y</v>
      </c>
      <c r="G366" s="173" t="str">
        <v> /**
 * 氛围灯开关设置
 * PermissionRequest(permissions = { zone.permission.vehicle.LIGHT_SET })
 * @param status 设置值 {@link int}
 * @return resultCode 返回结果码 {@link ResultCode}
 */
 int setAtmosphereLampStatus(int status);
 0x0=OFF 
 0x1=ON</v>
      </c>
      <c r="I366" s="158"/>
      <c r="J366" s="24" t="str">
        <v>氛围灯开关</v>
      </c>
      <c r="K366" s="139"/>
      <c r="N366" s="240" t="str">
        <v>✅</v>
      </c>
      <c r="O366" s="240" t="str">
        <v>✅</v>
      </c>
      <c r="Q366" s="11" t="str">
        <v>❌</v>
      </c>
      <c r="R366" s="11" t="str">
        <v>❌</v>
      </c>
      <c r="S366" s="16" t="str">
        <v>✅</v>
      </c>
      <c r="T366" s="16" t="str">
        <v>✅</v>
      </c>
      <c r="V366" s="11" t="str">
        <v>✅</v>
      </c>
      <c r="X366" s="11" t="str">
        <v>✅</v>
      </c>
      <c r="Y366" s="11" t="str">
        <v>❌</v>
      </c>
      <c r="Z366" s="11" t="inlineStr">
        <is>
          <r>
            <t>@谢军军</t>
          </r>
        </is>
      </c>
      <c r="AC366" s="11" t="str">
        <v>20260723005333A6FC04E2684798BE622D</v>
      </c>
      <c r="AD366" s="11" t="str">
        <v>关下氛围灯，未关闭</v>
      </c>
    </row>
    <row r="367" spans="1:26">
      <c r="A367" s="30" t="str">
        <v>内灯</v>
      </c>
      <c r="B367" s="168"/>
      <c r="C367" s="16" t="str">
        <v>氛围灯调节 - 调节氛围灯的颜色</v>
      </c>
      <c r="D367" s="16" t="str">
        <v>P0</v>
      </c>
      <c r="E367" s="16" t="str">
        <v>氛围灯调到黄色；氛围灯颜色变成蓝色；调节氛围灯为白色；氛围灯调到红色；氛围灯调为绿色</v>
      </c>
      <c r="F367" s="181" t="str">
        <v>Y</v>
      </c>
      <c r="G367" s="173" t="str">
        <v> /**
 * 氛围灯主题颜色设置
 * PermissionRequest(permissions = { zone.permission.vehicle.LIGHT_SET })
 * @param themeColor 设置值 {@link int}
 * @return resultCode 返回结果码 {@link ResultCode}
 */
 int setAmbientLightThemeColor(int themeColor);
0x1=Theme1 
0x2=Theme2 
0x3=Theme3 
0x4=Theme4 
0x5=Theme5 
0x6=Theme6</v>
      </c>
      <c r="I367" s="158"/>
      <c r="J367" s="24" t="str">
        <v>氛围灯颜色调节</v>
      </c>
      <c r="K367" s="139"/>
      <c r="M367" s="11" t="str">
        <v>✅</v>
      </c>
      <c r="N367" s="240" t="str">
        <v>✅</v>
      </c>
      <c r="O367" s="11" t="str">
        <v>1.获取colorId超限
2.设置接口返回状态值失败
3.颜色值不支持白色和灰色</v>
      </c>
      <c r="Q367" s="11" t="str">
        <v>✅</v>
      </c>
      <c r="R367" s="11" t="str">
        <v>❌</v>
      </c>
      <c r="S367" s="11" t="str">
        <v>❌</v>
      </c>
      <c r="T367" s="11" t="str">
        <v>✅</v>
      </c>
      <c r="V367" s="11" t="str">
        <v>✅</v>
      </c>
      <c r="X367" s="11" t="str">
        <v>✅</v>
      </c>
      <c r="Y367" s="11" t="str">
        <v>✅</v>
      </c>
      <c r="Z367" s="11" t="inlineStr">
        <is>
          <r>
            <t>@谢军军</t>
          </r>
        </is>
      </c>
    </row>
    <row r="368" spans="1:31">
      <c r="A368" s="30" t="str">
        <v>内灯</v>
      </c>
      <c r="B368" s="168"/>
      <c r="C368" s="16" t="str">
        <v>氛围灯调节 - 调节氛围灯的亮度 - 调暗</v>
      </c>
      <c r="D368" s="16" t="str">
        <v>P0</v>
      </c>
      <c r="E368" s="16" t="str">
        <v>氛围灯调暗点；调暗一点氛围灯；氛围灯亮度暗些</v>
      </c>
      <c r="F368" s="181" t="str">
        <v>Y</v>
      </c>
      <c r="G368"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68" s="158"/>
      <c r="J368" s="24" t="str">
        <v>氛围灯亮度调节</v>
      </c>
      <c r="K368" s="139"/>
      <c r="M368" s="92" t="str">
        <v>int setAmbientLightBrightness(int areaId, int brightness)
氛围灯亮度设置 PermissionRequest(permissions = { zone.permission.vehicle.LIGHT_SET })
参数:
areaId - 设置值 LightConstants.LightArea
brightness - 设置值 15-255
返回:
resultCode 返回结果码 ResultCode:https://bytedance.larkoffice.com/common/result/ResultCode.html</v>
      </c>
      <c r="N368" s="240" t="str">
        <v>✅</v>
      </c>
      <c r="O368" s="240" t="str">
        <v>✅</v>
      </c>
      <c r="Q368" s="11" t="str">
        <v>✅</v>
      </c>
      <c r="R368" s="11" t="str">
        <v>❌</v>
      </c>
      <c r="S368" s="11" t="str">
        <v>❌</v>
      </c>
      <c r="T368" s="11" t="str">
        <v>❌</v>
      </c>
      <c r="V368" s="11" t="str">
        <v>✅</v>
      </c>
      <c r="X368" s="11" t="str">
        <v>✅</v>
      </c>
      <c r="Y368" s="11" t="str">
        <v>✅</v>
      </c>
      <c r="Z368" s="11" t="inlineStr">
        <is>
          <r>
            <t>@谢军军</t>
          </r>
        </is>
      </c>
      <c r="AE368" s="1"/>
    </row>
    <row r="369" spans="1:31">
      <c r="A369" s="30" t="str">
        <v>内灯</v>
      </c>
      <c r="B369" s="168"/>
      <c r="C369" s="16" t="str">
        <v>氛围灯调节 - 调节氛围灯的亮度 - 调暗 N%</v>
      </c>
      <c r="D369" s="16" t="str">
        <v>P0</v>
      </c>
      <c r="E369" s="16" t="str">
        <v>氛围灯调暗 20%；调暗 30% 氛围灯；氛围灯亮度暗 50%</v>
      </c>
      <c r="F369" s="181" t="str">
        <v>Y</v>
      </c>
      <c r="G369"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69" s="158"/>
      <c r="J369" s="24" t="str">
        <v>氛围灯亮度调节</v>
      </c>
      <c r="K369" s="139"/>
      <c r="N369" s="240" t="str">
        <v>✅</v>
      </c>
      <c r="O369" s="240" t="str">
        <v>✅</v>
      </c>
      <c r="Q369" s="11" t="str">
        <v>✅</v>
      </c>
      <c r="R369" s="11" t="str">
        <v>❌</v>
      </c>
      <c r="S369" s="11" t="str">
        <v>❌</v>
      </c>
      <c r="T369" s="11" t="str">
        <v>❌</v>
      </c>
      <c r="V369" s="11" t="str">
        <v>✅</v>
      </c>
      <c r="X369" s="11" t="str">
        <v>✅</v>
      </c>
      <c r="Y369" s="11" t="str">
        <v>✅</v>
      </c>
      <c r="Z369" s="11" t="inlineStr">
        <is>
          <r>
            <t>@谢军军</t>
          </r>
        </is>
      </c>
      <c r="AE369" s="1"/>
    </row>
    <row r="370" spans="1:31">
      <c r="A370" s="30" t="str">
        <v>内灯</v>
      </c>
      <c r="B370" s="168"/>
      <c r="C370" s="16" t="str">
        <v>氛围灯调节 - 调节氛围灯的亮度 - 调亮</v>
      </c>
      <c r="D370" s="16" t="str">
        <v>P0</v>
      </c>
      <c r="E370" s="16" t="str">
        <v>氛围灯调亮点；调亮一点氛围灯；氛围灯亮度高一些</v>
      </c>
      <c r="F370" s="181" t="str">
        <v>Y</v>
      </c>
      <c r="G370"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0" s="158"/>
      <c r="J370" s="24" t="str">
        <v>氛围灯亮度调节</v>
      </c>
      <c r="K370" s="139"/>
      <c r="N370" s="240" t="str">
        <v>✅</v>
      </c>
      <c r="O370" s="240" t="str">
        <v>✅</v>
      </c>
      <c r="Q370" s="11" t="str">
        <v>✅</v>
      </c>
      <c r="R370" s="11" t="str">
        <v>❌</v>
      </c>
      <c r="S370" s="11" t="str">
        <v>❌</v>
      </c>
      <c r="T370" s="11" t="str">
        <v>❌</v>
      </c>
      <c r="V370" s="11" t="str">
        <v>✅</v>
      </c>
      <c r="X370" s="11" t="str">
        <v>✅</v>
      </c>
      <c r="Y370" s="11" t="str">
        <v>✅</v>
      </c>
      <c r="Z370" s="11" t="inlineStr">
        <is>
          <r>
            <t>@谢军军</t>
          </r>
        </is>
      </c>
      <c r="AE370" s="1"/>
    </row>
    <row r="371" spans="1:31">
      <c r="A371" s="30" t="str">
        <v>内灯</v>
      </c>
      <c r="B371" s="168"/>
      <c r="C371" s="16" t="str">
        <v>氛围灯调节 - 调节氛围灯的亮度 - 调亮 N%</v>
      </c>
      <c r="D371" s="16" t="str">
        <v>P0</v>
      </c>
      <c r="E371" s="16" t="str">
        <v>氛围灯调亮 40%；调亮 60% 氛围灯；氛围灯亮度高 20%</v>
      </c>
      <c r="F371" s="181" t="str">
        <v>Y</v>
      </c>
      <c r="G371"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1" s="158"/>
      <c r="J371" s="24" t="str">
        <v>氛围灯亮度调节</v>
      </c>
      <c r="K371" s="139"/>
      <c r="N371" s="240" t="str">
        <v>✅</v>
      </c>
      <c r="O371" s="240" t="str">
        <v>✅</v>
      </c>
      <c r="Q371" s="11" t="str">
        <v>✅</v>
      </c>
      <c r="R371" s="11" t="str">
        <v>❌</v>
      </c>
      <c r="S371" s="240" t="str">
        <v>✅</v>
      </c>
      <c r="T371" s="240" t="str">
        <v>✅</v>
      </c>
      <c r="V371" s="11" t="str">
        <v>✅</v>
      </c>
      <c r="X371" s="11" t="str">
        <v>✅</v>
      </c>
      <c r="Y371" s="11" t="str">
        <v>✅</v>
      </c>
      <c r="Z371" s="11" t="inlineStr">
        <is>
          <r>
            <t>@谢军军</t>
          </r>
        </is>
      </c>
      <c r="AE371" s="1"/>
    </row>
    <row r="372" spans="1:31">
      <c r="A372" s="30" t="str">
        <v>内灯</v>
      </c>
      <c r="B372" s="168"/>
      <c r="C372" s="16" t="str">
        <v>氛围灯调节 - 调节氛围灯的亮度 - 最暗</v>
      </c>
      <c r="D372" s="16" t="str">
        <v>P0</v>
      </c>
      <c r="E372" s="16" t="str">
        <v>氛围灯调到最暗；调节氛围灯到最暗；需要最暗状态下的氛围灯</v>
      </c>
      <c r="F372" s="181" t="str">
        <v>Y</v>
      </c>
      <c r="G372"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2" s="158"/>
      <c r="J372" s="24" t="str">
        <v>氛围灯亮度调节</v>
      </c>
      <c r="K372" s="139"/>
      <c r="N372" s="240" t="str">
        <v>✅</v>
      </c>
      <c r="O372" s="240" t="str">
        <v>✅</v>
      </c>
      <c r="Q372" s="11" t="str">
        <v>✅</v>
      </c>
      <c r="R372" s="11" t="str">
        <v>❌</v>
      </c>
      <c r="S372" s="240" t="str">
        <v>✅</v>
      </c>
      <c r="T372" s="240" t="str">
        <v>✅</v>
      </c>
      <c r="V372" s="11" t="str">
        <v>✅</v>
      </c>
      <c r="X372" s="11" t="str">
        <v>✅</v>
      </c>
      <c r="Y372" s="11" t="str">
        <v>✅</v>
      </c>
      <c r="Z372" s="11" t="inlineStr">
        <is>
          <r>
            <t>@谢军军</t>
          </r>
        </is>
      </c>
      <c r="AE372" s="1"/>
    </row>
    <row r="373" spans="1:31">
      <c r="A373" s="30" t="str">
        <v>内灯</v>
      </c>
      <c r="B373" s="168"/>
      <c r="C373" s="16" t="str">
        <v>氛围灯调节 - 调节氛围灯的亮度 - 最亮</v>
      </c>
      <c r="D373" s="16" t="str">
        <v>P0</v>
      </c>
      <c r="E373" s="16" t="str">
        <v>氛围灯调到最亮；调节氛围灯到最亮；需要最亮状态下的氛围灯</v>
      </c>
      <c r="F373" s="181" t="str">
        <v>Y</v>
      </c>
      <c r="G373"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3" s="158"/>
      <c r="J373" s="24" t="str">
        <v>氛围灯亮度调节</v>
      </c>
      <c r="K373" s="139"/>
      <c r="N373" s="240" t="str">
        <v>✅</v>
      </c>
      <c r="O373" s="240" t="str">
        <v>✅</v>
      </c>
      <c r="Q373" s="11" t="str">
        <v>✅</v>
      </c>
      <c r="R373" s="11" t="str">
        <v>❌</v>
      </c>
      <c r="S373" s="240" t="str">
        <v>✅</v>
      </c>
      <c r="T373" s="240" t="str">
        <v>✅</v>
      </c>
      <c r="V373" s="11" t="str">
        <v>✅</v>
      </c>
      <c r="X373" s="11" t="str">
        <v>✅</v>
      </c>
      <c r="Y373" s="11" t="str">
        <v>✅</v>
      </c>
      <c r="Z373" s="11" t="inlineStr">
        <is>
          <r>
            <t>@谢军军</t>
          </r>
        </is>
      </c>
      <c r="AE373" s="1"/>
    </row>
    <row r="374" spans="1:31">
      <c r="A374" s="30" t="str">
        <v>内灯</v>
      </c>
      <c r="B374" s="168"/>
      <c r="C374" s="16" t="str">
        <v>氛围灯调节 - 调节氛围灯的亮度 - 调到 X%</v>
      </c>
      <c r="D374" s="16" t="str">
        <v>P0</v>
      </c>
      <c r="E374" s="16" t="str">
        <v>氛围灯调到百分之四十；氛围灯亮度为百分之四十；调节氛围灯亮调到 40</v>
      </c>
      <c r="F374" s="181" t="str">
        <v>Y</v>
      </c>
      <c r="G374"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4" s="158"/>
      <c r="J374" s="24" t="str">
        <v>氛围灯亮度调节</v>
      </c>
      <c r="K374" s="139"/>
      <c r="N374" s="240" t="str">
        <v>✅</v>
      </c>
      <c r="O374" s="240" t="str">
        <v>✅</v>
      </c>
      <c r="Q374" s="11" t="str">
        <v>✅</v>
      </c>
      <c r="R374" s="240" t="str">
        <v>✅</v>
      </c>
      <c r="S374" s="240" t="str">
        <v>✅</v>
      </c>
      <c r="T374" s="240" t="str">
        <v>✅</v>
      </c>
      <c r="V374" s="11" t="str">
        <v>✅</v>
      </c>
      <c r="X374" s="11" t="str">
        <v>✅</v>
      </c>
      <c r="Z374" s="11" t="inlineStr">
        <is>
          <r>
            <t>@谢军军</t>
          </r>
        </is>
      </c>
      <c r="AE374" s="1"/>
    </row>
    <row r="375" spans="1:31">
      <c r="A375" s="30" t="str">
        <v>内灯</v>
      </c>
      <c r="B375" s="168"/>
      <c r="C375" s="16" t="str">
        <v>氛围灯调节 - 氛围灯亮度 - 再亮一点 (上下文理解)</v>
      </c>
      <c r="D375" s="16" t="str">
        <v>P0</v>
      </c>
      <c r="E375" s="16" t="str">
        <v>再亮一点；再大点；再高一些</v>
      </c>
      <c r="F375" s="181" t="str">
        <v>Y</v>
      </c>
      <c r="G375"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5" s="158"/>
      <c r="J375" s="24" t="str">
        <v>氛围灯亮度调节</v>
      </c>
      <c r="K375" s="139"/>
      <c r="N375" s="240" t="str">
        <v>✅</v>
      </c>
      <c r="O375" s="240" t="str">
        <v>✅</v>
      </c>
      <c r="Q375" s="11" t="str">
        <v>✅</v>
      </c>
      <c r="R375" s="240" t="str">
        <v>✅</v>
      </c>
      <c r="S375" s="240" t="str">
        <v>✅</v>
      </c>
      <c r="T375" s="240" t="str">
        <v>✅</v>
      </c>
      <c r="V375" s="11" t="str">
        <v>✅</v>
      </c>
      <c r="X375" s="11" t="str">
        <v>✅</v>
      </c>
      <c r="Z375" s="11" t="inlineStr">
        <is>
          <r>
            <t>@谢军军</t>
          </r>
        </is>
      </c>
      <c r="AE375" s="1"/>
    </row>
    <row r="376" spans="1:31">
      <c r="A376" s="30" t="str">
        <v>内灯</v>
      </c>
      <c r="B376" s="168"/>
      <c r="C376" s="16" t="str">
        <v>氛围灯调节 - 氛围灯亮度 - 再暗一点 (上下文理解)</v>
      </c>
      <c r="D376" s="16" t="str">
        <v>P0</v>
      </c>
      <c r="E376" s="16" t="str">
        <v>再低一点；再小点；再暗一些；再暗一点</v>
      </c>
      <c r="F376" s="181" t="str">
        <v>Y</v>
      </c>
      <c r="G376"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6" s="158"/>
      <c r="J376" s="24" t="str">
        <v>氛围灯亮度调节</v>
      </c>
      <c r="K376" s="139"/>
      <c r="N376" s="240" t="str">
        <v>✅</v>
      </c>
      <c r="O376" s="240" t="str">
        <v>✅</v>
      </c>
      <c r="Q376" s="11" t="str">
        <v>✅</v>
      </c>
      <c r="R376" s="11" t="str">
        <v>❌</v>
      </c>
      <c r="S376" s="240" t="str">
        <v>✅</v>
      </c>
      <c r="T376" s="240" t="str">
        <v>✅</v>
      </c>
      <c r="V376" s="11" t="str">
        <v>✅</v>
      </c>
      <c r="X376" s="11" t="str">
        <v>✅</v>
      </c>
      <c r="Y376" s="11" t="str">
        <v>✅</v>
      </c>
      <c r="Z376" s="11" t="inlineStr">
        <is>
          <r>
            <t>@谢军军</t>
          </r>
        </is>
      </c>
      <c r="AE376" s="1"/>
    </row>
    <row r="377" spans="1:26">
      <c r="A377" s="30" t="str">
        <v>内灯</v>
      </c>
      <c r="B377" s="168"/>
      <c r="C377" s="16" t="str">
        <v>氛围灯调节 - 氛围灯亮度 - 调到最亮 (上下文理解)</v>
      </c>
      <c r="D377" s="16" t="str">
        <v>P0</v>
      </c>
      <c r="E377" s="16" t="str">
        <v>调到最高；最亮吧；调节到最亮</v>
      </c>
      <c r="F377" s="181" t="str">
        <v>Y</v>
      </c>
      <c r="G377"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7" s="158"/>
      <c r="J377" s="24" t="str">
        <v>氛围灯亮度调节</v>
      </c>
      <c r="K377" s="139"/>
      <c r="N377" s="240" t="str">
        <v>✅</v>
      </c>
      <c r="O377" s="240" t="str">
        <v>✅</v>
      </c>
      <c r="Q377" s="11" t="str">
        <v>✅</v>
      </c>
      <c r="R377" s="240" t="str">
        <v>✅</v>
      </c>
      <c r="S377" s="240" t="str">
        <v>✅</v>
      </c>
      <c r="T377" s="240" t="str">
        <v>✅</v>
      </c>
      <c r="V377" s="11" t="str">
        <v>✅</v>
      </c>
      <c r="X377" s="11" t="str">
        <v>✅</v>
      </c>
      <c r="Z377" s="11" t="inlineStr">
        <is>
          <r>
            <t>@谢军军</t>
          </r>
        </is>
      </c>
    </row>
    <row r="378" spans="1:26">
      <c r="A378" s="30" t="str">
        <v>内灯</v>
      </c>
      <c r="B378" s="168"/>
      <c r="C378" s="16" t="str">
        <v>氛围灯调节 - 氛围灯亮度 - 调到最暗 (上下文理解)</v>
      </c>
      <c r="D378" s="16" t="str">
        <v>P0</v>
      </c>
      <c r="E378" s="16" t="str">
        <v>调到最低；最暗吧；调节到最暗</v>
      </c>
      <c r="F378" s="181" t="str">
        <v>Y</v>
      </c>
      <c r="G378"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78" s="158"/>
      <c r="J378" s="24" t="str">
        <v>氛围灯亮度调节</v>
      </c>
      <c r="K378" s="139"/>
      <c r="N378" s="240" t="str">
        <v>✅</v>
      </c>
      <c r="O378" s="240" t="str">
        <v>✅</v>
      </c>
      <c r="Q378" s="11" t="str">
        <v>✅</v>
      </c>
      <c r="R378" s="11" t="str">
        <v>❌</v>
      </c>
      <c r="S378" s="240" t="str">
        <v>✅</v>
      </c>
      <c r="T378" s="240" t="str">
        <v>✅</v>
      </c>
      <c r="V378" s="11" t="str">
        <v>✅</v>
      </c>
      <c r="X378" s="11" t="str">
        <v>✅</v>
      </c>
      <c r="Y378" s="11" t="str">
        <v>✅</v>
      </c>
      <c r="Z378" s="11" t="inlineStr">
        <is>
          <r>
            <t>@谢军军</t>
          </r>
        </is>
      </c>
    </row>
    <row r="379" spans="1:26">
      <c r="A379" s="30" t="str">
        <v>内灯</v>
      </c>
      <c r="B379" s="168"/>
      <c r="C379" s="16" t="str">
        <v>氛围灯调节 - 上下文理解 - 氛围灯颜色调节</v>
      </c>
      <c r="D379" s="16" t="str">
        <v>P0</v>
      </c>
      <c r="E379" s="16" t="str">
        <v>调到黄色；调成红色；换成蓝色；调为白色</v>
      </c>
      <c r="F379" s="181" t="str">
        <v>Y</v>
      </c>
      <c r="G379" s="173" t="str">
        <v> /**
 * 氛围灯主题颜色设置
 * PermissionRequest(permissions = { zone.permission.vehicle.LIGHT_SET })
 * @param themeColor 设置值 {@link int}
 * @return resultCode 返回结果码 {@link ResultCode}
 */
 int setAmbientLightThemeColor(int themeColor);
0x1=Theme1 
0x2=Theme2 
0x3=Theme3 
0x4=Theme4 
0x5=Theme5 
0x6=Theme6</v>
      </c>
      <c r="I379" s="158"/>
      <c r="J379" s="24" t="str">
        <v>氛围灯颜色调节</v>
      </c>
      <c r="K379" s="139"/>
      <c r="M379" s="11" t="str">
        <v>✅</v>
      </c>
      <c r="N379" s="240" t="str">
        <v>✅</v>
      </c>
      <c r="O379" s="240" t="str">
        <v>✅</v>
      </c>
      <c r="Q379" s="11" t="str">
        <v>✅</v>
      </c>
      <c r="R379" s="11" t="str">
        <v>❌</v>
      </c>
      <c r="S379" s="11" t="str">
        <v>❌</v>
      </c>
      <c r="T379" s="11" t="str">
        <v>❌</v>
      </c>
      <c r="V379" s="11" t="str">
        <v>✅</v>
      </c>
      <c r="X379" s="11" t="str">
        <v>✅</v>
      </c>
      <c r="Y379" s="11" t="str">
        <v>✅</v>
      </c>
      <c r="Z379" s="11" t="inlineStr">
        <is>
          <r>
            <t>@谢军军</t>
          </r>
        </is>
      </c>
    </row>
    <row r="380" spans="1:26">
      <c r="A380" s="30" t="str">
        <v>内灯</v>
      </c>
      <c r="B380" s="168"/>
      <c r="C380" s="16" t="str">
        <v>氛围灯调节 - 调节氛围灯的亮度 - 调暗 N 档</v>
      </c>
      <c r="D380" s="16" t="str">
        <v>P0</v>
      </c>
      <c r="E380" s="16" t="str">
        <v>氛围灯调暗 2 档；调暗 3 档氛围灯；氛围灯亮度暗 5 档</v>
      </c>
      <c r="F380" s="181" t="str">
        <v>Y</v>
      </c>
      <c r="G380"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80" s="158"/>
      <c r="J380" s="11" t="str">
        <v>氛围灯亮度调节</v>
      </c>
      <c r="K380" s="139"/>
      <c r="N380" s="240" t="str">
        <v>✅</v>
      </c>
      <c r="O380" s="240" t="str">
        <v>✅</v>
      </c>
      <c r="Q380" s="11" t="str">
        <v>✅</v>
      </c>
      <c r="R380" s="11" t="str">
        <v>❌</v>
      </c>
      <c r="S380" s="11" t="str">
        <v>❌</v>
      </c>
      <c r="T380" s="11" t="str">
        <v>❌</v>
      </c>
      <c r="V380" s="11" t="str">
        <v>✅</v>
      </c>
      <c r="X380" s="11" t="str">
        <v>✅</v>
      </c>
      <c r="Y380" s="11" t="str">
        <v>✅</v>
      </c>
      <c r="Z380" s="11" t="inlineStr">
        <is>
          <r>
            <t>@谢军军</t>
          </r>
        </is>
      </c>
    </row>
    <row r="381" spans="1:26">
      <c r="A381" s="30" t="str">
        <v>内灯</v>
      </c>
      <c r="B381" s="168"/>
      <c r="C381" s="16" t="str">
        <v>氛围灯调节 - 调节氛围灯的亮度 - 调亮 N 档</v>
      </c>
      <c r="D381" s="16" t="str">
        <v>P0</v>
      </c>
      <c r="E381" s="16" t="str">
        <v>氛围灯调亮 2 档；调亮 3 档氛围灯；氛围灯亮度加 5 档</v>
      </c>
      <c r="F381" s="181" t="str">
        <v>Y</v>
      </c>
      <c r="G381"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81" s="158"/>
      <c r="J381" s="11" t="str">
        <v>氛围灯亮度调节</v>
      </c>
      <c r="K381" s="139"/>
      <c r="N381" s="240" t="str">
        <v>✅</v>
      </c>
      <c r="O381" s="240" t="str">
        <v>✅</v>
      </c>
      <c r="Q381" s="11" t="str">
        <v>✅</v>
      </c>
      <c r="R381" s="11" t="str">
        <v>❌</v>
      </c>
      <c r="S381" s="11" t="str">
        <v>❌</v>
      </c>
      <c r="T381" s="11" t="str">
        <v>❌</v>
      </c>
      <c r="V381" s="11" t="str">
        <v>✅</v>
      </c>
      <c r="X381" s="11" t="str">
        <v>✅</v>
      </c>
      <c r="Y381" s="11" t="str">
        <v>✅</v>
      </c>
      <c r="Z381" s="11" t="inlineStr">
        <is>
          <r>
            <t>@谢军军</t>
          </r>
        </is>
      </c>
    </row>
    <row r="382" spans="1:26">
      <c r="A382" s="30" t="str">
        <v>内灯</v>
      </c>
      <c r="B382" s="168"/>
      <c r="C382" s="16" t="str">
        <v>氛围灯调节 - 调节氛围灯的亮度 - 调到 N 档</v>
      </c>
      <c r="D382" s="16" t="str">
        <v>P0</v>
      </c>
      <c r="E382" s="16" t="str">
        <v>氛围灯调到三档；氛围灯亮度为三档；调节氛围灯亮调到三</v>
      </c>
      <c r="F382" s="181" t="str">
        <v>Y</v>
      </c>
      <c r="G382" s="173" t="str">
        <v> /**
 * 氛围灯亮度设置
 * PermissionRequest(permissions = { zone.permission.vehicle.LIGHT_SET })
 * @param brightness 设置值 {@link int}
 * @return resultCode 返回结果码 {@link ResultCode}
 */
 int setAmbientLightBrightness(int brightness);
0x1~0x64=1%~100% 
0xFF=无效值 
精度为5% E=N*5%（E为亮度值，N为大屏档位） 
举例：当用户在大屏中选择档位5，则赋值该接口为5*5%=25%</v>
      </c>
      <c r="I382" s="158"/>
      <c r="J382" s="11" t="str">
        <v>氛围灯亮度调节</v>
      </c>
      <c r="K382" s="139"/>
      <c r="N382" s="240" t="str">
        <v>✅</v>
      </c>
      <c r="O382" s="240" t="str">
        <v>✅</v>
      </c>
      <c r="Q382" s="11" t="str">
        <v>✅</v>
      </c>
      <c r="R382" s="240" t="str">
        <v>✅</v>
      </c>
      <c r="S382" s="240" t="str">
        <v>✅</v>
      </c>
      <c r="T382" s="240" t="str">
        <v>✅</v>
      </c>
      <c r="V382" s="11" t="str">
        <v>✅</v>
      </c>
      <c r="X382" s="11" t="str">
        <v>✅</v>
      </c>
      <c r="Z382" s="11" t="inlineStr">
        <is>
          <r>
            <t>@谢军军</t>
          </r>
        </is>
      </c>
    </row>
    <row r="383" spans="1:30">
      <c r="A383" s="30" t="str">
        <v>内灯</v>
      </c>
      <c r="B383" s="168"/>
      <c r="C383" s="16" t="str">
        <v>氛围灯调节 - 打开氛围灯相关联动开关</v>
      </c>
      <c r="D383" s="16" t="str">
        <v>P1</v>
      </c>
      <c r="E383" s="16" t="str">
        <v>打开氛围灯音乐律动；打开氛围灯开门预警联动；打开车内迎宾联动；打开氛围灯语音联动；打开倒档氛围灯亮度降低开关</v>
      </c>
      <c r="F383" s="181" t="str">
        <v>Y</v>
      </c>
      <c r="G383" s="173" t="str">
        <v> /**
 * 音乐律动设置
 * PermissionRequest(permissions = { zone.permission.vehicle.LIGHT_SET })
 * @param status 设置值 {@link int}
 * @return resultCode 返回结果码 {@link ResultCode}
 */
 int setAtmosphereMusicFollow(int status);
0x0=Enable
0x1=Disable
 /**
 * 氛围灯开门预警状态设置
 * PermissionRequest(permissions = { zone.permission.vehicle.LIGHT_SET })
 * @param status 设置值 {@link int}
 * @return resultCode 返回结果码 {@link ResultCode}
 */
 int setAtmosphereLampDoorOpenStatus(int status);
0x0=Enable
0x1=Disable
 /**
 * 氛围灯车内迎宾设置
 * PermissionRequest(permissions = { zone.permission.vehicle.LIGHT_SET })
 * @param status 设置值 {@link int}
 * @return resultCode 返回结果码 {@link ResultCode}
 */
 int setAtmosphereLampWelcomeGuestsStatus(int status);
0x0=Enable
0x1=Disable
 /**
 * 语音联动模式设置
 * PermissionRequest(permissions = { zone.permission.vehicle.LIGHT_SET })
 * @param status 设置值 {@link int}
 * @return resultCode 返回结果码 {@link ResultCode}
 */
 @ResultCode
 int setAtmosphereVoiceStatus(int status);
0x0=Enable
0x1=Disable
 /**
 * 氛围灯倒车降低亮度设置
 * PermissionRequest(permissions = { zone.permission.vehicle.LIGHT_SET })
 * @param status 设置值 {@link int}
 * @return resultCode 返回结果码 {@link ResultCode}
 */
 @ResultCode
 int setAtmosphereParkStatus(int status);
0x0=Enable
0x1=Disable</v>
      </c>
      <c r="I383" s="158"/>
      <c r="J383" s="217" t="str">
        <v>氛围灯开关</v>
      </c>
      <c r="K383" s="139"/>
      <c r="N383" s="240" t="str">
        <v>✅</v>
      </c>
      <c r="O383" s="11" t="str">
        <v>4.21部署后解决</v>
      </c>
      <c r="Q383" s="11" t="str">
        <v>❌</v>
      </c>
      <c r="R383" s="11" t="str">
        <v>❌</v>
      </c>
      <c r="S383" s="11" t="str">
        <v>❌</v>
      </c>
      <c r="T383" s="11" t="str">
        <v>❌</v>
      </c>
      <c r="V383" s="11" t="str">
        <v>✅</v>
      </c>
      <c r="X383" s="11" t="str">
        <v>✅</v>
      </c>
      <c r="Y383" s="11" t="str">
        <v>❌</v>
      </c>
      <c r="Z383" s="11" t="inlineStr">
        <is>
          <r>
            <t>@谢军军</t>
          </r>
        </is>
      </c>
      <c r="AC383" s="11" t="str">
        <v>20260723005935193298FBAA5668FA9DE9</v>
      </c>
      <c r="AD383" s="11" t="str">
        <v>打开氛围灯音乐律动，先打开了场景灯效，再打开的音乐律动。不用先打开场景灯效</v>
      </c>
    </row>
    <row r="384" spans="1:26">
      <c r="A384" s="30" t="str">
        <v>内灯</v>
      </c>
      <c r="B384" s="168"/>
      <c r="C384" s="16" t="str">
        <v>氛围灯调节 - 关闭氛围灯相关联动开关</v>
      </c>
      <c r="D384" s="16" t="str">
        <v>P1</v>
      </c>
      <c r="E384" s="16" t="str">
        <v>关闭氛围灯律动；关闭开门预警联动；关闭车内迎宾联动；关闭语音联动；关闭倒档亮度降低开关</v>
      </c>
      <c r="F384" s="181" t="str">
        <v>Y</v>
      </c>
      <c r="G384" s="173" t="str">
        <v> /**
 * 音乐律动设置
 * PermissionRequest(permissions = { zone.permission.vehicle.LIGHT_SET })
 * @param status 设置值 {@link int}
 * @return resultCode 返回结果码 {@link ResultCode}
 */
 int setAtmosphereMusicFollow(int status);
0x0=Enable
0x1=Disable
 /**
 * 氛围灯开门预警状态设置
 * PermissionRequest(permissions = { zone.permission.vehicle.LIGHT_SET })
 * @param status 设置值 {@link int}
 * @return resultCode 返回结果码 {@link ResultCode}
 */
 int setAtmosphereLampDoorOpenStatus(int status);
0x0=Enable
0x1=Disable
 /**
 * 氛围灯车内迎宾设置
 * PermissionRequest(permissions = { zone.permission.vehicle.LIGHT_SET })
 * @param status 设置值 {@link int}
 * @return resultCode 返回结果码 {@link ResultCode}
 */
 int setAtmosphereLampWelcomeGuestsStatus(int status);
0x0=Enable
0x1=Disable
 /**
 * 语音联动模式设置
 * PermissionRequest(permissions = { zone.permission.vehicle.LIGHT_SET })
 * @param status 设置值 {@link int}
 * @return resultCode 返回结果码 {@link ResultCode}
 */
 @ResultCode
 int setAtmosphereVoiceStatus(int status);
0x0=Enable
0x1=Disable
 /**
 * 氛围灯倒车降低亮度设置
 * PermissionRequest(permissions = { zone.permission.vehicle.LIGHT_SET })
 * @param status 设置值 {@link int}
 * @return resultCode 返回结果码 {@link ResultCode}
 */
 @ResultCode
 int setAtmosphereParkStatus(int status);
0x0=Enable
0x1=Disable</v>
      </c>
      <c r="I384" s="158"/>
      <c r="J384" s="11" t="str">
        <v>氛围灯开关</v>
      </c>
      <c r="K384" s="139"/>
      <c r="N384" s="240" t="str">
        <v>✅</v>
      </c>
      <c r="O384" s="11" t="str">
        <v>关闭倒档亮度降低没下发fc，其余的fc输出不稳定</v>
      </c>
      <c r="Q384" s="11" t="str">
        <v>✅</v>
      </c>
      <c r="R384" s="11" t="str">
        <v>❌</v>
      </c>
      <c r="S384" s="11" t="str">
        <v>❌</v>
      </c>
      <c r="T384" s="11" t="str">
        <v>❌</v>
      </c>
      <c r="V384" s="11" t="str">
        <v>✅</v>
      </c>
      <c r="X384" s="11" t="str">
        <v>✅</v>
      </c>
      <c r="Y384" s="11" t="str">
        <v>✅</v>
      </c>
      <c r="Z384" s="11" t="inlineStr">
        <is>
          <r>
            <t>@谢军军</t>
          </r>
        </is>
      </c>
    </row>
    <row r="385" spans="1:26">
      <c r="A385" s="30" t="str">
        <v>内灯</v>
      </c>
      <c r="B385" s="168"/>
      <c r="C385" s="16" t="str">
        <v>氛围灯调节 - 打开驾驶模式随动 / 呼吸律动 / 氛围灯场景灯效</v>
      </c>
      <c r="D385" s="16" t="str">
        <v>P1</v>
      </c>
      <c r="E385" s="16" t="str">
        <v>打开氛围灯驾驶模式随动
打开氛围灯呼吸律动
打开氛围灯场景灯效</v>
      </c>
      <c r="F385" s="181" t="str">
        <v>Y</v>
      </c>
      <c r="G385" s="173" t="str">
        <v> /**
 * 音乐律动设置
 * PermissionRequest(permissions = { zone.permission.vehicle.LIGHT_SET })
 * @param status 设置值 {@link int}
 * @return resultCode 返回结果码 {@link ResultCode}
 */
 int setAtmosphereMusicFollow(int status);
0x0=Enable
0x1=Disable
 /**
 * 氛围灯驾驶模式联动开关设置
 * PermissionRequest(permissions = { zone.permission.vehicle.LIGHT_SET })
 * @param status 设置值 {@link int}
 * @return resultCode 返回结果码 {@link ResultCode}
 */
 int setAtmosphereLinkedDriverModeStatus(int status);
0x0=Enable
0x1=Disable
 /**
 * 氛围灯呼吸效果开关设置
 * PermissionRequest(permissions = { zone.permission.vehicle.LIGHT_SET })
 * @param status 设置值 {@link int}
 * @return resultCode 返回结果码 {@link ResultCode}
 */
 int setAmbientLightBreathStatus(int status);
0x0=OFF 
0x1=ON（快档） 
0x2=Reserved（慢档，无使用场景）
 /**
 * 氛围灯场景灯效设置
 * PermissionRequest(permissions = { zone.permission.vehicle.LIGHT_SET })
 * @param status 设置值 {@link int}
 * @return resultCode 返回结果码 {@link ResultCode}
 */
 @ResultCode
 int setAtmosphereIntelligentStatus(int status);
0x0=Enable
0x1=Disable</v>
      </c>
      <c r="I385" s="158"/>
      <c r="J385" s="174" t="str">
        <v>氛围灯开关</v>
      </c>
      <c r="K385" s="139"/>
      <c r="N385" s="240" t="str">
        <v>✅</v>
      </c>
      <c r="O385" s="16" t="str">
        <v>关闭倒档亮度降低没下发fc，其余的fc输出不稳定</v>
      </c>
      <c r="Q385" s="11" t="str">
        <v>✅</v>
      </c>
      <c r="R385" s="11" t="str">
        <v>❌</v>
      </c>
      <c r="S385" s="11" t="str">
        <v>❌</v>
      </c>
      <c r="T385" s="11" t="str">
        <v>❌</v>
      </c>
      <c r="V385" s="11" t="str">
        <v>✅</v>
      </c>
      <c r="X385" s="11" t="str">
        <v>✅</v>
      </c>
      <c r="Y385" s="11" t="str">
        <v>✅</v>
      </c>
      <c r="Z385" s="11" t="inlineStr">
        <is>
          <r>
            <t>@谢军军</t>
          </r>
        </is>
      </c>
    </row>
    <row r="386" spans="1:26">
      <c r="A386" s="30" t="str">
        <v>内灯</v>
      </c>
      <c r="B386" s="168"/>
      <c r="C386" s="16" t="str">
        <v>氛围灯调节 - 关闭驾驶模式随动 / 呼吸律动 / 氛围灯场景灯效</v>
      </c>
      <c r="D386" s="16" t="str">
        <v>P1</v>
      </c>
      <c r="E386" s="16" t="str">
        <v>关闭氛围灯驾驶模式随动
关闭氛围灯呼吸律动
关闭氛围灯场景灯效</v>
      </c>
      <c r="F386" s="181" t="str">
        <v>Y</v>
      </c>
      <c r="G386" s="173" t="str">
        <v> /**
 * 音乐律动设置
 * PermissionRequest(permissions = { zone.permission.vehicle.LIGHT_SET })
 * @param status 设置值 {@link int}
 * @return resultCode 返回结果码 {@link ResultCode}
 */
 int setAtmosphereMusicFollow(int status);
0x0=Enable
0x1=Disable
 /**
 * 氛围灯驾驶模式联动开关设置
 * PermissionRequest(permissions = { zone.permission.vehicle.LIGHT_SET })
 * @param status 设置值 {@link int}
 * @return resultCode 返回结果码 {@link ResultCode}
 */
 int setAtmosphereLinkedDriverModeStatus(int status);
0x0=Enable
0x1=Disable
 /**
 * 氛围灯呼吸效果开关设置
 * PermissionRequest(permissions = { zone.permission.vehicle.LIGHT_SET })
 * @param status 设置值 {@link int}
 * @return resultCode 返回结果码 {@link ResultCode}
 */
 int setAmbientLightBreathStatus(int status);
0x0=OFF 
0x1=ON（快档） 
0x2=Reserved（慢档，无使用场景）
 /**
 * 氛围灯场景灯效设置
 * PermissionRequest(permissions = { zone.permission.vehicle.LIGHT_SET })
 * @param status 设置值 {@link int}
 * @return resultCode 返回结果码 {@link ResultCode}
 */
 @ResultCode
 int setAtmosphereIntelligentStatus(int status);
0x0=Enable
0x1=Disable</v>
      </c>
      <c r="I386" s="158"/>
      <c r="J386" s="175"/>
      <c r="K386" s="139"/>
      <c r="N386" s="240" t="str">
        <v>✅</v>
      </c>
      <c r="O386" s="16" t="str">
        <v>关闭倒档亮度降低没下发fc，其余的fc输出不稳定</v>
      </c>
      <c r="Q386" s="11" t="str">
        <v>✅</v>
      </c>
      <c r="R386" s="11" t="str">
        <v>❌</v>
      </c>
      <c r="S386" s="11" t="str">
        <v>❌</v>
      </c>
      <c r="T386" s="11" t="str">
        <v>❌</v>
      </c>
      <c r="V386" s="11" t="str">
        <v>✅</v>
      </c>
      <c r="X386" s="11" t="str">
        <v>✅</v>
      </c>
      <c r="Y386" s="11" t="str">
        <v>✅</v>
      </c>
      <c r="Z386" s="11" t="inlineStr">
        <is>
          <r>
            <t>@谢军军</t>
          </r>
        </is>
      </c>
    </row>
    <row r="387" spans="1:30">
      <c r="A387" s="30" t="str">
        <v>内灯</v>
      </c>
      <c r="B387" s="168"/>
      <c r="C387" s="171" t="str">
        <v>语音控制打开关闭阅读灯</v>
      </c>
      <c r="D387" s="171" t="str">
        <v>P0</v>
      </c>
      <c r="E387" s="171" t="str">
        <v>
"打开主驾阅读灯"、"打开阅读灯"</v>
      </c>
      <c r="F387" s="181" t="str">
        <v>Y</v>
      </c>
      <c r="G387" s="173" t="str">
        <v>    
全开全关，position = LightPosition.ALL
/**
     * 阅读灯开关状态设置
     *  PermissionRequest(permissions = { zone.permission.vehicle.LIGHT_SET }) 
     * @param pos 设置值 {@link LightPosition}
     * @param status 设置值 {@link SwitchStatus}
     * @return resultCode 返回结果码 {@link ResultCode}
     */
    int setLampSts(@LightPosition int pos, @NonNull SwitchStatus status);
    /**
     * 阅读灯开关状态获取
     * PermissionRequest(permissions = { zone.permission.vehicle.DEVICE_GET })
     * @param pos {@link LightPosition}
     * @param result  {@link IntResult#getResult}: {@link ReadLightSwitch}
     *
     * @return resultCode 返回结果码 {@link ResultCode}
     */
    int getLampSts(@LightPosition int pos, @NonNull IntResult result);
    default void onLampStsChanged(int pos, IntResult result) {
    }
flag:LightCallbackFlag.CENTR_MAP_LAMP_GLB_STS</v>
      </c>
      <c r="I387" s="158"/>
      <c r="J387" s="11" t="str">
        <v>阅读灯开关</v>
      </c>
      <c r="K387" s="139"/>
      <c r="N387" s="240" t="str">
        <v>✅</v>
      </c>
      <c r="O387" s="242" t="str">
        <v>http://jira.z-onesoftware.com:8080/browse/DNA-1475
此票已关闭</v>
      </c>
      <c r="Q387" s="11" t="str">
        <v>❌</v>
      </c>
      <c r="Y387" s="11" t="str">
        <v>❌</v>
      </c>
      <c r="Z387" s="11" t="inlineStr">
        <is>
          <r>
            <t>@谢军军</t>
          </r>
        </is>
      </c>
      <c r="AC387" s="68" t="str">
        <v>20260723015423A67ACFA1AFAE343930CA</v>
      </c>
      <c r="AD387" s="11" t="str">
        <v>执行了相反的操作</v>
      </c>
    </row>
    <row r="388" spans="1:26">
      <c r="A388" s="30" t="str">
        <v>内灯</v>
      </c>
      <c r="B388" s="168"/>
      <c r="C388" s="171" t="str">
        <v>语音控制阅读灯亮度调节</v>
      </c>
      <c r="D388" s="171" t="str">
        <v>P0</v>
      </c>
      <c r="E388" s="171" t="str">
        <v>主驾驶阅读灯调到柔和/标准/明亮</v>
      </c>
      <c r="F388" s="181" t="str">
        <v>Y</v>
      </c>
      <c r="G388" s="173" t="str">
        <v>    /**
     *  阅读灯亮度设置
     *  PermissionRequest(permissions = { zone.permission.vehicle.LIGHT_SET })
     *   @param level 设置值 {@link 1 .. 30}
     *   * @return resultCode 返回结果码 {@link ResultCode}
     */
    int setReadLightBright(int level);
    /**
     * 阅读灯亮度获取
     * PermissionRequest(permissions = { zone.permission.vehicle.LIGHT_SET })
     * @param result :{@link IntResult#getResult} {@link 1 .. 30}
     * @return resultCode 返回结果码 {@link ResultCode}
     */
    int getReadLightBright(@NonNull IntResult result);
flag：LightCallbackFlag.READING_LIGHT_BRIGHT
    default void onReadLightBrightChanged(@NonNull IntResult value) {
    }
0xA Level10（柔和） 0x14 Level20（标准） 0x1E Level30（明亮）</v>
      </c>
      <c r="I388" s="158"/>
      <c r="J388" s="11" t="str">
        <v>
阅读灯亮度调节</v>
      </c>
      <c r="K388" s="139"/>
      <c r="N388" s="240" t="str">
        <v>✅</v>
      </c>
      <c r="O388" s="240" t="str">
        <v>✅</v>
      </c>
      <c r="Q388" s="11" t="str">
        <v>block</v>
      </c>
      <c r="W388" s="11" t="str">
        <v>block</v>
      </c>
      <c r="Z388" s="11" t="inlineStr">
        <is>
          <r>
            <t>@谢军军</t>
          </r>
        </is>
      </c>
    </row>
    <row r="389" spans="1:30">
      <c r="A389" s="30" t="str">
        <v>内灯</v>
      </c>
      <c r="B389" s="30"/>
      <c r="C389" s="16" t="str">
        <v>开门照明 - 语音控制开门照明使能开关</v>
      </c>
      <c r="D389" s="16" t="str">
        <v>P1</v>
      </c>
      <c r="E389" s="16" t="str">
        <v>打开开门照明；关闭开门照明；开一下开门照明；关一下开门照明；打开智能阅读灯；关闭智能阅读灯</v>
      </c>
      <c r="F389" s="181" t="str">
        <v>Y</v>
      </c>
      <c r="G389" s="173" t="str">
        <v> /**
 * 阅读灯随门开闭开关状态设置
 * PermissionRequest(permissions = { zone.permission.vehicle.LIGHT_SET }) 
 * @param status : {@link SwitchStatus}
 *
 * @return resultCode 返回结果码 {@link ResultCode}
 */
 int setReadLightStatus(@NonNull SwitchStatus status);
0x0=Enable 
0x1=Disable</v>
      </c>
      <c r="I389" s="160"/>
      <c r="J389" s="11" t="str">
        <v>阅读灯开关</v>
      </c>
      <c r="K389" s="156"/>
      <c r="N389" s="240" t="str">
        <v>✅</v>
      </c>
      <c r="O389" s="240" t="str">
        <v>✅</v>
      </c>
      <c r="Q389" s="11" t="str">
        <v>❌</v>
      </c>
      <c r="R389" s="16" t="str">
        <v>❌</v>
      </c>
      <c r="S389" s="240" t="str">
        <v>✅</v>
      </c>
      <c r="T389" s="240" t="str">
        <v>✅</v>
      </c>
      <c r="V389" s="11" t="str">
        <v>❌</v>
      </c>
      <c r="W389" s="11" t="str">
        <v>✅</v>
      </c>
      <c r="X389" s="11" t="str">
        <v>✅</v>
      </c>
      <c r="Y389" s="11" t="str">
        <v>❌</v>
      </c>
      <c r="Z389" s="11" t="inlineStr">
        <is>
          <r>
            <t>@谢军军</t>
          </r>
        </is>
      </c>
      <c r="AA389" s="11" t="str">
        <v>`</v>
      </c>
      <c r="AC389" s="16" t="str">
        <v>20260723010458565966243E3F22D334D7
20260723010529B4ECA90C14A8FFBAC1C5</v>
      </c>
      <c r="AD389" s="16" t="str">
        <v>无法关闭开门照明
无法打开开门照明</v>
      </c>
    </row>
    <row r="390" spans="1:26">
      <c r="A390" s="30" t="str">
        <v>外灯</v>
      </c>
      <c r="B390" s="166" t="str">
        <v>23外灯</v>
      </c>
      <c r="C390" s="171" t="str">
        <v>操控外部灯光 - 打开后雾灯</v>
      </c>
      <c r="D390" s="171" t="str">
        <v>P0</v>
      </c>
      <c r="E390" s="171" t="str">
        <v>打开后雾灯；开启后雾灯；开后雾灯；打开雾灯</v>
      </c>
      <c r="F390" s="181" t="str">
        <v>Y</v>
      </c>
      <c r="G390" s="173" t="str">
        <v> /**
 * 后雾灯开关设置
 * PermissionRequest(permissions = { zone.permission.vehicle.LIGHT_SET }) 
 * @param status 设置值 {@link SwitchStatus}
 * @return resultCode 返回结果码 {@link ResultCode}&lt;br&gt;
 * {@link ResultCode#ERROR_VEHICLE_ECU}: 后雾灯需配合近光灯使⽤，请先开启近光灯/⾃动挡。
 */
 int setFogLightStatus(SwitchStatus status);
0x0=OFF
 0x1=On;</v>
      </c>
      <c r="H390" s="11" t="str">
        <v>✅</v>
      </c>
      <c r="I390" s="157" t="str">
        <v>✅
点检标准：支持系统和硬件驱动的外灯控制（含高度控制）。</v>
      </c>
      <c r="J390" s="11" t="str">
        <v>雾灯开关</v>
      </c>
      <c r="K390" s="61" t="str">
        <v>【外灯】Vehicle_Platform1.0_IS4PR_Yu_Yin_Kong_Zhi_IS4PR_Yu_Yin_Kong_Zhi_Wai_Deng.pdf
平台化_语音控制外灯_flowchart.pdf:https://internal-api-drive-stream.larkoffice.com/space/api/box/stream/download/preview/WELTbjMFzowsMjx7DIIcT15dnLh?mount_point=docx_file&amp;preview_type=16
车外灯PRD：
【23】【外灯0318】Vehicle_Platform1.0_IS4PR_Yu_Yin_Kong_Zhi_IS4PR_Yu_Yin_Kong_Zhi_Wai_Deng.pdf:https://internal-api-drive-stream.larkoffice.com/space/api/box/stream/download/preview/UqOqb47XBoo5Nyxf1U7clVoJnCb?mount_point=docx_file&amp;preview_type=16</v>
      </c>
      <c r="N390" s="240" t="str">
        <v>✅</v>
      </c>
      <c r="O390" s="240" t="str">
        <v>✅</v>
      </c>
      <c r="Q390" s="11" t="str">
        <v>✅</v>
      </c>
      <c r="R390" s="240" t="str">
        <v>✅</v>
      </c>
      <c r="S390" s="240" t="str">
        <v>✅</v>
      </c>
      <c r="T390" s="240" t="str">
        <v>✅</v>
      </c>
      <c r="V390" s="11" t="str">
        <v>✅</v>
      </c>
      <c r="X390" s="11" t="str">
        <v>✅</v>
      </c>
      <c r="Z390" s="11" t="inlineStr">
        <is>
          <r>
            <t>@谢军军</t>
          </r>
        </is>
      </c>
    </row>
    <row r="391" spans="1:26">
      <c r="A391" s="30" t="str">
        <v>外灯</v>
      </c>
      <c r="B391" s="168"/>
      <c r="C391" s="171" t="str">
        <v>操控外部灯光 - 关闭后雾灯</v>
      </c>
      <c r="D391" s="171" t="str">
        <v>P0</v>
      </c>
      <c r="E391" s="171" t="str">
        <v>关闭后雾灯；关后雾灯；关上后雾灯；关闭雾灯</v>
      </c>
      <c r="F391" s="181" t="str">
        <v>Y</v>
      </c>
      <c r="G391" s="173" t="str">
        <v> /**
 * 后雾灯开关设置
 * PermissionRequest(permissions = { zone.permission.vehicle.LIGHT_SET }) 
 * @param status 设置值 {@link SwitchStatus}
 * @return resultCode 返回结果码 {@link ResultCode}&lt;br&gt;
 * {@link ResultCode#ERROR_VEHICLE_ECU}: 后雾灯需配合近光灯使⽤，请先开启近光灯/⾃动挡。
 */
 int setFogLightStatus(SwitchStatus status);
0x0=OFF
 0x1=On;</v>
      </c>
      <c r="H391" s="11" t="str">
        <v>✅</v>
      </c>
      <c r="I391" s="158"/>
      <c r="J391" s="11" t="str">
        <v>雾灯开关</v>
      </c>
      <c r="K391" s="139"/>
      <c r="N391" s="240" t="str">
        <v>✅</v>
      </c>
      <c r="O391" s="240" t="str">
        <v>✅</v>
      </c>
      <c r="Q391" s="11" t="str">
        <v>✅</v>
      </c>
      <c r="R391" s="240" t="str">
        <v>✅</v>
      </c>
      <c r="S391" s="240" t="str">
        <v>✅</v>
      </c>
      <c r="T391" s="240" t="str">
        <v>✅</v>
      </c>
      <c r="V391" s="11" t="str">
        <v>✅</v>
      </c>
      <c r="X391" s="11" t="str">
        <v>✅</v>
      </c>
      <c r="Z391" s="11" t="inlineStr">
        <is>
          <r>
            <t>@谢军军</t>
          </r>
        </is>
      </c>
    </row>
    <row r="392" spans="1:26">
      <c r="A392" s="30" t="str">
        <v>外灯</v>
      </c>
      <c r="B392" s="168"/>
      <c r="C392" s="16" t="str">
        <v>操控外部灯光 - 打开示廓灯</v>
      </c>
      <c r="D392" s="16" t="str">
        <v>P0</v>
      </c>
      <c r="E392" s="16" t="str">
        <v>打开示廓灯；开启示廓灯；开示廓灯；打开位置灯；打开示宽灯</v>
      </c>
      <c r="F392" s="181" t="str">
        <v>Y</v>
      </c>
      <c r="G392"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2" s="11" t="str">
        <v>✅</v>
      </c>
      <c r="I392" s="158"/>
      <c r="J392" s="11" t="str">
        <v>示廓灯开关</v>
      </c>
      <c r="K392" s="139"/>
      <c r="M392" s="243" t="str">
        <v>提供的setMasterLightMode方法和接口实际参数文档上的常量值对不上</v>
      </c>
      <c r="N392" s="240" t="str">
        <v>✅</v>
      </c>
      <c r="O392" s="240" t="str">
        <v>✅</v>
      </c>
      <c r="Q392" s="11" t="str">
        <v>✅</v>
      </c>
      <c r="R392" s="16" t="str">
        <v>❌</v>
      </c>
      <c r="S392" s="240" t="str">
        <v>✅</v>
      </c>
      <c r="T392" s="240" t="str">
        <v>✅</v>
      </c>
      <c r="V392" s="11" t="str">
        <v>✅</v>
      </c>
      <c r="X392" s="11" t="str">
        <v>✅</v>
      </c>
      <c r="Y392" s="11" t="str">
        <v>✅</v>
      </c>
      <c r="Z392" s="11" t="inlineStr">
        <is>
          <r>
            <t>@谢军军</t>
          </r>
        </is>
      </c>
    </row>
    <row r="393" spans="1:26">
      <c r="A393" s="30" t="str">
        <v>外灯</v>
      </c>
      <c r="B393" s="168"/>
      <c r="C393" s="16" t="str">
        <v>操控外部灯光 - 关闭示廓灯</v>
      </c>
      <c r="D393" s="16" t="str">
        <v>P0</v>
      </c>
      <c r="E393" s="16" t="str">
        <v>关闭示廓灯；关示廓灯；关上示廓灯；关闭位置灯；关闭示宽灯</v>
      </c>
      <c r="F393" s="181" t="str">
        <v>Y</v>
      </c>
      <c r="G393"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3" s="11" t="str">
        <v>✅</v>
      </c>
      <c r="I393" s="158"/>
      <c r="J393" s="11" t="str">
        <v>示廓灯开关</v>
      </c>
      <c r="K393" s="139"/>
      <c r="N393" s="240" t="str">
        <v>✅</v>
      </c>
      <c r="O393" s="240" t="str">
        <v>✅</v>
      </c>
      <c r="Q393" s="11" t="str">
        <v>✅</v>
      </c>
      <c r="R393" s="16" t="str">
        <v>❌</v>
      </c>
      <c r="S393" s="240" t="str">
        <v>✅</v>
      </c>
      <c r="T393" s="240" t="str">
        <v>✅</v>
      </c>
      <c r="V393" s="11" t="str">
        <v>✅</v>
      </c>
      <c r="X393" s="11" t="str">
        <v>✅</v>
      </c>
      <c r="Y393" s="11" t="str">
        <v>✅</v>
      </c>
      <c r="Z393" s="11" t="inlineStr">
        <is>
          <r>
            <t>@谢军军</t>
          </r>
        </is>
      </c>
    </row>
    <row r="394" spans="1:26">
      <c r="A394" s="30" t="str">
        <v>外灯</v>
      </c>
      <c r="B394" s="168"/>
      <c r="C394" s="16" t="str">
        <v>操控外部灯光 - 打开近光灯</v>
      </c>
      <c r="D394" s="16" t="str">
        <v>P0</v>
      </c>
      <c r="E394" s="16" t="str">
        <v>打开近光灯；开启近光灯；开近光灯；；打开大灯</v>
      </c>
      <c r="F394" s="181" t="str">
        <v>Y</v>
      </c>
      <c r="G394"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4" s="11" t="str">
        <v>✅</v>
      </c>
      <c r="I394" s="158"/>
      <c r="J394" s="11" t="str">
        <v>远近灯光开关</v>
      </c>
      <c r="K394" s="139"/>
      <c r="M394" s="244" t="str">
        <v>调用返回成功（2000），但实际未执行</v>
      </c>
      <c r="N394" s="240" t="str">
        <v>✅</v>
      </c>
      <c r="O394" s="240" t="str">
        <v>✅</v>
      </c>
      <c r="Q394" s="11" t="str">
        <v>✅</v>
      </c>
      <c r="R394" s="240" t="str">
        <v>✅</v>
      </c>
      <c r="S394" s="240" t="str">
        <v>❌</v>
      </c>
      <c r="T394" s="240" t="str">
        <v>✅</v>
      </c>
      <c r="V394" s="11" t="str">
        <v>✅</v>
      </c>
      <c r="X394" s="11" t="str">
        <v>✅</v>
      </c>
      <c r="Y394" s="11" t="str">
        <v>✅</v>
      </c>
      <c r="Z394" s="11" t="inlineStr">
        <is>
          <r>
            <t>@谢军军</t>
          </r>
        </is>
      </c>
    </row>
    <row r="395" spans="1:26">
      <c r="A395" s="30" t="str">
        <v>外灯</v>
      </c>
      <c r="B395" s="168"/>
      <c r="C395" s="16" t="str">
        <v>操控外部灯光 - 关闭近光灯</v>
      </c>
      <c r="D395" s="16" t="str">
        <v>P0</v>
      </c>
      <c r="E395" s="16" t="str">
        <v>关闭近光灯；关近光灯；关上近光灯；关闭大灯</v>
      </c>
      <c r="F395" s="181" t="str">
        <v>Y</v>
      </c>
      <c r="G395"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5" s="11" t="str">
        <v>✅</v>
      </c>
      <c r="I395" s="158"/>
      <c r="J395" s="11" t="str">
        <v>远近灯光开关</v>
      </c>
      <c r="K395" s="139"/>
      <c r="N395" s="240" t="str">
        <v>✅</v>
      </c>
      <c r="O395" s="240" t="str">
        <v>✅</v>
      </c>
      <c r="Q395" s="11" t="str">
        <v>✅</v>
      </c>
      <c r="R395" s="240" t="str">
        <v>✅</v>
      </c>
      <c r="S395" s="16" t="str">
        <v>❌</v>
      </c>
      <c r="T395" s="240" t="str">
        <v>✅</v>
      </c>
      <c r="V395" s="11" t="str">
        <v>✅</v>
      </c>
      <c r="X395" s="11" t="str">
        <v>✅</v>
      </c>
      <c r="Y395" s="11" t="str">
        <v>✅</v>
      </c>
      <c r="Z395" s="11" t="inlineStr">
        <is>
          <r>
            <t>@谢军军</t>
          </r>
        </is>
      </c>
    </row>
    <row r="396" spans="1:26">
      <c r="A396" s="30" t="str">
        <v>外灯</v>
      </c>
      <c r="B396" s="168"/>
      <c r="C396" s="16" t="str">
        <v>操控外部灯光 - 打开自动大灯</v>
      </c>
      <c r="D396" s="16" t="str">
        <v>P0</v>
      </c>
      <c r="E396" s="16" t="str">
        <v>打开自动大灯；开启自动大灯；开自动大灯</v>
      </c>
      <c r="F396" s="181" t="str">
        <v>Y</v>
      </c>
      <c r="G396"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6" s="11" t="str">
        <v>✅</v>
      </c>
      <c r="I396" s="158"/>
      <c r="J396" s="11" t="str">
        <v>远近灯光开关</v>
      </c>
      <c r="K396" s="139"/>
      <c r="N396" s="240" t="str">
        <v>✅</v>
      </c>
      <c r="O396" s="240" t="str">
        <v>✅</v>
      </c>
      <c r="Q396" s="11" t="str">
        <v>✅</v>
      </c>
      <c r="R396" s="240" t="str">
        <v>✅</v>
      </c>
      <c r="S396" s="16" t="str">
        <v>❌</v>
      </c>
      <c r="T396" s="240" t="str">
        <v>✅</v>
      </c>
      <c r="V396" s="11" t="str">
        <v>✅</v>
      </c>
      <c r="X396" s="11" t="str">
        <v>✅</v>
      </c>
      <c r="Y396" s="11" t="str">
        <v>✅</v>
      </c>
      <c r="Z396" s="11" t="inlineStr">
        <is>
          <r>
            <t>@谢军军</t>
          </r>
        </is>
      </c>
    </row>
    <row r="397" spans="1:26">
      <c r="A397" s="30" t="str">
        <v>外灯</v>
      </c>
      <c r="B397" s="168"/>
      <c r="C397" s="16" t="str">
        <v>操控外部灯光 - 关闭自动大灯</v>
      </c>
      <c r="D397" s="16" t="str">
        <v>P0</v>
      </c>
      <c r="E397" s="16" t="str">
        <v>关闭自动大灯；关自动大灯；关上自动大灯</v>
      </c>
      <c r="F397" s="181" t="str">
        <v>Y</v>
      </c>
      <c r="G397"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7" s="11" t="str">
        <v>✅</v>
      </c>
      <c r="I397" s="158"/>
      <c r="J397" s="11" t="str">
        <v>远近灯光开关</v>
      </c>
      <c r="K397" s="139"/>
      <c r="N397" s="240" t="str">
        <v>✅</v>
      </c>
      <c r="O397" s="240" t="str">
        <v>✅</v>
      </c>
      <c r="Q397" s="11" t="str">
        <v>✅</v>
      </c>
      <c r="R397" s="16" t="str">
        <v>❌</v>
      </c>
      <c r="S397" s="16" t="str">
        <v>❌</v>
      </c>
      <c r="T397" s="240" t="str">
        <v>✅</v>
      </c>
      <c r="V397" s="11" t="str">
        <v>✅</v>
      </c>
      <c r="X397" s="11" t="str">
        <v>✅</v>
      </c>
      <c r="Y397" s="11" t="str">
        <v>✅</v>
      </c>
      <c r="Z397" s="11" t="inlineStr">
        <is>
          <r>
            <t>@谢军军</t>
          </r>
        </is>
      </c>
    </row>
    <row r="398" spans="1:26">
      <c r="A398" s="30" t="str">
        <v>外灯</v>
      </c>
      <c r="B398" s="168"/>
      <c r="C398" s="16" t="str">
        <v>操控外部灯光 - 打开外部灯光</v>
      </c>
      <c r="D398" s="16" t="str">
        <v>P0</v>
      </c>
      <c r="E398" s="16" t="str">
        <v>打开外部灯光；开启外部灯光；开外部灯光；打开所有外部灯光，打开外灯</v>
      </c>
      <c r="F398" s="181" t="str">
        <v>Y</v>
      </c>
      <c r="G398"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8" s="11" t="str">
        <v>✅</v>
      </c>
      <c r="I398" s="158"/>
      <c r="J398" s="11" t="str">
        <v>车外灯开关</v>
      </c>
      <c r="K398" s="139"/>
      <c r="N398" s="240" t="str">
        <v>✅</v>
      </c>
      <c r="O398" s="240" t="str">
        <v>✅</v>
      </c>
      <c r="Q398" s="11" t="str">
        <v>✅</v>
      </c>
      <c r="R398" s="240" t="str">
        <v>✅</v>
      </c>
      <c r="S398" s="240" t="str">
        <v>✅</v>
      </c>
      <c r="T398" s="240" t="str">
        <v>✅</v>
      </c>
      <c r="V398" s="11" t="str">
        <v>✅</v>
      </c>
      <c r="X398" s="11" t="str">
        <v>✅</v>
      </c>
      <c r="Z398" s="11" t="inlineStr">
        <is>
          <r>
            <t>@谢军军</t>
          </r>
        </is>
      </c>
    </row>
    <row r="399" spans="1:30">
      <c r="A399" s="30" t="str">
        <v>外灯</v>
      </c>
      <c r="B399" s="168"/>
      <c r="C399" s="16" t="str">
        <v>操控外部灯光 - 关闭外部灯光</v>
      </c>
      <c r="D399" s="16" t="str">
        <v>P0</v>
      </c>
      <c r="E399" s="16" t="str">
        <v>关闭外部灯光；关外部灯光；关上外部灯光；关闭所有外部灯光，关闭外灯</v>
      </c>
      <c r="F399" s="181" t="str">
        <v>Y</v>
      </c>
      <c r="G399" s="173" t="str">
        <v> /**
 * 主灯模式设置
 * PermissionRequest(permissions = { zone.permission.vehicle.LIGHT_SET }) 
 * @param mode 设置值 {@link MasterLightMode}
 * @return resultCode 返回结果码 {@link ResultCode}
 */
 int setMasterLightMode(@MasterLightMode int mode);
0x0=OFF 
0X1=SidePositionLight ON 
0X2=DippedBeamLight ON 
0X3=AUTO</v>
      </c>
      <c r="H399" s="11" t="str">
        <v>✅</v>
      </c>
      <c r="I399" s="158"/>
      <c r="J399" s="11" t="str">
        <v>车外灯开关</v>
      </c>
      <c r="K399" s="139"/>
      <c r="N399" s="240" t="str">
        <v>✅</v>
      </c>
      <c r="O399" s="240" t="str">
        <v>✅</v>
      </c>
      <c r="P399" s="240" t="str">
        <v>✅</v>
      </c>
      <c r="Q399" s="11" t="str">
        <v>❌</v>
      </c>
      <c r="R399" s="16" t="str">
        <v>❌</v>
      </c>
      <c r="S399" s="240" t="str">
        <v>✅</v>
      </c>
      <c r="T399" s="240" t="str">
        <v>✅</v>
      </c>
      <c r="V399" s="11" t="str">
        <v>✅</v>
      </c>
      <c r="X399" s="11" t="str">
        <v>✅</v>
      </c>
      <c r="Y399" s="11" t="str">
        <v>❌</v>
      </c>
      <c r="Z399" s="11" t="inlineStr">
        <is>
          <r>
            <t>@谢军军</t>
          </r>
        </is>
      </c>
      <c r="AC399" s="16" t="str">
        <v>20260723010529B4ECA90C14A8FFBAC1C5</v>
      </c>
      <c r="AD399" s="11" t="str">
        <v>近光灯+雾灯未关闭</v>
      </c>
    </row>
    <row r="400" spans="1:26">
      <c r="A400" s="30" t="str">
        <v>外灯</v>
      </c>
      <c r="B400" s="168"/>
      <c r="C400" s="16" t="str">
        <v>操控外部灯光 - 打开远光灯</v>
      </c>
      <c r="D400" s="16" t="str">
        <v>P0</v>
      </c>
      <c r="E400" s="16" t="str">
        <v>打开远光灯；开启远光灯；开远光灯</v>
      </c>
      <c r="F400" s="181" t="str">
        <v>N</v>
      </c>
      <c r="G400" s="173" t="str">
        <v>无zoneapi接口，语音话术兜底</v>
      </c>
      <c r="H400" s="11" t="str">
        <v>✅</v>
      </c>
      <c r="I400" s="158"/>
      <c r="J400" s="11" t="str">
        <v>远近灯光开关</v>
      </c>
      <c r="K400" s="139"/>
      <c r="N400" s="11" t="str">
        <v>✅</v>
      </c>
      <c r="O400" s="16" t="str">
        <v>✅</v>
      </c>
      <c r="Q400" s="11" t="str">
        <v>✅</v>
      </c>
      <c r="S400" s="240" t="str">
        <v>❌</v>
      </c>
      <c r="T400" s="240" t="str">
        <v>✅</v>
      </c>
      <c r="V400" s="11" t="str">
        <v>✅</v>
      </c>
      <c r="X400" s="11" t="str">
        <v>✅</v>
      </c>
      <c r="Y400" s="11" t="str">
        <v>✅</v>
      </c>
      <c r="Z400" s="11" t="inlineStr">
        <is>
          <r>
            <t>@谢军军</t>
          </r>
        </is>
      </c>
    </row>
    <row r="401" spans="1:26">
      <c r="A401" s="30" t="str">
        <v>外灯</v>
      </c>
      <c r="B401" s="168"/>
      <c r="C401" s="16" t="str">
        <v>操控外部灯光 - 关闭远光灯</v>
      </c>
      <c r="D401" s="16" t="str">
        <v>P0</v>
      </c>
      <c r="E401" s="16" t="str">
        <v>关闭远光灯；关远光灯；关上远光灯</v>
      </c>
      <c r="F401" s="181" t="str">
        <v>N</v>
      </c>
      <c r="G401" s="173" t="str">
        <v>无zoneapi接口，语音话术兜底</v>
      </c>
      <c r="H401" s="11" t="str">
        <v>✅</v>
      </c>
      <c r="I401" s="158"/>
      <c r="J401" s="11" t="str">
        <v>远近灯光开关</v>
      </c>
      <c r="K401" s="139"/>
      <c r="N401" s="11" t="str">
        <v>✅</v>
      </c>
      <c r="O401" s="16" t="str">
        <v>✅</v>
      </c>
      <c r="Q401" s="11" t="str">
        <v>✅</v>
      </c>
      <c r="S401" s="240" t="str">
        <v>❌</v>
      </c>
      <c r="T401" s="240" t="str">
        <v>✅</v>
      </c>
      <c r="V401" s="11" t="str">
        <v>✅</v>
      </c>
      <c r="X401" s="11" t="str">
        <v>✅</v>
      </c>
      <c r="Y401" s="11" t="str">
        <v>✅</v>
      </c>
      <c r="Z401" s="11" t="inlineStr">
        <is>
          <r>
            <t>@谢军军</t>
          </r>
        </is>
      </c>
    </row>
    <row r="402" spans="1:26">
      <c r="A402" s="30" t="str">
        <v>外灯</v>
      </c>
      <c r="B402" s="168"/>
      <c r="C402" s="171" t="str">
        <v>智能远近光灯始能开关 - 打开智能远近光灯</v>
      </c>
      <c r="D402" s="16" t="str">
        <v>P0</v>
      </c>
      <c r="E402" s="171" t="str">
        <v>打开智能远近光灯；开启智能远近光灯</v>
      </c>
      <c r="F402" s="181" t="str">
        <v>Y</v>
      </c>
      <c r="G402" s="173" t="str">
        <v> /**
 * 自动大灯状态设置
 * PermissionRequest(permissions = { zone.permission.vehicle.LIGHT_SET }) 
 * @param status 设置值 {@link SwitchStatus}
 * @return resultCode 返回结果码 {@link ResultCode}
 */
 int setAutoMainBeamStatus(@NonNull SwitchStatus status);
0x0=Enabled；
 0x1=Disabled；</v>
      </c>
      <c r="H402" s="11" t="str">
        <v>✅</v>
      </c>
      <c r="I402" s="158"/>
      <c r="J402" s="11" t="str">
        <v>远近灯光自动切换开关</v>
      </c>
      <c r="K402" s="139"/>
      <c r="N402" s="240" t="str">
        <v>✅</v>
      </c>
      <c r="O402" s="240" t="str">
        <v>✅</v>
      </c>
      <c r="Q402" s="11" t="str">
        <v>✅</v>
      </c>
      <c r="R402" s="240" t="str">
        <v>✅</v>
      </c>
      <c r="S402" s="240" t="str">
        <v>✅</v>
      </c>
      <c r="T402" s="240" t="str">
        <v>✅</v>
      </c>
      <c r="V402" s="11" t="str">
        <v>✅</v>
      </c>
      <c r="X402" s="11" t="str">
        <v>✅</v>
      </c>
      <c r="Z402" s="11" t="inlineStr">
        <is>
          <r>
            <t>@谢军军</t>
          </r>
        </is>
      </c>
    </row>
    <row r="403" spans="1:26">
      <c r="A403" s="30" t="str">
        <v>外灯</v>
      </c>
      <c r="B403" s="168"/>
      <c r="C403" s="171" t="str">
        <v>智能远近光灯始能开关 - 关闭智能远近光灯</v>
      </c>
      <c r="D403" s="16" t="str">
        <v>P0</v>
      </c>
      <c r="E403" s="171" t="str">
        <v>关闭智能远近光灯；关掉智能远近光灯</v>
      </c>
      <c r="F403" s="181" t="str">
        <v>Y</v>
      </c>
      <c r="G403" s="173" t="str">
        <v> /**
 * 自动大灯状态设置
 * PermissionRequest(permissions = { zone.permission.vehicle.LIGHT_SET }) 
 * @param status 设置值 {@link SwitchStatus}
 * @return resultCode 返回结果码 {@link ResultCode}
 */
 int setAutoMainBeamStatus(@NonNull SwitchStatus status);
0x0=Enabled；
 0x1=Disabled；</v>
      </c>
      <c r="H403" s="11" t="str">
        <v>✅</v>
      </c>
      <c r="I403" s="158"/>
      <c r="J403" s="11" t="str">
        <v>远近灯光自动切换开关</v>
      </c>
      <c r="K403" s="139"/>
      <c r="N403" s="240" t="str">
        <v>✅</v>
      </c>
      <c r="O403" s="240" t="str">
        <v>✅</v>
      </c>
      <c r="Q403" s="11" t="str">
        <v>✅</v>
      </c>
      <c r="R403" s="240" t="str">
        <v>✅</v>
      </c>
      <c r="S403" s="240" t="str">
        <v>✅</v>
      </c>
      <c r="T403" s="240" t="str">
        <v>✅</v>
      </c>
      <c r="V403" s="11" t="str">
        <v>✅</v>
      </c>
      <c r="X403" s="11" t="str">
        <v>✅</v>
      </c>
      <c r="Z403" s="11" t="inlineStr">
        <is>
          <r>
            <t>@谢军军</t>
          </r>
        </is>
      </c>
    </row>
    <row r="404" spans="1:26">
      <c r="A404" s="30" t="str">
        <v>外灯</v>
      </c>
      <c r="B404" s="168"/>
      <c r="C404" s="171" t="str">
        <v>语音控制迎宾灯语始能开关</v>
      </c>
      <c r="D404" s="171" t="str">
        <v>P1</v>
      </c>
      <c r="E404" s="171" t="str">
        <v>打开迎宾灯语</v>
      </c>
      <c r="F404" s="181" t="str">
        <v>Y</v>
      </c>
      <c r="G404" s="173" t="str">
        <v>int setWelComeLightStatus(SwitchStatus status)
迎宾灯开关设置 PermissionRequest(permissions = { zone.permission.vehicle.LIGHT_SET })
参数:
status - 设置值 SwitchStatus
int getWelcomeLightStatus(@NonNull
 IntResult result)
迎宾灯开关获取 PermissionRequest(permissions = { zone.permission.vehicle.DEVICE_GET })
参数:
result - BaseResult.getResult() LightConstants.LightSwitch
LightCallbackFlag WELCOME_LIGHT_STATUS
onWelcomeLightStatusChanged 回调</v>
      </c>
      <c r="I404" s="158"/>
      <c r="J404" s="11" t="str">
        <v>迎宾灯开关</v>
      </c>
      <c r="K404" s="139"/>
      <c r="N404" s="240" t="str">
        <v>✅</v>
      </c>
      <c r="O404" s="240" t="str">
        <v>✅</v>
      </c>
      <c r="Q404" s="11" t="str">
        <v>✅</v>
      </c>
      <c r="R404" s="11" t="str">
        <v>❌</v>
      </c>
      <c r="S404" s="240" t="str">
        <v>✅</v>
      </c>
      <c r="T404" s="240" t="str">
        <v>✅</v>
      </c>
      <c r="V404" s="11" t="str">
        <v>✅</v>
      </c>
      <c r="X404" s="11" t="str">
        <v>✅</v>
      </c>
      <c r="Y404" s="11" t="str">
        <v>✅</v>
      </c>
      <c r="Z404" s="11" t="inlineStr">
        <is>
          <r>
            <t>@谢军军</t>
          </r>
        </is>
      </c>
    </row>
    <row r="405" spans="1:26">
      <c r="A405" s="30" t="str">
        <v>外灯</v>
      </c>
      <c r="B405" s="168"/>
      <c r="C405" s="171" t="str">
        <v>语音控制迎宾灯语始能开关</v>
      </c>
      <c r="D405" s="171" t="str">
        <v>P1</v>
      </c>
      <c r="E405" s="171" t="str">
        <v>关掉迎宾灯语</v>
      </c>
      <c r="F405" s="181" t="str">
        <v>Y</v>
      </c>
      <c r="G405" s="173" t="str">
        <v>int setWelComeLightStatus(SwitchStatus status)
迎宾灯开关设置 PermissionRequest(permissions = { zone.permission.vehicle.LIGHT_SET })
参数:
status - 设置值 SwitchStatus
int getWelcomeLightStatus(@NonNull
 IntResult result)
迎宾灯开关获取 PermissionRequest(permissions = { zone.permission.vehicle.DEVICE_GET })
参数:
result - BaseResult.getResult() LightConstants.LightSwitch
LightCallbackFlag WELCOME_LIGHT_STATUS
onWelcomeLightStatusChanged 回调</v>
      </c>
      <c r="I405" s="158"/>
      <c r="J405" s="11" t="str">
        <v>迎宾灯开关</v>
      </c>
      <c r="K405" s="139"/>
      <c r="N405" s="240" t="str">
        <v>✅</v>
      </c>
      <c r="O405" s="240" t="str">
        <v>✅</v>
      </c>
      <c r="Q405" s="11" t="str">
        <v>✅</v>
      </c>
      <c r="R405" s="11" t="str">
        <v>❌</v>
      </c>
      <c r="S405" s="240" t="str">
        <v>✅</v>
      </c>
      <c r="T405" s="240" t="str">
        <v>✅</v>
      </c>
      <c r="V405" s="11" t="str">
        <v>✅</v>
      </c>
      <c r="X405" s="11" t="str">
        <v>✅</v>
      </c>
      <c r="Y405" s="11" t="str">
        <v>✅</v>
      </c>
      <c r="Z405" s="11" t="inlineStr">
        <is>
          <r>
            <t>@谢军军</t>
          </r>
        </is>
      </c>
    </row>
    <row r="406" spans="1:26">
      <c r="A406" s="30" t="str">
        <v>外灯</v>
      </c>
      <c r="B406" s="168"/>
      <c r="C406" s="171" t="str">
        <v>车灯高度调节 - 车灯高度调节到某档位</v>
      </c>
      <c r="D406" s="171" t="str">
        <v>P0</v>
      </c>
      <c r="E406" s="171" t="str">
        <v>车灯高度调到标准；车灯高度调到最低；车灯高度调到较低；车灯高度调到高</v>
      </c>
      <c r="F406" s="181" t="str">
        <v>Y</v>
      </c>
      <c r="G406" s="173" t="str">
        <v> /**
 * 前大灯高度设置
 * PermissionRequest(permissions = { zone.permission.vehicle.LIGHT_SET }) 
 * @param level 设置值 {@link HeadLampHighLevel}
 * @return resultCode 返回结果码 {@link ResultCode}
 */
 int setHeadLightHighLevel(@HeadLampHighLevel int level);
0x1=Level1；高 ,默认0x1高 
0x2=Level2；标准 
0x3=Level3；较低
 0x4=Level4；最低</v>
      </c>
      <c r="H406" s="11" t="str">
        <v>✅</v>
      </c>
      <c r="I406" s="158"/>
      <c r="J406" s="11" t="str">
        <v>远近灯光高度调节</v>
      </c>
      <c r="K406" s="139"/>
      <c r="M406" s="11" t="str">
        <v>返回成功，实际未执行</v>
      </c>
      <c r="N406" s="240" t="str">
        <v>✅</v>
      </c>
      <c r="O406" s="240" t="str">
        <v>✅</v>
      </c>
      <c r="Q406" s="11" t="str">
        <v>✅</v>
      </c>
      <c r="R406" s="11" t="str">
        <v>❌</v>
      </c>
      <c r="S406" s="240" t="str">
        <v>✅</v>
      </c>
      <c r="T406" s="240" t="str">
        <v>✅</v>
      </c>
      <c r="V406" s="11" t="str">
        <v>✅</v>
      </c>
      <c r="X406" s="11" t="str">
        <v>✅</v>
      </c>
      <c r="Y406" s="11" t="str">
        <v>✅</v>
      </c>
      <c r="Z406" s="11" t="inlineStr">
        <is>
          <r>
            <t>@谢军军</t>
          </r>
        </is>
      </c>
    </row>
    <row r="407" spans="1:26">
      <c r="A407" s="30" t="str">
        <v>外灯</v>
      </c>
      <c r="B407" s="168"/>
      <c r="C407" s="171" t="str">
        <v>车灯高度调节 - 车灯高度调高</v>
      </c>
      <c r="D407" s="171" t="str">
        <v>P0</v>
      </c>
      <c r="E407" s="171" t="str">
        <v>调高车灯高度；把车灯高度调高；车灯高度往上调</v>
      </c>
      <c r="F407" s="181" t="str">
        <v>Y</v>
      </c>
      <c r="G407" s="173" t="str">
        <v> /**
 * 前大灯高度设置
 * PermissionRequest(permissions = { zone.permission.vehicle.LIGHT_SET }) 
 * @param level 设置值 {@link HeadLampHighLevel}
 * @return resultCode 返回结果码 {@link ResultCode}
 */
 int setHeadLightHighLevel(@HeadLampHighLevel int level);
0x1=Level1；高 ,默认0x1高 
0x2=Level2；标准 
0x3=Level3；较低
 0x4=Level4；最低</v>
      </c>
      <c r="H407" s="11" t="str">
        <v>✅</v>
      </c>
      <c r="I407" s="158"/>
      <c r="J407" s="11" t="str">
        <v>远近灯光高度调节</v>
      </c>
      <c r="K407" s="139"/>
      <c r="M407" s="11" t="str">
        <v>返回成功，实际未执行</v>
      </c>
      <c r="N407" s="240" t="str">
        <v>✅</v>
      </c>
      <c r="O407" s="240" t="str">
        <v>✅</v>
      </c>
      <c r="Q407" s="11" t="str">
        <v>✅</v>
      </c>
      <c r="R407" s="11" t="str">
        <v>❌</v>
      </c>
      <c r="S407" s="240" t="str">
        <v>✅</v>
      </c>
      <c r="T407" s="240" t="str">
        <v>✅</v>
      </c>
      <c r="V407" s="11" t="str">
        <v>✅</v>
      </c>
      <c r="X407" s="11" t="str">
        <v>✅</v>
      </c>
      <c r="Y407" s="11" t="str">
        <v>✅</v>
      </c>
      <c r="Z407" s="11" t="inlineStr">
        <is>
          <r>
            <t>@谢军军</t>
          </r>
        </is>
      </c>
    </row>
    <row r="408" spans="1:26">
      <c r="A408" s="30" t="str">
        <v>外灯</v>
      </c>
      <c r="B408" s="168"/>
      <c r="C408" s="171" t="str">
        <v>车灯高度调节 - 车灯高度调低</v>
      </c>
      <c r="D408" s="171" t="str">
        <v>P0</v>
      </c>
      <c r="E408" s="171" t="str">
        <v>调低车灯高度；把车灯高度调低；车灯高度往下调</v>
      </c>
      <c r="F408" s="181" t="str">
        <v>Y</v>
      </c>
      <c r="G408" s="173" t="str">
        <v> /**
 * 前大灯高度设置
 * PermissionRequest(permissions = { zone.permission.vehicle.LIGHT_SET }) 
 * @param level 设置值 {@link HeadLampHighLevel}
 * @return resultCode 返回结果码 {@link ResultCode}
 */
 int setHeadLightHighLevel(@HeadLampHighLevel int level);
0x1=Level1；高 ,默认0x1高 
0x2=Level2；标准 
0x3=Level3；较低
 0x4=Level4；最低</v>
      </c>
      <c r="H408" s="11" t="str">
        <v>✅</v>
      </c>
      <c r="I408" s="158"/>
      <c r="J408" s="11" t="str">
        <v>远近灯光高度调节</v>
      </c>
      <c r="K408" s="139"/>
      <c r="M408" s="11" t="str">
        <v>返回成功，实际未执行</v>
      </c>
      <c r="N408" s="240" t="str">
        <v>✅</v>
      </c>
      <c r="O408" s="240" t="str">
        <v>✅</v>
      </c>
      <c r="Q408" s="11" t="str">
        <v>✅</v>
      </c>
      <c r="R408" s="11" t="str">
        <v>❌</v>
      </c>
      <c r="S408" s="240" t="str">
        <v>✅</v>
      </c>
      <c r="T408" s="240" t="str">
        <v>✅</v>
      </c>
      <c r="V408" s="11" t="str">
        <v>✅</v>
      </c>
      <c r="X408" s="11" t="str">
        <v>✅</v>
      </c>
      <c r="Y408" s="11" t="str">
        <v>✅</v>
      </c>
      <c r="Z408" s="11" t="inlineStr">
        <is>
          <r>
            <t>@谢军军</t>
          </r>
        </is>
      </c>
    </row>
    <row r="409" spans="1:26">
      <c r="A409" s="30" t="str">
        <v>外灯</v>
      </c>
      <c r="B409" s="168"/>
      <c r="C409" s="171" t="str">
        <v>车灯高度调节 - 车灯高度调最高</v>
      </c>
      <c r="D409" s="16" t="str">
        <v>P0</v>
      </c>
      <c r="E409" s="171" t="str">
        <v>车灯高度调到最高；把车灯高度调到最高</v>
      </c>
      <c r="F409" s="181" t="str">
        <v>Y</v>
      </c>
      <c r="G409" s="173" t="str">
        <v> /**
 * 前大灯高度设置
 * PermissionRequest(permissions = { zone.permission.vehicle.LIGHT_SET }) 
 * @param level 设置值 {@link HeadLampHighLevel}
 * @return resultCode 返回结果码 {@link ResultCode}
 */
 int setHeadLightHighLevel(@HeadLampHighLevel int level);
0x1=Level1；高 ,默认0x1高 
0x2=Level2；标准 
0x3=Level3；较低
 0x4=Level4；最低</v>
      </c>
      <c r="H409" s="11" t="str">
        <v>✅</v>
      </c>
      <c r="I409" s="158"/>
      <c r="J409" s="11" t="str">
        <v>远近灯光高度调节</v>
      </c>
      <c r="K409" s="139"/>
      <c r="M409" s="11" t="str">
        <v>返回成功，实际未执行</v>
      </c>
      <c r="N409" s="240" t="str">
        <v>✅</v>
      </c>
      <c r="O409" s="240" t="str">
        <v>✅</v>
      </c>
      <c r="Q409" s="11" t="str">
        <v>✅</v>
      </c>
      <c r="R409" s="11" t="str">
        <v>❌</v>
      </c>
      <c r="S409" s="240" t="str">
        <v>✅</v>
      </c>
      <c r="T409" s="240" t="str">
        <v>✅</v>
      </c>
      <c r="V409" s="11" t="str">
        <v>✅</v>
      </c>
      <c r="X409" s="11" t="str">
        <v>✅</v>
      </c>
      <c r="Y409" s="11" t="str">
        <v>✅</v>
      </c>
      <c r="Z409" s="11" t="inlineStr">
        <is>
          <r>
            <t>@谢军军</t>
          </r>
        </is>
      </c>
    </row>
    <row r="410" spans="1:26">
      <c r="A410" s="30" t="str">
        <v>外灯</v>
      </c>
      <c r="B410" s="168"/>
      <c r="C410" s="171" t="str">
        <v>车灯高度调节 - 车灯高度调最低</v>
      </c>
      <c r="D410" s="16" t="str">
        <v>P0</v>
      </c>
      <c r="E410" s="171" t="str">
        <v>车灯高度调到最低；把车灯高度调到最低</v>
      </c>
      <c r="F410" s="181" t="str">
        <v>Y</v>
      </c>
      <c r="G410" s="173" t="str">
        <v> /**
 * 前大灯高度设置
 * PermissionRequest(permissions = { zone.permission.vehicle.LIGHT_SET }) 
 * @param level 设置值 {@link HeadLampHighLevel}
 * @return resultCode 返回结果码 {@link ResultCode}
 */
 int setHeadLightHighLevel(@HeadLampHighLevel int level);
0x1=Level1；高 ,默认0x1高 
0x2=Level2；标准 
0x3=Level3；较低
 0x4=Level4；最低</v>
      </c>
      <c r="H410" s="11" t="str">
        <v>✅</v>
      </c>
      <c r="I410" s="158"/>
      <c r="J410" s="11" t="str">
        <v>远近灯光高度调节</v>
      </c>
      <c r="K410" s="139"/>
      <c r="M410" s="11" t="str">
        <v>返回成功，实际未执行</v>
      </c>
      <c r="N410" s="240" t="str">
        <v>✅</v>
      </c>
      <c r="O410" s="240" t="str">
        <v>✅</v>
      </c>
      <c r="Q410" s="11" t="str">
        <v>✅</v>
      </c>
      <c r="R410" s="11" t="str">
        <v>❌</v>
      </c>
      <c r="S410" s="11" t="str">
        <v>✅</v>
      </c>
      <c r="T410" s="11" t="str">
        <v>✅</v>
      </c>
      <c r="V410" s="11" t="str">
        <v>✅</v>
      </c>
      <c r="X410" s="11" t="str">
        <v>✅</v>
      </c>
      <c r="Y410" s="11" t="str">
        <v>✅</v>
      </c>
      <c r="Z410" s="11" t="inlineStr">
        <is>
          <r>
            <t>@谢军军</t>
          </r>
        </is>
      </c>
    </row>
    <row r="411" spans="1:26">
      <c r="A411" s="30" t="str">
        <v>外灯</v>
      </c>
      <c r="B411" s="30"/>
      <c r="C411" s="16" t="str">
        <v>伴我回家设置 - 设置伴我回家时长</v>
      </c>
      <c r="D411" s="16" t="str">
        <v>P1</v>
      </c>
      <c r="E411" s="16" t="str">
        <v>伴我回家设置为关闭；伴我回家设置为 15s；伴我回家设置为 30s；伴我回家设置为 60s</v>
      </c>
      <c r="F411" s="181" t="str">
        <v>Y</v>
      </c>
      <c r="G411" s="173" t="str">
        <v> /**
 * 伴我回家模式设置
 * PermissionRequest(permissions = { zone.permission.vehicle.LIGHT_SET })
 *
 * @param mode 设置值 {@link FollowMeHomeMode}
 * @return resultCode 返回结果码 {@link ResultCode}
 */
 int setAutoFollowMeMode(@FollowMeHomeMode int mode);
0x0=关闭；默认关闭 
0xF=15s 
0x1E=30s 
0x3C=60s</v>
      </c>
      <c r="H411" s="11" t="str">
        <v>✅</v>
      </c>
      <c r="I411" s="160"/>
      <c r="J411" s="11" t="str">
        <v>延时照明时长设置
延时照明开关</v>
      </c>
      <c r="K411" s="156"/>
      <c r="M411" s="11" t="str">
        <v>返回成功，实际未执行</v>
      </c>
      <c r="N411" s="240" t="str">
        <v>✅</v>
      </c>
      <c r="O411" s="240" t="str">
        <v>✅</v>
      </c>
      <c r="Q411" s="11" t="str">
        <v>✅</v>
      </c>
      <c r="R411" s="240" t="str">
        <v>✅</v>
      </c>
      <c r="S411" s="240" t="str">
        <v>❌</v>
      </c>
      <c r="T411" s="240" t="str">
        <v>✅</v>
      </c>
      <c r="V411" s="11" t="str">
        <v>✅</v>
      </c>
      <c r="X411" s="11" t="str">
        <v>✅</v>
      </c>
      <c r="Y411" s="11" t="str">
        <v>✅</v>
      </c>
      <c r="Z411" s="11" t="inlineStr">
        <is>
          <r>
            <t>@谢军军</t>
          </r>
        </is>
      </c>
    </row>
    <row r="412" spans="1:26">
      <c r="A412" s="30" t="str">
        <v>控制智能场景</v>
      </c>
      <c r="B412" s="16" t="str">
        <v>24控制智能场景</v>
      </c>
      <c r="C412" s="16" t="str">
        <v>打开闭预置的智能场景名称</v>
      </c>
      <c r="D412" s="16" t="str">
        <v>P1</v>
      </c>
      <c r="E412" s="16" t="str">
        <v>打开/关闭+&lt;场景名称&gt;
场景名称：通勤模式、舒适升温、舒适降温、小憩模式、宠物模式、尊享模式、前排观影模式、后排观影模式、防晕车模式、露营模式、洗车模式、离车不下电模式、保驾护航模式</v>
      </c>
      <c r="F412" s="11" t="str">
        <v>Y</v>
      </c>
      <c r="G412" s="92" t="str">
        <v>IS4PR智能场景ZoneApi接口文档.rar </v>
      </c>
      <c r="I412" s="11" t="str">
        <v>✅</v>
      </c>
      <c r="J412" s="11" t="str">
        <v>Planner实现</v>
      </c>
      <c r="K412" s="92" t="str">
        <v>IS4PR_语音控制智能场景_Flowchart_V1.0.pdf
【24】【智能场景】Vehicle_Platform1.0_IS4PR_Yu_Yin_Kong_Zhi_IS4PR_Yu_Yin_Kong_Zhi_Zhi_Neng_Chang_Jing.pdf:https://internal-api-drive-stream.larkoffice.com/space/api/box/stream/download/preview/E0bRb8MSdoOLMJxvj0Cc6g9ln6g?mount_point=docx_file&amp;preview_type=16</v>
      </c>
      <c r="M412" s="11" t="str">
        <v>通过基础原子能力实现，不单独做</v>
      </c>
      <c r="Z412" s="11" t="inlineStr">
        <is>
          <r>
            <t>@谢军军</t>
          </r>
        </is>
      </c>
    </row>
    <row r="413" spans="1:35">
      <c r="A413" s="30" t="str">
        <v>个人中心</v>
      </c>
      <c r="B413" s="166" t="str">
        <v>25个人中心</v>
      </c>
      <c r="C413" s="16" t="str">
        <v>语音控制账号登录</v>
      </c>
      <c r="D413" s="16" t="str">
        <v>P1</v>
      </c>
      <c r="E413" s="16" t="str">
        <v>切换账号
登录账号</v>
      </c>
      <c r="F413" s="11" t="str">
        <v>Y</v>
      </c>
      <c r="G413" s="173" t="str">
        <v>调出个人中心页面，弹出账户切换窗口的接口
 先调用startActivity拉起个人中心画面com.zone.hmi.account/.MainActivity，
 然后delay 1.5s 发送广播com.zone.hmi.account.VOICE_SWITCH
或者用下面的广播拉起登录/切换弹窗
Intent intent = new Intent();
 ComponentName cn = new ComponentName("com.zone.hmi.account",
 "com.zone.hmi.account.AccountWindowService");
 intent.setComponent(cn);
 intent.setAction("android.intent.action.ACCOUNT_LOGIN");
 mContext.startForegroundService(intent);</v>
      </c>
      <c r="J413" s="11" t="str">
        <v>账号登录
账号切换</v>
      </c>
      <c r="K413" s="92" t="str">
        <v>
Vehicle_Platform1.0_IS4PR_Yu_Yin_Kong_Zhi_IS4PR_Yu_Yin_Kong_Zhi_Ge_Ren_Zhong_Xin__PRD.pdf</v>
      </c>
      <c r="N413" s="11" t="str">
        <v>✅</v>
      </c>
      <c r="O413" s="11" t="str">
        <v>✅</v>
      </c>
      <c r="Q413" s="11" t="str">
        <v>✅</v>
      </c>
      <c r="R413" s="240" t="str">
        <v>❌</v>
      </c>
      <c r="S413" s="240" t="str">
        <v>❌</v>
      </c>
      <c r="T413" s="240" t="str">
        <v>✅</v>
      </c>
      <c r="V413" s="240" t="str">
        <v>✅</v>
      </c>
      <c r="X413" s="11" t="str">
        <v>✅</v>
      </c>
      <c r="Z413" s="11" t="inlineStr">
        <is>
          <r>
            <t>@谢军军</t>
          </r>
        </is>
      </c>
      <c r="AI413" s="61" t="str">
        <v>usercenter-1.0.5-20260313.024554-10.aar </v>
      </c>
    </row>
    <row r="414" spans="1:35">
      <c r="A414" s="30" t="str">
        <v>个人中心</v>
      </c>
      <c r="B414" s="168"/>
      <c r="C414" s="16" t="str">
        <v>语音退登账号</v>
      </c>
      <c r="D414" s="16" t="str">
        <v>P1</v>
      </c>
      <c r="E414" s="16" t="str">
        <v>退出账号</v>
      </c>
      <c r="F414" s="11" t="str">
        <v>Y</v>
      </c>
      <c r="G414" s="16" t="str">
        <v>调出个人中心页面，弹出退出账号二次确认弹窗的接口
 先调用startActivity拉起个人中心画面com.zone.hmi.account/.MainActivity，
 然后delay 1.5s 发送广播com.zone.hmi.account.VOICE_LOGOUT</v>
      </c>
      <c r="J414" s="11" t="str">
        <v>账号退出</v>
      </c>
      <c r="K414" s="61" t="str">
        <v>【25】【个人中心】Vehicle_Platform1.0_IS4PR_Yu_Yin_Kong_Zhi_IS4PR_Yu_Yin_Kong_Zhi_Ge_Ren_Zhong_Xin__PRD.pdf</v>
      </c>
      <c r="N414" s="11" t="str">
        <v>✅</v>
      </c>
      <c r="O414" s="11" t="str">
        <v>✅</v>
      </c>
      <c r="Q414" s="11" t="str">
        <v>✅</v>
      </c>
      <c r="R414" s="240" t="str">
        <v>❌</v>
      </c>
      <c r="S414" s="240" t="str">
        <v>❌</v>
      </c>
      <c r="T414" s="240" t="str">
        <v>Block</v>
      </c>
      <c r="V414" s="240" t="str">
        <v>Block</v>
      </c>
      <c r="X414" s="11" t="str">
        <v>✅</v>
      </c>
      <c r="Z414" s="11" t="inlineStr">
        <is>
          <r>
            <t>@谢军军</t>
          </r>
        </is>
      </c>
      <c r="AI414" s="139"/>
    </row>
    <row r="415" spans="1:35">
      <c r="A415" s="30" t="str">
        <v>个人中心</v>
      </c>
      <c r="B415" s="168"/>
      <c r="C415" s="164" t="str">
        <v>语音控制导航账号切换</v>
      </c>
      <c r="D415" s="16" t="str">
        <v>P1</v>
      </c>
      <c r="E415" s="164" t="str">
        <v>登录导航账号
解绑导航账号</v>
      </c>
      <c r="F415" s="11" t="str">
        <v>Y</v>
      </c>
      <c r="G415" s="245" t="str">
        <v>先调用startActivity拉起个人中心画面com.zone.hmi.account/.MainActivity，
 然后delay 1.5s 发送广播com.zone.hmi.account.VOICE_BIND，附带扩展参数bind，int类型，0代表解绑，1代表绑定</v>
      </c>
      <c r="J415" s="217" t="str">
        <v>导航账号操作</v>
      </c>
      <c r="K415" s="139"/>
      <c r="N415" s="11" t="str">
        <v>✅</v>
      </c>
      <c r="O415" s="11" t="str">
        <v>✅</v>
      </c>
      <c r="Q415" s="11" t="str">
        <v>blcok</v>
      </c>
      <c r="Z415" s="11" t="inlineStr">
        <is>
          <r>
            <t>@谢军军</t>
          </r>
        </is>
      </c>
      <c r="AI415" s="139"/>
    </row>
    <row r="416" spans="1:35">
      <c r="A416" s="30" t="str">
        <v>个人中心</v>
      </c>
      <c r="B416" s="168"/>
      <c r="C416" s="16" t="str">
        <v>人脸识别登录账号</v>
      </c>
      <c r="D416" s="16" t="str">
        <v>P1</v>
      </c>
      <c r="E416" s="16" t="str">
        <v>打开/关闭 人脸识别登录账号开关
</v>
      </c>
      <c r="F416" s="11" t="str">
        <v>VehCtrlController</v>
      </c>
      <c r="G416" s="16" t="str">
        <v>打开、关闭人脸识别开关接口，需要先判断当前是打开还是关闭，再按下面要求发送指令，会切换打开关闭设置
先调用startActivity拉起个人中心画面com.zone.hmi.account/.MainActivity，
 然后delay 1.5s 发送广播com.zone.hmi.account.VOICE_FACE_SWITCH
判断该账号是否开启人脸识别登录账号开关的接口
 使用UserCenterManager.getInstance(),必须在应用一开始的时候初始化。
 需要androidmanifest里面声明下列权限
&lt;uses-permission android:name="zone.permission.account.CONTROL_USER_CENTER"/&gt;
 调用getFaceLoginFuncStatus(),如果值=7（FACE_LOGIN_FUNC_STATUS_PERMISSION_BIT|FACE_LOGIN_FUNC_STATUS_SWITCH_BIT|FACE_LOGIN_FUNC_STATUS_AUTO_LOGIN_BIT），表示开关打开，反之关闭</v>
      </c>
      <c r="J416" s="217" t="str">
        <v>人脸识别登录开关</v>
      </c>
      <c r="K416" s="139"/>
      <c r="N416" s="11" t="str">
        <v>✅</v>
      </c>
      <c r="O416" s="11" t="str">
        <v>✅</v>
      </c>
      <c r="Q416" s="11" t="str">
        <v>blcok</v>
      </c>
      <c r="Z416" s="11" t="inlineStr">
        <is>
          <r>
            <t>@谢军军</t>
          </r>
        </is>
      </c>
      <c r="AI416" s="139"/>
    </row>
    <row r="417" spans="1:35">
      <c r="A417" s="30" t="str">
        <v>个人中心</v>
      </c>
      <c r="B417" s="168"/>
      <c r="C417" s="16" t="str">
        <v>录入人脸识别信息</v>
      </c>
      <c r="D417" s="16" t="str">
        <v>P0</v>
      </c>
      <c r="E417" s="16" t="str">
        <v>录入人脸</v>
      </c>
      <c r="F417" s="11" t="str">
        <v>Y</v>
      </c>
      <c r="G417" s="16" t="str">
        <v>前提是人脸识别登录开关是关闭的
先调用startActivity拉起个人中心画面com.zone.hmi.account/.MainActivity，
 然后delay 1.5s 发送广播com.zone.hmi.account.VOICE_FACE_SWITCH</v>
      </c>
      <c r="J417" s="46" t="str">
        <v>人脸识别操作</v>
      </c>
      <c r="K417" s="139"/>
      <c r="O417" s="46" t="str">
        <v>开发完毕，上汽侧人脸暂不支持，不具备自测条件sop+3</v>
      </c>
      <c r="Z417" s="11" t="inlineStr">
        <is>
          <r>
            <t>@谢军军</t>
          </r>
        </is>
      </c>
      <c r="AI417" s="139"/>
    </row>
    <row r="418" spans="1:35">
      <c r="A418" s="30" t="str">
        <v>个人中心</v>
      </c>
      <c r="B418" s="30"/>
      <c r="C418" s="16" t="str">
        <v>删除人脸识别信息</v>
      </c>
      <c r="D418" s="16" t="str">
        <v>P1</v>
      </c>
      <c r="E418" s="16" t="str">
        <v>删除人脸</v>
      </c>
      <c r="F418" s="11" t="str">
        <v>Y</v>
      </c>
      <c r="G418" s="16" t="str">
        <v>前提是先判断已录入人脸并且人脸识别登录开关是打开的，
删除人脸识别信息的时候，弹出账号校验弹框的接口
先调用startActivity拉起个人中心画面com.zone.hmi.account/.MainActivity，
 然后delay 1.5s 发送广播com.zone.hmi.account.VOICE_FACE_DELETE
当前该账号下是否已录入人脸信息的接口
 使用UserCenterManager.getInstance(),必须在应用一开始的时候初始化。
 需要androidmanifest里面声明下列权限
&lt;uses-permission android:name="zone.permission.account.CONTROL_USER_CENTER"/&gt;
 调用hasFaceInfo()，必须捕捉servicenotready异常 </v>
      </c>
      <c r="J418" s="110"/>
      <c r="K418" s="156"/>
      <c r="O418" s="110"/>
      <c r="Z418" s="11" t="inlineStr">
        <is>
          <r>
            <t>@谢军军</t>
          </r>
        </is>
      </c>
      <c r="AI418" s="156"/>
    </row>
    <row r="419" spans="1:26">
      <c r="A419" s="30" t="str">
        <v>智能能量池</v>
      </c>
      <c r="B419" s="166" t="str">
        <v>26智能能量池</v>
      </c>
      <c r="C419" s="11" t="str">
        <v>手机无线充电</v>
      </c>
      <c r="D419" s="11" t="str">
        <v>P0</v>
      </c>
      <c r="E419" s="11" t="str">
        <v>打开/关闭(手机)无线充电(面板)(开关)
(手机)无线充电(面板)开一下/关一下
把(手机)无线充电(面板)打开/关闭</v>
      </c>
      <c r="F419" s="11" t="str">
        <v>Y</v>
      </c>
      <c r="G419" s="173" t="str">
        <v>WirelessChargeManager
setChargingSwitchStatus
1是ON，0是OFF
fun onChargingSwitchStatusChanged(p0: Int)
int getChargingSwitchStatus()</v>
      </c>
      <c r="J419" s="11" t="str">
        <v>手机无线充电开关</v>
      </c>
      <c r="K419" s="61" t="str">
        <v>【26】【智能能量池0318】Vehicle_Platform1.0_IS4PR_Yu_Yin_Kong_Zhi_IS4PR_IS4GR_Zhi_Neng_Neng_Liang_Chi__PRD_V1.pdf</v>
      </c>
      <c r="N419" s="11" t="str">
        <v>✅</v>
      </c>
      <c r="Q419" s="11" t="str">
        <v>✅</v>
      </c>
      <c r="S419" s="11" t="str">
        <v>✅</v>
      </c>
      <c r="T419" s="11" t="str">
        <v>✅</v>
      </c>
      <c r="V419" s="11" t="str">
        <v>✅</v>
      </c>
      <c r="X419" s="11" t="str">
        <v>✅</v>
      </c>
      <c r="Z419" s="11" t="inlineStr">
        <is>
          <r>
            <t>@谢军军</t>
          </r>
        </is>
      </c>
    </row>
    <row r="420" spans="1:26">
      <c r="A420" s="30" t="str">
        <v>智能能量池</v>
      </c>
      <c r="B420" s="30"/>
      <c r="C420" s="11" t="str">
        <v>手机遗忘提醒开关</v>
      </c>
      <c r="D420" s="11" t="str">
        <v>P1</v>
      </c>
      <c r="E420" s="11" t="str">
        <v>&lt;打开/关闭&gt;手机遗忘提醒(开关)
手机遗忘提醒(开关)&lt;开/关&gt;一下
把手机遗忘提醒(开关)&lt;打开/关闭&gt;</v>
      </c>
      <c r="F420" s="11" t="str">
        <v>Y</v>
      </c>
      <c r="G420" s="16" t="str">
        <v>WirelessChargeManager
void setReminderSwitchStatus(int var1)
0是ON，1是OFF
int getReminderSwitchStatus()
fun onReminderSwitchStatusChanged(p0: Int)</v>
      </c>
      <c r="J420" s="11" t="str">
        <v>手机遗忘提醒开关</v>
      </c>
      <c r="K420" s="156"/>
      <c r="N420" s="11" t="str">
        <v>✅</v>
      </c>
      <c r="Q420" s="11" t="str">
        <v>✅</v>
      </c>
      <c r="S420" s="11" t="str">
        <v>✅</v>
      </c>
      <c r="T420" s="11" t="str">
        <v>✅</v>
      </c>
      <c r="V420" s="11" t="str">
        <v>✅</v>
      </c>
      <c r="X420" s="11" t="str">
        <v>✅</v>
      </c>
      <c r="Z420" s="11" t="inlineStr">
        <is>
          <r>
            <t>@谢军军</t>
          </r>
        </is>
      </c>
    </row>
  </sheetData>
  <mergeCells count="294">
    <mergeCell ref="C2:C5"/>
    <mergeCell ref="I2:I27"/>
    <mergeCell ref="J2:J21"/>
    <mergeCell ref="P2:P25"/>
    <mergeCell ref="D2:D5"/>
    <mergeCell ref="B2:B27"/>
    <mergeCell ref="K2:K27"/>
    <mergeCell ref="L2:L109"/>
    <mergeCell ref="C6:C8"/>
    <mergeCell ref="H6:H10"/>
    <mergeCell ref="D6:D8"/>
    <mergeCell ref="C9:C10"/>
    <mergeCell ref="D9:D10"/>
    <mergeCell ref="C11:C13"/>
    <mergeCell ref="H11:H18"/>
    <mergeCell ref="D11:D13"/>
    <mergeCell ref="C14:C15"/>
    <mergeCell ref="D14:D15"/>
    <mergeCell ref="C16:C18"/>
    <mergeCell ref="D16:D18"/>
    <mergeCell ref="C19:C21"/>
    <mergeCell ref="D19:D21"/>
    <mergeCell ref="C22:C23"/>
    <mergeCell ref="J22:J23"/>
    <mergeCell ref="D22:D23"/>
    <mergeCell ref="C24:C25"/>
    <mergeCell ref="J24:J25"/>
    <mergeCell ref="D24:D25"/>
    <mergeCell ref="C26:C27"/>
    <mergeCell ref="J26:J27"/>
    <mergeCell ref="D26:D27"/>
    <mergeCell ref="J28:J33"/>
    <mergeCell ref="P28:P86"/>
    <mergeCell ref="K28:K86"/>
    <mergeCell ref="B28:B92"/>
    <mergeCell ref="I28:I109"/>
    <mergeCell ref="J34:J43"/>
    <mergeCell ref="H42:H43"/>
    <mergeCell ref="J44:J45"/>
    <mergeCell ref="J46:J53"/>
    <mergeCell ref="J54:J55"/>
    <mergeCell ref="J56:J57"/>
    <mergeCell ref="J58:J61"/>
    <mergeCell ref="J62:J63"/>
    <mergeCell ref="M62:M63"/>
    <mergeCell ref="J64:J67"/>
    <mergeCell ref="J68:J71"/>
    <mergeCell ref="J72:J74"/>
    <mergeCell ref="J75:J76"/>
    <mergeCell ref="M77:M78"/>
    <mergeCell ref="J77:J78"/>
    <mergeCell ref="J79:J80"/>
    <mergeCell ref="M81:M82"/>
    <mergeCell ref="J81:J82"/>
    <mergeCell ref="J83:J84"/>
    <mergeCell ref="H83:H84"/>
    <mergeCell ref="M85:M86"/>
    <mergeCell ref="J85:J86"/>
    <mergeCell ref="H85:H86"/>
    <mergeCell ref="J89:J92"/>
    <mergeCell ref="B93:B109"/>
    <mergeCell ref="D93:D94"/>
    <mergeCell ref="H93:H109"/>
    <mergeCell ref="K93:K109"/>
    <mergeCell ref="J93:J96"/>
    <mergeCell ref="C93:C94"/>
    <mergeCell ref="D95:D96"/>
    <mergeCell ref="C95:C96"/>
    <mergeCell ref="D97:D99"/>
    <mergeCell ref="J97:J99"/>
    <mergeCell ref="C97:C99"/>
    <mergeCell ref="D100:D102"/>
    <mergeCell ref="J100:J106"/>
    <mergeCell ref="C100:C102"/>
    <mergeCell ref="D103:D106"/>
    <mergeCell ref="C103:C106"/>
    <mergeCell ref="D107:D109"/>
    <mergeCell ref="C107:C109"/>
    <mergeCell ref="J108:J109"/>
    <mergeCell ref="B110:B148"/>
    <mergeCell ref="G110:G125"/>
    <mergeCell ref="H110:H148"/>
    <mergeCell ref="K110:K148"/>
    <mergeCell ref="I110:I148"/>
    <mergeCell ref="J110:J111"/>
    <mergeCell ref="J112:J117"/>
    <mergeCell ref="J118:J119"/>
    <mergeCell ref="J120:J125"/>
    <mergeCell ref="J126:J127"/>
    <mergeCell ref="G133:G134"/>
    <mergeCell ref="J133:J134"/>
    <mergeCell ref="J142:J143"/>
    <mergeCell ref="J144:J145"/>
    <mergeCell ref="J146:J148"/>
    <mergeCell ref="B149:B160"/>
    <mergeCell ref="P149:P160"/>
    <mergeCell ref="J149:J150"/>
    <mergeCell ref="K149:K160"/>
    <mergeCell ref="I149:I160"/>
    <mergeCell ref="G151:G152"/>
    <mergeCell ref="H151:H152"/>
    <mergeCell ref="J151:J152"/>
    <mergeCell ref="J153:J156"/>
    <mergeCell ref="M157:M158"/>
    <mergeCell ref="J157:J158"/>
    <mergeCell ref="J159:J160"/>
    <mergeCell ref="B161:B173"/>
    <mergeCell ref="J161:J168"/>
    <mergeCell ref="K161:K173"/>
    <mergeCell ref="M161:M170"/>
    <mergeCell ref="I161:I173"/>
    <mergeCell ref="P161:P170"/>
    <mergeCell ref="O165:O168"/>
    <mergeCell ref="H165:H170"/>
    <mergeCell ref="J169:J170"/>
    <mergeCell ref="O169:O170"/>
    <mergeCell ref="B174:B181"/>
    <mergeCell ref="M174:M175"/>
    <mergeCell ref="J174:J175"/>
    <mergeCell ref="K174:K181"/>
    <mergeCell ref="I174:I181"/>
    <mergeCell ref="H176:H181"/>
    <mergeCell ref="J176:J177"/>
    <mergeCell ref="B182:B198"/>
    <mergeCell ref="I182:I198"/>
    <mergeCell ref="K182:K198"/>
    <mergeCell ref="H182:H198"/>
    <mergeCell ref="J182:J195"/>
    <mergeCell ref="J197:J198"/>
    <mergeCell ref="B199:B203"/>
    <mergeCell ref="K199:K203"/>
    <mergeCell ref="J199:J203"/>
    <mergeCell ref="B204:B208"/>
    <mergeCell ref="I204:I208"/>
    <mergeCell ref="K204:K208"/>
    <mergeCell ref="M204:M205"/>
    <mergeCell ref="J204:J205"/>
    <mergeCell ref="D207:D208"/>
    <mergeCell ref="C207:C208"/>
    <mergeCell ref="J207:J208"/>
    <mergeCell ref="B209:B212"/>
    <mergeCell ref="D209:D210"/>
    <mergeCell ref="C209:C210"/>
    <mergeCell ref="K209:K212"/>
    <mergeCell ref="D211:D212"/>
    <mergeCell ref="C211:C212"/>
    <mergeCell ref="B213:B262"/>
    <mergeCell ref="C213:C216"/>
    <mergeCell ref="J213:J218"/>
    <mergeCell ref="I213:I262"/>
    <mergeCell ref="K213:K262"/>
    <mergeCell ref="D213:D216"/>
    <mergeCell ref="C217:C218"/>
    <mergeCell ref="D217:D218"/>
    <mergeCell ref="C219:C222"/>
    <mergeCell ref="J219:J234"/>
    <mergeCell ref="D219:D222"/>
    <mergeCell ref="C223:C225"/>
    <mergeCell ref="D223:D225"/>
    <mergeCell ref="C226:C227"/>
    <mergeCell ref="D226:D227"/>
    <mergeCell ref="C228:C230"/>
    <mergeCell ref="D228:D230"/>
    <mergeCell ref="C231:C234"/>
    <mergeCell ref="D231:D234"/>
    <mergeCell ref="D235:D237"/>
    <mergeCell ref="C235:C237"/>
    <mergeCell ref="J235:J237"/>
    <mergeCell ref="D238:D240"/>
    <mergeCell ref="C238:C240"/>
    <mergeCell ref="J238:J240"/>
    <mergeCell ref="D241:D243"/>
    <mergeCell ref="C241:C243"/>
    <mergeCell ref="J241:J243"/>
    <mergeCell ref="D244:D246"/>
    <mergeCell ref="C244:C246"/>
    <mergeCell ref="J244:J246"/>
    <mergeCell ref="D247:D248"/>
    <mergeCell ref="C247:C248"/>
    <mergeCell ref="J247:J248"/>
    <mergeCell ref="D249:D250"/>
    <mergeCell ref="C249:C250"/>
    <mergeCell ref="J249:J250"/>
    <mergeCell ref="D251:D252"/>
    <mergeCell ref="C251:C252"/>
    <mergeCell ref="J251:J252"/>
    <mergeCell ref="G251:G252"/>
    <mergeCell ref="D253:D254"/>
    <mergeCell ref="C253:C254"/>
    <mergeCell ref="J253:J254"/>
    <mergeCell ref="D255:D256"/>
    <mergeCell ref="C255:C256"/>
    <mergeCell ref="J255:J258"/>
    <mergeCell ref="D257:D258"/>
    <mergeCell ref="C257:C258"/>
    <mergeCell ref="D259:D260"/>
    <mergeCell ref="C259:C260"/>
    <mergeCell ref="J259:J260"/>
    <mergeCell ref="D261:D262"/>
    <mergeCell ref="C261:C262"/>
    <mergeCell ref="J261:J262"/>
    <mergeCell ref="B263:B271"/>
    <mergeCell ref="D263:D267"/>
    <mergeCell ref="C263:C267"/>
    <mergeCell ref="K263:K270"/>
    <mergeCell ref="J263:J271"/>
    <mergeCell ref="I263:I271"/>
    <mergeCell ref="D268:D271"/>
    <mergeCell ref="C268:C271"/>
    <mergeCell ref="K271:K278"/>
    <mergeCell ref="B272:B278"/>
    <mergeCell ref="D272:D273"/>
    <mergeCell ref="C272:C273"/>
    <mergeCell ref="J272:J273"/>
    <mergeCell ref="I272:I278"/>
    <mergeCell ref="D274:D278"/>
    <mergeCell ref="C274:C278"/>
    <mergeCell ref="J274:J278"/>
    <mergeCell ref="B279:B289"/>
    <mergeCell ref="D279:D280"/>
    <mergeCell ref="C279:C280"/>
    <mergeCell ref="I279:I289"/>
    <mergeCell ref="J279:J284"/>
    <mergeCell ref="K279:K289"/>
    <mergeCell ref="D281:D282"/>
    <mergeCell ref="C281:C282"/>
    <mergeCell ref="D283:D284"/>
    <mergeCell ref="C283:C284"/>
    <mergeCell ref="C288:C289"/>
    <mergeCell ref="J288:J289"/>
    <mergeCell ref="D288:D289"/>
    <mergeCell ref="B290:B297"/>
    <mergeCell ref="C290:C291"/>
    <mergeCell ref="I290:I297"/>
    <mergeCell ref="K290:K297"/>
    <mergeCell ref="D290:D291"/>
    <mergeCell ref="J292:J293"/>
    <mergeCell ref="C294:C295"/>
    <mergeCell ref="J294:J295"/>
    <mergeCell ref="D294:D295"/>
    <mergeCell ref="C296:C297"/>
    <mergeCell ref="J296:J297"/>
    <mergeCell ref="D296:D297"/>
    <mergeCell ref="B298:B299"/>
    <mergeCell ref="J298:J299"/>
    <mergeCell ref="B300:B342"/>
    <mergeCell ref="I300:I342"/>
    <mergeCell ref="K300:K342"/>
    <mergeCell ref="G300:G307"/>
    <mergeCell ref="M308:M309"/>
    <mergeCell ref="M310:M311"/>
    <mergeCell ref="J312:J313"/>
    <mergeCell ref="M312:M313"/>
    <mergeCell ref="M314:M315"/>
    <mergeCell ref="M316:M317"/>
    <mergeCell ref="J319:J320"/>
    <mergeCell ref="M321:M322"/>
    <mergeCell ref="M323:M324"/>
    <mergeCell ref="J325:J326"/>
    <mergeCell ref="M325:M326"/>
    <mergeCell ref="M327:M328"/>
    <mergeCell ref="J329:J330"/>
    <mergeCell ref="M329:M330"/>
    <mergeCell ref="J335:J336"/>
    <mergeCell ref="J337:J338"/>
    <mergeCell ref="G337:G338"/>
    <mergeCell ref="J339:J340"/>
    <mergeCell ref="M339:M340"/>
    <mergeCell ref="B343:B344"/>
    <mergeCell ref="K343:K344"/>
    <mergeCell ref="G343:G344"/>
    <mergeCell ref="I343:I344"/>
    <mergeCell ref="J343:J344"/>
    <mergeCell ref="B345:B352"/>
    <mergeCell ref="I345:I352"/>
    <mergeCell ref="K345:K352"/>
    <mergeCell ref="B353:B364"/>
    <mergeCell ref="I353:I364"/>
    <mergeCell ref="K353:K364"/>
    <mergeCell ref="B365:B389"/>
    <mergeCell ref="I365:I389"/>
    <mergeCell ref="K365:K389"/>
    <mergeCell ref="AE368:AE376"/>
    <mergeCell ref="J385:J386"/>
    <mergeCell ref="B390:B411"/>
    <mergeCell ref="I390:I411"/>
    <mergeCell ref="K390:K411"/>
    <mergeCell ref="AI413:AI418"/>
    <mergeCell ref="B413:B418"/>
    <mergeCell ref="K414:K418"/>
    <mergeCell ref="J417:J418"/>
    <mergeCell ref="O417:O418"/>
    <mergeCell ref="B419:B420"/>
    <mergeCell ref="K419:K420"/>
  </mergeCells>
  <hyperlinks>
    <hyperlink ref="K2" r:id="rId1"/>
    <hyperlink ref="L2" r:id="rId2"/>
    <hyperlink ref="P2" r:id="rId3"/>
    <hyperlink ref="K28" r:id="rId4"/>
    <hyperlink ref="P28" r:id="rId5"/>
    <hyperlink ref="K93" r:id="rId6"/>
    <hyperlink ref="K110" r:id="rId7"/>
    <hyperlink ref="K149" r:id="rId8"/>
    <hyperlink ref="P149" r:id="rId9"/>
    <hyperlink ref="K161" r:id="rId10"/>
    <hyperlink ref="P161" r:id="rId11"/>
    <hyperlink ref="K174" r:id="rId12"/>
    <hyperlink ref="K182" r:id="rId13"/>
    <hyperlink ref="K204" r:id="rId14"/>
    <hyperlink ref="K209" r:id="rId15"/>
    <hyperlink ref="K213" r:id="rId16"/>
    <hyperlink ref="K263" r:id="rId17"/>
    <hyperlink ref="K271" r:id="rId18"/>
    <hyperlink ref="K279" r:id="rId19"/>
    <hyperlink ref="K290" r:id="rId20"/>
    <hyperlink ref="K300" r:id="rId21"/>
    <hyperlink ref="K343" r:id="rId22"/>
    <hyperlink ref="K345" r:id="rId23"/>
    <hyperlink ref="K353" r:id="rId24"/>
    <hyperlink ref="K365" r:id="rId25"/>
    <hyperlink ref="M368" r:id="rId26"/>
    <hyperlink ref="O387" r:id="rId27"/>
    <hyperlink ref="K390" r:id="rId28"/>
    <hyperlink ref="G412" r:id="rId29"/>
    <hyperlink ref="K412" r:id="rId30"/>
    <hyperlink ref="K413" r:id="rId31"/>
    <hyperlink ref="AI413" r:id="rId32"/>
    <hyperlink ref="K414" r:id="rId33"/>
    <hyperlink ref="K419" r:id="rId34"/>
  </hyperlinks>
  <pageMargins left="0.7" right="0.7" top="0.75" bottom="0.75" header="0.3" footer="0.3"/>
  <pageSetup orientation="portrait"/>
  <drawing r:id="rId3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6.714285714285715" style="1" customWidth="1"/>
    <col min="3" max="3" width="30.571428571428573" style="1" customWidth="1"/>
    <col min="4" max="4" width="11" style="1" customWidth="1"/>
    <col min="5" max="6" width="36.142857142857146" style="1" customWidth="1"/>
    <col min="7" max="7" width="76.28571428571429" style="1" customWidth="1"/>
    <col min="8" max="9" width="15" style="1" customWidth="1"/>
    <col min="10" max="10" width="26.142857142857142" style="1" customWidth="1"/>
    <col min="11" max="11" width="15" style="1" customWidth="1"/>
    <col min="12" max="12" width="11.571428571428571" style="1" customWidth="1"/>
    <col min="13" max="13" width="43" style="1" customWidth="1"/>
    <col min="14" max="14" width="18.428571428571427" style="1" customWidth="1"/>
    <col min="15" max="17" width="15" style="1" customWidth="1"/>
    <col min="18" max="24" width="19.428571428571427" style="1" customWidth="1"/>
    <col min="25" max="25" width="25.857142857142858" style="1" customWidth="1"/>
    <col min="26" max="26" width="15" style="1" customWidth="1"/>
    <col min="27" max="27" width="17.285714285714285" style="1" customWidth="1"/>
    <col min="28" max="29" width="25.571428571428573" style="1" customWidth="1"/>
    <col min="30" max="33" width="15" style="1" customWidth="1"/>
  </cols>
  <sheetData>
    <row r="1" spans="1:33">
      <c r="A1" s="163" t="str">
        <v>一级功能名称</v>
      </c>
      <c r="B1" s="163" t="str">
        <v>一级功能名称</v>
      </c>
      <c r="C1" s="246" t="str">
        <v>二级功能名称</v>
      </c>
      <c r="D1" s="163" t="str">
        <v>优先级</v>
      </c>
      <c r="E1" s="163" t="str">
        <v>语音指令示例</v>
      </c>
      <c r="F1" s="163" t="inlineStr">
        <is>
          <r>
            <t>上汽接口是否支持</t>
          </r>
          <r>
            <t>@周怀君</t>
          </r>
        </is>
      </c>
      <c r="G1" s="163" t="str">
        <v>上汽排期(上汽接口)</v>
      </c>
      <c r="H1" s="163" t="inlineStr">
        <is>
          <r>
            <t>EP实车状态</t>
          </r>
          <r>
            <t>@方令平</t>
          </r>
        </is>
      </c>
      <c r="I1" s="163" t="inlineStr">
        <is>
          <r>
            <t>PPV1实车状态</t>
          </r>
          <r>
            <t xml:space="preserve">
</t>
          </r>
          <r>
            <t>@方令平</t>
          </r>
        </is>
      </c>
      <c r="J1" s="163" t="inlineStr">
        <is>
          <r>
            <t>FC函数</t>
          </r>
          <r>
            <t>@左晨</t>
          </r>
        </is>
      </c>
      <c r="K1" s="163" t="inlineStr">
        <is>
          <r>
            <t xml:space="preserve">控制PRD </t>
          </r>
          <r>
            <t>@左晨</t>
          </r>
        </is>
      </c>
      <c r="L1" s="163" t="inlineStr">
        <is>
          <r>
            <t xml:space="preserve">端状态PRD </t>
          </r>
          <r>
            <t>@陈西钺</t>
          </r>
        </is>
      </c>
      <c r="M1" s="163" t="inlineStr">
        <is>
          <r>
            <t>接口识别</t>
          </r>
          <r>
            <t>@汪帅</t>
          </r>
        </is>
      </c>
      <c r="N1" s="163" t="inlineStr">
        <is>
          <r>
            <t>研发进展</t>
          </r>
          <r>
            <t>@汪帅</t>
          </r>
        </is>
      </c>
      <c r="O1" s="163" t="inlineStr">
        <is>
          <r>
            <t>研发备注</t>
          </r>
          <r>
            <t>@汪帅</t>
          </r>
        </is>
      </c>
      <c r="P1" s="163" t="inlineStr">
        <is>
          <r>
            <t xml:space="preserve">测试用例 </t>
          </r>
          <r>
            <t>@赵晓健</t>
          </r>
        </is>
      </c>
      <c r="Q1" s="163" t="inlineStr">
        <is>
          <r>
            <t xml:space="preserve">测试进展 </t>
          </r>
          <r>
            <t>@赵晓健</t>
          </r>
        </is>
      </c>
      <c r="R1" s="163" t="str">
        <v>0427测试结果</v>
      </c>
      <c r="S1" s="163" t="str">
        <v>0519测试结果</v>
      </c>
      <c r="T1" s="163" t="str">
        <v>0605测试结果</v>
      </c>
      <c r="U1" s="163" t="str">
        <v>0612测试结果</v>
      </c>
      <c r="V1" s="163" t="str">
        <v>0627测试结果</v>
      </c>
      <c r="W1" s="163" t="str">
        <v>0710测试结果</v>
      </c>
      <c r="X1" s="163" t="str">
        <v>0717测试结果</v>
      </c>
      <c r="Y1" s="163" t="str">
        <v>测试QA</v>
      </c>
      <c r="Z1" s="163" t="inlineStr">
        <is>
          <r>
            <t xml:space="preserve">产品走查进展 </t>
          </r>
          <r>
            <t>@左晨</t>
          </r>
        </is>
      </c>
      <c r="AA1" s="163" t="str">
        <v>产品走查备注</v>
      </c>
      <c r="AB1" s="11" t="str">
        <v>logid</v>
      </c>
      <c r="AC1" s="11" t="str">
        <v>问题描述</v>
      </c>
      <c r="AD1" s="11" t="str">
        <v>meego单</v>
      </c>
      <c r="AE1" s="165" t="str">
        <v>当前责任方</v>
      </c>
      <c r="AF1" s="165" t="str">
        <v>当前责任人</v>
      </c>
      <c r="AG1" s="165" t="str">
        <v>问题分类</v>
      </c>
    </row>
    <row r="2" spans="1:25">
      <c r="A2" s="16" t="str">
        <v>系统设置开关控制</v>
      </c>
      <c r="B2" s="166" t="str">
        <v>系统设置开关控制</v>
      </c>
      <c r="C2" s="16" t="str">
        <v>WiFi 开关 - 打开</v>
      </c>
      <c r="D2" s="16" t="str">
        <v>P0</v>
      </c>
      <c r="E2" s="16" t="str">
        <v>打开 WiFi</v>
      </c>
      <c r="F2" s="16" t="str">
        <v>Y</v>
      </c>
      <c r="G2" s="16" t="str">
        <v>boolean setWifiSwitchState（boolean state)</v>
      </c>
      <c r="H2" s="11" t="str">
        <v>✅</v>
      </c>
      <c r="I2" s="46" t="str">
        <v>✅</v>
      </c>
      <c r="J2" s="24" t="str">
        <v>WIFI开关</v>
      </c>
      <c r="K2" s="61" t="str">
        <v>【系统设置】Vehicle_Platform1.0_IS4PR_Yu_Yin_Kong_Zhi_IS4PR_Yu_Yin_Kong_Zhi_Xi_Tong_She_Zhi__PRD.pdf
【系统设置】IS4PR_语音控制系统设置flow.pdf:https://internal-api-drive-stream.larkoffice.com/space/api/box/stream/download/preview/Pjw0bONaoovkKAxDidMcLdObngh?mount_point=docx_file&amp;preview_type=16</v>
      </c>
      <c r="N2" s="11" t="str">
        <v>✅</v>
      </c>
      <c r="Q2" s="11" t="str">
        <v>✅</v>
      </c>
      <c r="R2" s="11" t="str">
        <v>✅</v>
      </c>
      <c r="S2" s="11" t="str">
        <v>✅</v>
      </c>
      <c r="T2" s="11" t="str">
        <v>✅</v>
      </c>
      <c r="X2" s="11" t="str">
        <v>✅</v>
      </c>
      <c r="Y2" s="11" t="inlineStr">
        <is>
          <r>
            <t>@刘晓帝</t>
          </r>
        </is>
      </c>
    </row>
    <row r="3" spans="1:25">
      <c r="A3" s="16" t="str">
        <v>系统设置开关控制</v>
      </c>
      <c r="B3" s="168"/>
      <c r="C3" s="16" t="str">
        <v>WiFi 开关 - 关闭</v>
      </c>
      <c r="D3" s="16" t="str">
        <v>P0</v>
      </c>
      <c r="E3" s="16" t="str">
        <v>关闭 WiFi 开关</v>
      </c>
      <c r="F3" s="16" t="str">
        <v>Y</v>
      </c>
      <c r="G3" s="247" t="str">
        <v>ExtWifiManager.setWifiSwitchState</v>
      </c>
      <c r="H3" s="11" t="str">
        <v>✅</v>
      </c>
      <c r="I3" s="60"/>
      <c r="J3" s="24" t="str">
        <v>WIFI开关</v>
      </c>
      <c r="K3" s="139"/>
      <c r="N3" s="11" t="str">
        <v>✅</v>
      </c>
      <c r="Q3" s="11" t="str">
        <v>✅</v>
      </c>
      <c r="R3" s="11" t="str">
        <v>✅</v>
      </c>
      <c r="S3" s="11" t="str">
        <v>✅</v>
      </c>
      <c r="T3" s="11" t="str">
        <v>✅</v>
      </c>
      <c r="X3" s="11" t="str">
        <v>✅</v>
      </c>
      <c r="Y3" s="11" t="inlineStr">
        <is>
          <r>
            <t>@刘晓帝</t>
          </r>
        </is>
      </c>
    </row>
    <row r="4" spans="1:25">
      <c r="A4" s="16" t="str">
        <v>系统设置开关控制</v>
      </c>
      <c r="B4" s="168"/>
      <c r="C4" s="16" t="str">
        <v>蓝牙开关 - 打开 (默认手机蓝牙)</v>
      </c>
      <c r="D4" s="16" t="str">
        <v>P0</v>
      </c>
      <c r="E4" s="16" t="str">
        <v>打开蓝牙</v>
      </c>
      <c r="F4" s="16" t="str">
        <v>Y</v>
      </c>
      <c r="G4" s="247" t="str">
        <v>BluetoothSettingsManager.setBtState</v>
      </c>
      <c r="H4" s="11" t="str">
        <v>✅</v>
      </c>
      <c r="I4" s="60"/>
      <c r="J4" s="11" t="str">
        <v>蓝牙开关</v>
      </c>
      <c r="K4" s="139"/>
      <c r="N4" s="11" t="str">
        <v>✅</v>
      </c>
      <c r="Q4" s="11" t="str">
        <v>✅</v>
      </c>
      <c r="R4" s="11" t="str">
        <v>✅</v>
      </c>
      <c r="S4" s="11" t="str">
        <v>✅</v>
      </c>
      <c r="T4" s="11" t="str">
        <v>✅</v>
      </c>
      <c r="X4" s="11" t="str">
        <v>✅</v>
      </c>
      <c r="Y4" s="11" t="inlineStr">
        <is>
          <r>
            <t>@刘晓帝</t>
          </r>
        </is>
      </c>
    </row>
    <row r="5" spans="1:25">
      <c r="A5" s="16" t="str">
        <v>系统设置开关控制</v>
      </c>
      <c r="B5" s="168"/>
      <c r="C5" s="16" t="str">
        <v>蓝牙开关 - 关闭 (默认手机蓝牙)</v>
      </c>
      <c r="D5" s="16" t="str">
        <v>P0</v>
      </c>
      <c r="E5" s="16" t="str">
        <v>关闭蓝牙开关</v>
      </c>
      <c r="F5" s="16" t="str">
        <v>Y</v>
      </c>
      <c r="G5" s="247" t="str">
        <v>BluetoothSettingsManager.setBtState</v>
      </c>
      <c r="H5" s="11" t="str">
        <v>✅</v>
      </c>
      <c r="I5" s="60"/>
      <c r="J5" s="11" t="str">
        <v>蓝牙开关</v>
      </c>
      <c r="K5" s="139"/>
      <c r="N5" s="11" t="str">
        <v>✅</v>
      </c>
      <c r="Q5" s="11" t="str">
        <v>✅</v>
      </c>
      <c r="R5" s="11" t="str">
        <v>✅</v>
      </c>
      <c r="S5" s="11" t="str">
        <v>✅</v>
      </c>
      <c r="T5" s="11" t="str">
        <v>✅</v>
      </c>
      <c r="X5" s="11" t="str">
        <v>✅</v>
      </c>
      <c r="Y5" s="11" t="inlineStr">
        <is>
          <r>
            <t>@刘晓帝</t>
          </r>
        </is>
      </c>
    </row>
    <row r="6" ht="36" customHeight="1" spans="1:25">
      <c r="A6" s="16" t="str">
        <v>系统设置开关控制</v>
      </c>
      <c r="B6" s="168"/>
      <c r="C6" s="16" t="str">
        <v>蓝牙耳机开关 - 打开</v>
      </c>
      <c r="D6" s="16" t="str">
        <v>P1</v>
      </c>
      <c r="E6" s="16" t="str">
        <v>打开蓝牙耳机开关</v>
      </c>
      <c r="F6" s="16" t="str">
        <v>Y</v>
      </c>
      <c r="G6" s="247" t="str">
        <v>BluetoothSettingsManager.setBtHeadsetState</v>
      </c>
      <c r="H6" s="11" t="str">
        <v>✅</v>
      </c>
      <c r="I6" s="60"/>
      <c r="J6" s="11" t="str">
        <v>蓝牙耳机开关</v>
      </c>
      <c r="K6" s="139"/>
      <c r="N6" s="11" t="str">
        <v>无此功能</v>
      </c>
      <c r="O6" s="46"/>
      <c r="Q6" s="11" t="str">
        <v>无此功能</v>
      </c>
      <c r="R6" s="11" t="str">
        <v>无此功能</v>
      </c>
      <c r="S6" s="11" t="str">
        <v>无此功能</v>
      </c>
      <c r="Y6" s="11" t="inlineStr">
        <is>
          <r>
            <t>@刘晓帝</t>
          </r>
        </is>
      </c>
    </row>
    <row r="7" spans="1:25">
      <c r="A7" s="16" t="str">
        <v>系统设置开关控制</v>
      </c>
      <c r="B7" s="168"/>
      <c r="C7" s="16" t="str">
        <v>蓝牙耳机开关 - 关闭</v>
      </c>
      <c r="D7" s="16" t="str">
        <v>P1</v>
      </c>
      <c r="E7" s="16" t="str">
        <v>关闭蓝牙耳机开关</v>
      </c>
      <c r="F7" s="16" t="str">
        <v>Y</v>
      </c>
      <c r="G7" s="247" t="str">
        <v>BluetoothSettingsManager.setBtHeadsetState</v>
      </c>
      <c r="H7" s="11" t="str">
        <v>✅</v>
      </c>
      <c r="I7" s="60"/>
      <c r="J7" s="11" t="str">
        <v>蓝牙耳机开关</v>
      </c>
      <c r="K7" s="139"/>
      <c r="N7" s="11" t="str">
        <v>无此功能</v>
      </c>
      <c r="O7" s="110"/>
      <c r="Q7" s="11" t="str">
        <v>无此功能</v>
      </c>
      <c r="R7" s="11" t="str">
        <v>无此功能</v>
      </c>
      <c r="S7" s="11" t="str">
        <v>无此功能</v>
      </c>
      <c r="Y7" s="11" t="inlineStr">
        <is>
          <r>
            <t>@刘晓帝</t>
          </r>
        </is>
      </c>
    </row>
    <row r="8" spans="1:25">
      <c r="A8" s="16" t="str">
        <v>系统设置开关控制</v>
      </c>
      <c r="B8" s="168"/>
      <c r="C8" s="16" t="str">
        <v>热点开关 - 打开</v>
      </c>
      <c r="D8" s="16" t="str">
        <v>P0</v>
      </c>
      <c r="E8" s="16" t="str">
        <v>打开热点</v>
      </c>
      <c r="F8" s="16" t="str">
        <v>Y</v>
      </c>
      <c r="G8" s="247" t="str">
        <v>ExtSoftApManager.setSoftApSwitchState</v>
      </c>
      <c r="H8" s="11" t="str">
        <v>✅</v>
      </c>
      <c r="I8" s="60"/>
      <c r="J8" s="11" t="str">
        <v>热点开关</v>
      </c>
      <c r="K8" s="139"/>
      <c r="N8" s="11" t="str">
        <v>✅</v>
      </c>
      <c r="Q8" s="11" t="str">
        <v>✅</v>
      </c>
      <c r="R8" s="11" t="str">
        <v>❌</v>
      </c>
      <c r="S8" s="11" t="str">
        <v>✅</v>
      </c>
      <c r="T8" s="11" t="str">
        <v>✅</v>
      </c>
      <c r="X8" s="11" t="str">
        <v>✅</v>
      </c>
      <c r="Y8" s="11" t="inlineStr">
        <is>
          <r>
            <t>@刘晓帝</t>
          </r>
        </is>
      </c>
    </row>
    <row r="9" spans="1:25">
      <c r="A9" s="16" t="str">
        <v>系统设置开关控制</v>
      </c>
      <c r="B9" s="30"/>
      <c r="C9" s="16" t="str">
        <v>热点开关 - 关闭</v>
      </c>
      <c r="D9" s="16" t="str">
        <v>P0</v>
      </c>
      <c r="E9" s="16" t="str">
        <v>关闭热点开关</v>
      </c>
      <c r="F9" s="16" t="str">
        <v>Y</v>
      </c>
      <c r="G9" s="247" t="str">
        <v>ExtSoftApManager.setSoftApSwitchState</v>
      </c>
      <c r="H9" s="11" t="str">
        <v>✅</v>
      </c>
      <c r="I9" s="110"/>
      <c r="J9" s="11" t="str">
        <v>热点开关</v>
      </c>
      <c r="K9" s="139"/>
      <c r="N9" s="11" t="str">
        <v>✅</v>
      </c>
      <c r="Q9" s="11" t="str">
        <v>✅</v>
      </c>
      <c r="R9" s="11" t="str">
        <v>✅</v>
      </c>
      <c r="S9" s="11" t="str">
        <v>✅</v>
      </c>
      <c r="T9" s="11" t="str">
        <v>✅</v>
      </c>
      <c r="X9" s="11" t="str">
        <v>✅</v>
      </c>
      <c r="Y9" s="11" t="inlineStr">
        <is>
          <r>
            <t>@刘晓帝</t>
          </r>
        </is>
      </c>
    </row>
    <row r="10" spans="1:25">
      <c r="A10" s="16" t="str">
        <v>屏幕亮度控制</v>
      </c>
      <c r="B10" s="166" t="str">
        <v>屏幕亮度控制</v>
      </c>
      <c r="C10" s="16" t="str">
        <v>亮度调节 - 调到调低默认屏幕亮度</v>
      </c>
      <c r="D10" s="16" t="str">
        <v>P0</v>
      </c>
      <c r="E10" s="16" t="str">
        <v>屏幕暗一点
调低屏幕亮度
把屏幕亮度调小
把屏幕亮度调暗</v>
      </c>
      <c r="F10" s="16" t="str">
        <v>Y</v>
      </c>
      <c r="G10" s="247" t="str">
        <v>setBackLightBrightness</v>
      </c>
      <c r="H10" s="11" t="str">
        <v>✅</v>
      </c>
      <c r="I10" s="46" t="str">
        <v>✅</v>
      </c>
      <c r="J10" s="46" t="str">
        <v>屏幕亮度控制</v>
      </c>
      <c r="K10" s="139"/>
      <c r="M10" s="46" t="inlineStr">
        <is>
          <r>
            <rPr>
              <strike/>
              <sz val="10"/>
              <rFont val="Arial"/>
            </rPr>
            <t>api返回状态码错误。</t>
          </r>
          <r>
            <rPr>
              <sz val="10"/>
              <rFont val="Arial"/>
            </rPr>
            <t>获取屏幕亮度api有问题，查询的亮度都为0</t>
          </r>
        </is>
      </c>
      <c r="N10" s="11" t="str">
        <v>✅</v>
      </c>
      <c r="O10" s="11" t="str">
        <v>✅</v>
      </c>
      <c r="Q10" s="11" t="str">
        <v>✅</v>
      </c>
      <c r="R10" s="11" t="str">
        <v>✅</v>
      </c>
      <c r="S10" s="11" t="str">
        <v>✅</v>
      </c>
      <c r="T10" s="11" t="str">
        <v>✅</v>
      </c>
      <c r="X10" s="11" t="str">
        <v>✅</v>
      </c>
      <c r="Y10" s="11" t="inlineStr">
        <is>
          <r>
            <t>@刘晓帝</t>
          </r>
        </is>
      </c>
    </row>
    <row r="11" spans="1:25">
      <c r="A11" s="16" t="str">
        <v>屏幕亮度控制</v>
      </c>
      <c r="B11" s="168"/>
      <c r="C11" s="16" t="str">
        <v>亮度调节 - 调低调高指定屏幕亮度</v>
      </c>
      <c r="D11" s="16" t="str">
        <v>P0</v>
      </c>
      <c r="E11" s="16" t="str">
        <v>调低中控屏亮度
中控屏幕亮一点
调高主驾屏亮度
调低主驾屏幕亮度
调高后排屏幕亮度
全部屏幕调亮</v>
      </c>
      <c r="F11" s="16" t="str">
        <v>Y</v>
      </c>
      <c r="G11" s="247" t="str">
        <v>setBackLightBrightness</v>
      </c>
      <c r="H11" s="11" t="str">
        <v>✅</v>
      </c>
      <c r="I11" s="60"/>
      <c r="J11" s="60"/>
      <c r="K11" s="139"/>
      <c r="M11" s="60"/>
      <c r="N11" s="11" t="str">
        <v>✅</v>
      </c>
      <c r="O11" s="11" t="str">
        <v>✅</v>
      </c>
      <c r="Q11" s="11" t="str">
        <v>✅</v>
      </c>
      <c r="R11" s="11" t="str">
        <v>✅</v>
      </c>
      <c r="S11" s="11" t="str">
        <v>❌</v>
      </c>
      <c r="T11" s="11" t="str">
        <v>❌</v>
      </c>
      <c r="U11" s="11" t="str">
        <v>✅</v>
      </c>
      <c r="X11" s="11" t="str">
        <v>✅</v>
      </c>
      <c r="Y11" s="11" t="inlineStr">
        <is>
          <r>
            <t>@刘晓帝</t>
          </r>
        </is>
      </c>
    </row>
    <row r="12" spans="1:25">
      <c r="A12" s="16" t="str">
        <v>屏幕亮度控制</v>
      </c>
      <c r="B12" s="168"/>
      <c r="C12" s="16" t="str">
        <v>亮度调节 - 基于数值调节默认屏幕亮度</v>
      </c>
      <c r="D12" s="16" t="str">
        <v>P0</v>
      </c>
      <c r="E12" s="16" t="str">
        <v>屏幕亮度调到 30</v>
      </c>
      <c r="F12" s="16" t="str">
        <v>Y</v>
      </c>
      <c r="G12" s="247" t="str">
        <v>setBackLightBrightness</v>
      </c>
      <c r="H12" s="11" t="str">
        <v>✅</v>
      </c>
      <c r="I12" s="60"/>
      <c r="J12" s="60"/>
      <c r="K12" s="139"/>
      <c r="M12" s="110"/>
      <c r="N12" s="11" t="str">
        <v>✅</v>
      </c>
      <c r="O12" s="11" t="str">
        <v>✅</v>
      </c>
      <c r="Q12" s="11" t="str">
        <v>✅</v>
      </c>
      <c r="R12" s="11" t="str">
        <v>✅</v>
      </c>
      <c r="S12" s="11" t="str">
        <v>✅</v>
      </c>
      <c r="T12" s="11" t="str">
        <v>✅</v>
      </c>
      <c r="X12" s="11" t="str">
        <v>✅</v>
      </c>
      <c r="Y12" s="11" t="inlineStr">
        <is>
          <r>
            <t>@刘晓帝</t>
          </r>
        </is>
      </c>
    </row>
    <row r="13" spans="1:25">
      <c r="A13" s="16" t="str">
        <v>屏幕亮度控制</v>
      </c>
      <c r="B13" s="168"/>
      <c r="C13" s="16" t="str">
        <v>亮度调节 - 基于数值调节指定屏幕亮度</v>
      </c>
      <c r="D13" s="16" t="str">
        <v>P0</v>
      </c>
      <c r="E13" s="16" t="str">
        <v>中控屏幕调低到44
主驾屏幕亮度调到30</v>
      </c>
      <c r="F13" s="16" t="str">
        <v>Y</v>
      </c>
      <c r="G13" s="247" t="str">
        <v>setBackLightBrightness</v>
      </c>
      <c r="H13" s="11" t="str">
        <v>✅</v>
      </c>
      <c r="I13" s="60"/>
      <c r="J13" s="60"/>
      <c r="K13" s="139"/>
      <c r="N13" s="11" t="str">
        <v>✅</v>
      </c>
      <c r="O13" s="11" t="str">
        <v>✅</v>
      </c>
      <c r="Q13" s="11" t="str">
        <v>✅</v>
      </c>
      <c r="R13" s="11" t="str">
        <v>✅</v>
      </c>
      <c r="S13" s="11" t="str">
        <v>❌</v>
      </c>
      <c r="T13" s="11" t="str">
        <v>❌</v>
      </c>
      <c r="V13" s="11" t="str">
        <v>✅</v>
      </c>
      <c r="W13" s="11" t="str">
        <v>✅</v>
      </c>
      <c r="X13" s="11" t="str">
        <v>✅</v>
      </c>
      <c r="Y13" s="11" t="inlineStr">
        <is>
          <r>
            <t>@刘晓帝</t>
          </r>
        </is>
      </c>
    </row>
    <row r="14" spans="1:25">
      <c r="A14" s="16" t="str">
        <v>屏幕亮度控制</v>
      </c>
      <c r="B14" s="168"/>
      <c r="C14" s="16" t="str">
        <v>亮度调节 - 默认屏幕调节到极限值 </v>
      </c>
      <c r="D14" s="16" t="str">
        <v>P0</v>
      </c>
      <c r="E14" s="16" t="str">
        <v>屏幕调到最亮/最暗</v>
      </c>
      <c r="F14" s="16" t="str">
        <v>Y</v>
      </c>
      <c r="G14" s="247" t="str">
        <v>setBackLightBrightness</v>
      </c>
      <c r="H14" s="11" t="str">
        <v>✅</v>
      </c>
      <c r="I14" s="60"/>
      <c r="J14" s="60"/>
      <c r="K14" s="139"/>
      <c r="N14" s="11" t="str">
        <v>✅</v>
      </c>
      <c r="O14" s="11" t="str">
        <v>✅</v>
      </c>
      <c r="Q14" s="11" t="str">
        <v>✅</v>
      </c>
      <c r="R14" s="11" t="str">
        <v>❌</v>
      </c>
      <c r="S14" s="11" t="str">
        <v>✅</v>
      </c>
      <c r="T14" s="11" t="str">
        <v>✅</v>
      </c>
      <c r="X14" s="11" t="str">
        <v>✅</v>
      </c>
      <c r="Y14" s="11" t="inlineStr">
        <is>
          <r>
            <t>@刘晓帝</t>
          </r>
        </is>
      </c>
    </row>
    <row r="15" spans="1:25">
      <c r="A15" s="16" t="str">
        <v>屏幕亮度控制</v>
      </c>
      <c r="B15" s="168"/>
      <c r="C15" s="16" t="str">
        <v>亮度调节 - 指定屏幕调节到极限值 </v>
      </c>
      <c r="D15" s="16" t="str">
        <v>P0</v>
      </c>
      <c r="E15" s="16" t="str">
        <v>主驾屏调到最暗
中控屏幕调到最亮</v>
      </c>
      <c r="F15" s="16" t="str">
        <v>Y</v>
      </c>
      <c r="G15" s="247" t="str">
        <v>setBackLightBrightness</v>
      </c>
      <c r="H15" s="11" t="str">
        <v>✅</v>
      </c>
      <c r="I15" s="60"/>
      <c r="J15" s="110"/>
      <c r="K15" s="139"/>
      <c r="N15" s="11" t="str">
        <v>✅</v>
      </c>
      <c r="O15" s="11" t="str">
        <v>✅</v>
      </c>
      <c r="Q15" s="11" t="str">
        <v>✅</v>
      </c>
      <c r="R15" s="11" t="str">
        <v>❌</v>
      </c>
      <c r="S15" s="11" t="str">
        <v>✅</v>
      </c>
      <c r="T15" s="11" t="str">
        <v>✅</v>
      </c>
      <c r="X15" s="11" t="str">
        <v>✅</v>
      </c>
      <c r="Y15" s="11" t="inlineStr">
        <is>
          <r>
            <t>@刘晓帝</t>
          </r>
        </is>
      </c>
    </row>
    <row r="16" spans="1:25">
      <c r="A16" s="16" t="str">
        <v>屏幕亮度控制</v>
      </c>
      <c r="B16" s="168"/>
      <c r="C16" s="16" t="str">
        <v>自动亮度调节 - 打开</v>
      </c>
      <c r="D16" s="16" t="str">
        <v>P0</v>
      </c>
      <c r="E16" s="16" t="str">
        <v>打开自动调节亮度开关</v>
      </c>
      <c r="F16" s="16" t="str">
        <v>Y</v>
      </c>
      <c r="G16" s="247" t="str">
        <v>setAutoBackLightStatus</v>
      </c>
      <c r="H16" s="11" t="str">
        <v>✅</v>
      </c>
      <c r="I16" s="60"/>
      <c r="J16" s="11" t="str">
        <v>屏幕自动亮度开关</v>
      </c>
      <c r="K16" s="139"/>
      <c r="N16" s="11" t="str">
        <v>✅</v>
      </c>
      <c r="O16" s="11" t="str">
        <v>✅</v>
      </c>
      <c r="Q16" s="11" t="str">
        <v>✅</v>
      </c>
      <c r="R16" s="11" t="str">
        <v>✅</v>
      </c>
      <c r="S16" s="11" t="str">
        <v>✅</v>
      </c>
      <c r="T16" s="11" t="str">
        <v>✅</v>
      </c>
      <c r="X16" s="11" t="str">
        <v>✅</v>
      </c>
      <c r="Y16" s="11" t="inlineStr">
        <is>
          <r>
            <t>@刘晓帝</t>
          </r>
        </is>
      </c>
    </row>
    <row r="17" spans="1:25">
      <c r="A17" s="16" t="str">
        <v>屏幕亮度控制</v>
      </c>
      <c r="B17" s="168"/>
      <c r="C17" s="16" t="str">
        <v>自动亮度调节 - 关闭</v>
      </c>
      <c r="D17" s="16" t="str">
        <v>P0</v>
      </c>
      <c r="E17" s="16" t="str">
        <v>关闭自动亮度调节</v>
      </c>
      <c r="F17" s="16" t="str">
        <v>Y</v>
      </c>
      <c r="G17" s="247" t="str">
        <v>setAutoBackLightStatus</v>
      </c>
      <c r="H17" s="11" t="str">
        <v>✅</v>
      </c>
      <c r="I17" s="60"/>
      <c r="J17" s="11" t="str">
        <v>屏幕自动亮度开关</v>
      </c>
      <c r="K17" s="139"/>
      <c r="N17" s="11" t="str">
        <v>✅</v>
      </c>
      <c r="O17" s="11" t="str">
        <v>✅</v>
      </c>
      <c r="Q17" s="11" t="str">
        <v>✅</v>
      </c>
      <c r="R17" s="11" t="str">
        <v>✅</v>
      </c>
      <c r="S17" s="11" t="str">
        <v>✅</v>
      </c>
      <c r="T17" s="11" t="str">
        <v>✅</v>
      </c>
      <c r="X17" s="11" t="str">
        <v>✅</v>
      </c>
      <c r="Y17" s="11" t="inlineStr">
        <is>
          <r>
            <t>@刘晓帝</t>
          </r>
        </is>
      </c>
    </row>
    <row r="18" spans="1:25">
      <c r="A18" s="16" t="str">
        <v>屏幕亮度控制</v>
      </c>
      <c r="B18" s="168"/>
      <c r="C18" s="16" t="str">
        <v>亮度调节 - 默认屏幕亮度调高低具体数值</v>
      </c>
      <c r="D18" s="16" t="str">
        <v>P0</v>
      </c>
      <c r="E18" s="16" t="str">
        <v>亮度调高 20%，
屏幕亮度调到2</v>
      </c>
      <c r="F18" s="16" t="str">
        <v>Y</v>
      </c>
      <c r="G18" s="247" t="str">
        <v>setBackLightBrightness</v>
      </c>
      <c r="H18" s="11" t="str">
        <v>✅</v>
      </c>
      <c r="I18" s="60"/>
      <c r="J18" s="46" t="str">
        <v>屏幕亮度控制</v>
      </c>
      <c r="K18" s="139"/>
      <c r="N18" s="11" t="str">
        <v>✅</v>
      </c>
      <c r="O18" s="11" t="str">
        <v>✅</v>
      </c>
      <c r="Q18" s="11" t="str">
        <v>✅</v>
      </c>
      <c r="R18" s="11" t="str">
        <v>❌</v>
      </c>
      <c r="S18" s="11" t="str">
        <v>✅</v>
      </c>
      <c r="T18" s="11" t="str">
        <v>✅</v>
      </c>
      <c r="X18" s="11" t="str">
        <v>✅</v>
      </c>
      <c r="Y18" s="11" t="inlineStr">
        <is>
          <r>
            <t>@刘晓帝</t>
          </r>
        </is>
      </c>
    </row>
    <row r="19" spans="1:25">
      <c r="A19" s="16" t="str">
        <v>屏幕亮度控制</v>
      </c>
      <c r="B19" s="168"/>
      <c r="C19" s="16" t="str">
        <v>亮度调节 - 指定屏幕亮度调高低具体数值</v>
      </c>
      <c r="D19" s="16" t="str">
        <v>P0</v>
      </c>
      <c r="E19" s="16" t="str">
        <v>中控亮度调高 20%，
主驾屏幕亮度调暗30
中控屏往下调2</v>
      </c>
      <c r="F19" s="16" t="str">
        <v>Y</v>
      </c>
      <c r="G19" s="247" t="str">
        <v>setBackLightBrightness</v>
      </c>
      <c r="H19" s="11" t="str">
        <v>✅</v>
      </c>
      <c r="I19" s="60"/>
      <c r="J19" s="110"/>
      <c r="K19" s="139"/>
      <c r="N19" s="11" t="str">
        <v>✅</v>
      </c>
      <c r="O19" s="11" t="str">
        <v>✅</v>
      </c>
      <c r="Q19" s="11" t="str">
        <v>✅</v>
      </c>
      <c r="R19" s="11" t="str">
        <v>✅</v>
      </c>
      <c r="S19" s="11" t="str">
        <v>✅</v>
      </c>
      <c r="T19" s="11" t="str">
        <v>✅</v>
      </c>
      <c r="X19" s="11" t="str">
        <v>✅</v>
      </c>
      <c r="Y19" s="11" t="inlineStr">
        <is>
          <r>
            <t>@刘晓帝</t>
          </r>
        </is>
      </c>
    </row>
    <row r="20" spans="1:25">
      <c r="A20" s="16" t="str">
        <v>屏幕亮度控制</v>
      </c>
      <c r="B20" s="30"/>
      <c r="C20" s="16" t="str">
        <v>清洁模式 - 打开</v>
      </c>
      <c r="D20" s="16" t="str">
        <v>P0</v>
      </c>
      <c r="E20" s="16" t="str">
        <v>打开屏幕清洁模式</v>
      </c>
      <c r="F20" s="164" t="str">
        <v>Y</v>
      </c>
      <c r="G20" s="247" t="str">
        <v>Settings.Global.putInt(SettingsApplicationProxy.getApplication().contentResolver, "zone_clean_mode", 1)</v>
      </c>
      <c r="H20" s="11" t="str">
        <v>✅</v>
      </c>
      <c r="I20" s="110"/>
      <c r="J20" s="11" t="str">
        <v>屏幕清洁模式开关</v>
      </c>
      <c r="K20" s="139"/>
      <c r="N20" s="11" t="str">
        <v>✅</v>
      </c>
      <c r="O20" s="11" t="str">
        <v>✅</v>
      </c>
      <c r="Q20" s="11" t="str">
        <v>✅</v>
      </c>
      <c r="R20" s="11" t="str">
        <v>❌</v>
      </c>
      <c r="S20" s="11" t="str">
        <v>✅</v>
      </c>
      <c r="T20" s="11" t="str">
        <v>✅</v>
      </c>
      <c r="X20" s="11" t="str">
        <v>✅</v>
      </c>
      <c r="Y20" s="11" t="inlineStr">
        <is>
          <r>
            <t>@刘晓帝</t>
          </r>
        </is>
      </c>
    </row>
    <row r="21" spans="1:25">
      <c r="A21" s="16" t="str">
        <v>车机屏幕开关（屏保）</v>
      </c>
      <c r="B21" s="166" t="str">
        <v>车机屏幕开关（屏保）</v>
      </c>
      <c r="C21" s="16" t="str">
        <v>屏保 - 息屏 (默认屏幕)</v>
      </c>
      <c r="D21" s="16" t="str">
        <v>P0</v>
      </c>
      <c r="E21" s="16" t="str">
        <v>息屏，
关闭屏幕
进入屏保</v>
      </c>
      <c r="F21" s="16" t="str">
        <v>Y</v>
      </c>
      <c r="G21" s="247" t="str">
        <v>ScreenSaverManager.enterScreensaver</v>
      </c>
      <c r="I21" s="46" t="str">
        <v>✅</v>
      </c>
      <c r="J21" s="11" t="str">
        <v>车机屏幕开关
屏保开关</v>
      </c>
      <c r="K21" s="139"/>
      <c r="M21" s="11" t="str">
        <v>ScreenSaverManager.enterScreensaver</v>
      </c>
      <c r="N21" s="11" t="str">
        <v>✅</v>
      </c>
      <c r="O21" s="11" t="str">
        <v>✅</v>
      </c>
      <c r="Q21" s="11" t="str">
        <v>✅</v>
      </c>
      <c r="R21" s="11" t="str">
        <v>❌</v>
      </c>
      <c r="S21" s="11" t="str">
        <v>✅</v>
      </c>
      <c r="T21" s="11" t="str">
        <v>✅</v>
      </c>
      <c r="X21" s="11" t="str">
        <v>✅</v>
      </c>
      <c r="Y21" s="11" t="inlineStr">
        <is>
          <r>
            <t>@刘晓帝</t>
          </r>
        </is>
      </c>
    </row>
    <row r="22" spans="1:25">
      <c r="A22" s="16" t="str">
        <v>车机屏幕开关（屏保）</v>
      </c>
      <c r="B22" s="168"/>
      <c r="C22" s="16" t="str">
        <v>屏保 - 开屏 (默认屏幕)</v>
      </c>
      <c r="D22" s="16" t="str">
        <v>P1</v>
      </c>
      <c r="E22" s="16" t="str">
        <v>打开屏幕
退出屏保</v>
      </c>
      <c r="F22" s="16" t="str">
        <v>Y</v>
      </c>
      <c r="G22" s="247" t="str">
        <v>ScreenSaverManager.exitScreensaver</v>
      </c>
      <c r="I22" s="60"/>
      <c r="J22" s="11" t="str">
        <v>屏保开关</v>
      </c>
      <c r="K22" s="139"/>
      <c r="M22" s="11" t="str">
        <v>ScreenSaverManager.exitScreensaver</v>
      </c>
      <c r="N22" s="11" t="str">
        <v>✅</v>
      </c>
      <c r="O22" s="11" t="str">
        <v>✅</v>
      </c>
      <c r="Q22" s="11" t="str">
        <v>✅</v>
      </c>
      <c r="R22" s="11" t="str">
        <v>❌</v>
      </c>
      <c r="S22" s="11" t="str">
        <v>❌</v>
      </c>
      <c r="T22" s="11" t="str">
        <v>✅</v>
      </c>
      <c r="W22" s="11" t="str">
        <v>✅</v>
      </c>
      <c r="X22" s="11" t="str">
        <v>✅</v>
      </c>
      <c r="Y22" s="11" t="inlineStr">
        <is>
          <r>
            <t>@刘晓帝</t>
          </r>
        </is>
      </c>
    </row>
    <row r="23" spans="1:25">
      <c r="A23" s="16" t="str">
        <v>车机屏幕开关（屏保）</v>
      </c>
      <c r="B23" s="168"/>
      <c r="C23" s="16" t="str">
        <v>屏保 - 指定屏幕息屏</v>
      </c>
      <c r="D23" s="16" t="str">
        <v>P1</v>
      </c>
      <c r="E23" s="16" t="str">
        <v>打开&lt;位置&gt;的屏保，关闭&lt;位置&gt;的屏幕
&lt;位置&gt;：主驾、副驾，所有，中控，前排，后排</v>
      </c>
      <c r="F23" s="16" t="str">
        <v>Y</v>
      </c>
      <c r="G23" s="247" t="str">
        <v>ScreenSaverManager.enterScreensaver</v>
      </c>
      <c r="I23" s="60"/>
      <c r="J23" s="11" t="str">
        <v>屏保开关</v>
      </c>
      <c r="K23" s="139"/>
      <c r="M23" s="11" t="str">
        <v>ScreenSaverManager.enterScreensaver</v>
      </c>
      <c r="N23" s="11" t="str">
        <v>✅</v>
      </c>
      <c r="O23" s="11" t="str">
        <v>✅</v>
      </c>
      <c r="Q23" s="11" t="str">
        <v>✅</v>
      </c>
      <c r="R23" s="11" t="str">
        <v>❌</v>
      </c>
      <c r="S23" s="11" t="str">
        <v>❌</v>
      </c>
      <c r="T23" s="11" t="str">
        <v>❌</v>
      </c>
      <c r="U23" s="11" t="str">
        <v>✅</v>
      </c>
      <c r="W23" s="11" t="str">
        <v>✅</v>
      </c>
      <c r="X23" s="11" t="str">
        <v>✅</v>
      </c>
      <c r="Y23" s="11" t="inlineStr">
        <is>
          <r>
            <t>@刘晓帝</t>
          </r>
        </is>
      </c>
    </row>
    <row r="24" spans="1:25">
      <c r="A24" s="16" t="str">
        <v>车机屏幕开关（屏保）</v>
      </c>
      <c r="B24" s="168"/>
      <c r="C24" s="16" t="str">
        <v>屏保 - 指定屏幕开屏</v>
      </c>
      <c r="D24" s="16" t="str">
        <v>P1</v>
      </c>
      <c r="E24" s="16" t="str">
        <v>关闭&lt;位置&gt;的屏保，打开&lt;位置&gt;的屏幕
&lt;位置&gt;：主驾、副驾，所有，中控，前排，后排</v>
      </c>
      <c r="F24" s="16" t="str">
        <v>Y</v>
      </c>
      <c r="G24" s="247" t="str">
        <v>ScreenSaverManager.exitScreensaver</v>
      </c>
      <c r="I24" s="60"/>
      <c r="J24" s="24" t="str">
        <v>屏保开关</v>
      </c>
      <c r="K24" s="139"/>
      <c r="M24" s="11" t="str">
        <v>ScreenSaverManager.exitScreensaver</v>
      </c>
      <c r="N24" s="11" t="str">
        <v>✅</v>
      </c>
      <c r="O24" s="11" t="str">
        <v>✅</v>
      </c>
      <c r="Q24" s="11" t="str">
        <v>✅</v>
      </c>
      <c r="R24" s="11" t="str">
        <v>❌</v>
      </c>
      <c r="S24" s="11" t="str">
        <v>❌</v>
      </c>
      <c r="T24" s="11" t="str">
        <v>❌</v>
      </c>
      <c r="U24" s="11" t="str">
        <v>✅</v>
      </c>
      <c r="W24" s="11" t="str">
        <v>✅</v>
      </c>
      <c r="X24" s="11" t="str">
        <v>✅</v>
      </c>
      <c r="Y24" s="11" t="inlineStr">
        <is>
          <r>
            <t>@刘晓帝</t>
          </r>
        </is>
      </c>
    </row>
    <row r="25" spans="1:25">
      <c r="A25" s="16" t="str">
        <v>车机屏幕开关（屏保）</v>
      </c>
      <c r="B25" s="168"/>
      <c r="C25" s="16" t="str">
        <v>屏保-切换屏保意图</v>
      </c>
      <c r="D25" s="16" t="str">
        <v>P1</v>
      </c>
      <c r="E25" s="16" t="str">
        <v>换个屏保</v>
      </c>
      <c r="F25" s="16" t="str">
        <v>Y</v>
      </c>
      <c r="G25" s="247" t="str">
        <v>ScreenSaverManager.setStyle</v>
      </c>
      <c r="I25" s="60"/>
      <c r="J25" s="214" t="str">
        <v>屏保开关</v>
      </c>
      <c r="K25" s="139"/>
      <c r="M25" s="11" t="str">
        <v>ScreenSaverManager.setStyle</v>
      </c>
      <c r="N25" s="11" t="str">
        <v>✅</v>
      </c>
      <c r="O25" s="11" t="str">
        <v>✅</v>
      </c>
      <c r="Q25" s="11" t="str">
        <v>✅</v>
      </c>
      <c r="R25" s="11" t="str">
        <v>❌</v>
      </c>
      <c r="S25" s="11" t="str">
        <v>✅</v>
      </c>
      <c r="T25" s="11" t="str">
        <v>✅</v>
      </c>
      <c r="X25" s="11" t="str">
        <v>✅</v>
      </c>
      <c r="Y25" s="11" t="inlineStr">
        <is>
          <r>
            <t>@刘晓帝</t>
          </r>
        </is>
      </c>
    </row>
    <row r="26" spans="1:25">
      <c r="A26" s="16" t="str">
        <v>车机屏幕开关（屏保）</v>
      </c>
      <c r="B26" s="30"/>
      <c r="C26" s="16" t="str">
        <v>屏保 - 切换屏保内容</v>
      </c>
      <c r="D26" s="16" t="str">
        <v>P1</v>
      </c>
      <c r="E26" s="16" t="str">
        <v>换成&lt;屏保名称&gt;
&lt;屏保名称&gt;：黑色屏保、数字屏保、时钟屏保</v>
      </c>
      <c r="F26" s="16" t="str">
        <v>Y</v>
      </c>
      <c r="G26" s="247" t="str">
        <v>ScreenSaverManager.setStyle</v>
      </c>
      <c r="I26" s="110"/>
      <c r="J26" s="216"/>
      <c r="K26" s="139"/>
      <c r="M26" s="11" t="str">
        <v>ScreenSaverManager.setStyle</v>
      </c>
      <c r="N26" s="11" t="str">
        <v>✅</v>
      </c>
      <c r="O26" s="11" t="str">
        <v>✅</v>
      </c>
      <c r="Q26" s="11" t="str">
        <v>✅</v>
      </c>
      <c r="R26" s="11" t="str">
        <v>❌</v>
      </c>
      <c r="S26" s="11" t="str">
        <v>✅</v>
      </c>
      <c r="T26" s="11" t="str">
        <v>✅</v>
      </c>
      <c r="X26" s="11" t="str">
        <v>✅</v>
      </c>
      <c r="Y26" s="11" t="inlineStr">
        <is>
          <r>
            <t>@刘晓帝</t>
          </r>
        </is>
      </c>
    </row>
    <row r="27" spans="1:25">
      <c r="A27" s="16" t="str">
        <v>主题切换</v>
      </c>
      <c r="B27" s="166" t="str">
        <v>主题切换</v>
      </c>
      <c r="C27" s="16" t="str">
        <v>主题切换 - 指定白天主题</v>
      </c>
      <c r="D27" s="16" t="str">
        <v>P0</v>
      </c>
      <c r="E27" s="16" t="str">
        <v>切换白天背景，调节成浅色模式</v>
      </c>
      <c r="F27" s="16" t="str">
        <v>Y</v>
      </c>
      <c r="G27" s="247" t="str">
        <v>ThemeManager.setThemeReqByHmi</v>
      </c>
      <c r="I27" s="46" t="str">
        <v>✅</v>
      </c>
      <c r="J27" s="11" t="str">
        <v>昼夜模式切换</v>
      </c>
      <c r="K27" s="139"/>
      <c r="M27" s="11" t="str">
        <v>setThemeReqByHmi(int theme)
getCurTheme()
1:{@link Constants#THEME_DAYTIME},2:{@link Constants#THEME_NIGHT},5:{@linkConstants#THEME_AUTO_DAYTIME},6:{@link Constants#THEME_AUTO_NIGHT},Failed -1</v>
      </c>
      <c r="N27" s="11" t="str">
        <v>✅</v>
      </c>
      <c r="Q27" s="11" t="str">
        <v>✅</v>
      </c>
      <c r="S27" s="11" t="str">
        <v>✅</v>
      </c>
      <c r="T27" s="11" t="str">
        <v>✅</v>
      </c>
      <c r="X27" s="11" t="str">
        <v>✅</v>
      </c>
      <c r="Y27" s="11" t="inlineStr">
        <is>
          <r>
            <t>@刘晓帝</t>
          </r>
        </is>
      </c>
    </row>
    <row r="28" spans="1:25">
      <c r="A28" s="16" t="str">
        <v>主题切换</v>
      </c>
      <c r="B28" s="168"/>
      <c r="C28" s="16" t="str">
        <v>主题切换 - 指定黑夜主题</v>
      </c>
      <c r="D28" s="16" t="str">
        <v>P0</v>
      </c>
      <c r="E28" s="16" t="str">
        <v>切换夜间模式、改成深色的背景</v>
      </c>
      <c r="F28" s="16" t="str">
        <v>Y</v>
      </c>
      <c r="G28" s="247" t="str">
        <v>ThemeManager.setThemeReqByHmi</v>
      </c>
      <c r="I28" s="60"/>
      <c r="J28" s="11" t="str">
        <v>昼夜模式切换</v>
      </c>
      <c r="K28" s="139"/>
      <c r="M28" s="11" t="str">
        <v>setThemeReqByHmi(int theme)
getCurTheme()
1:{@link Constants#THEME_DAYTIME},2:{@link Constants#THEME_NIGHT},5:{@linkConstants#THEME_AUTO_DAYTIME},6:{@link Constants#THEME_AUTO_NIGHT},Failed -2</v>
      </c>
      <c r="N28" s="11" t="str">
        <v>✅</v>
      </c>
      <c r="Q28" s="11" t="str">
        <v>✅</v>
      </c>
      <c r="S28" s="11" t="str">
        <v>✅</v>
      </c>
      <c r="T28" s="11" t="str">
        <v>✅</v>
      </c>
      <c r="X28" s="11" t="str">
        <v>✅</v>
      </c>
      <c r="Y28" s="11" t="inlineStr">
        <is>
          <r>
            <t>@刘晓帝</t>
          </r>
        </is>
      </c>
    </row>
    <row r="29" spans="1:25">
      <c r="A29" s="16" t="str">
        <v>主题切换</v>
      </c>
      <c r="B29" s="168"/>
      <c r="C29" s="16" t="str">
        <v>主题切换-不指定</v>
      </c>
      <c r="D29" s="16" t="str">
        <v>P1</v>
      </c>
      <c r="E29" s="16" t="str">
        <v>切换主题</v>
      </c>
      <c r="F29" s="16" t="str">
        <v>Y</v>
      </c>
      <c r="G29" s="247" t="str">
        <v>ThemeManager.setThemeReqByHmi</v>
      </c>
      <c r="I29" s="60"/>
      <c r="J29" s="217" t="str">
        <v>昼夜模式切换</v>
      </c>
      <c r="K29" s="139"/>
      <c r="M29" s="11" t="str">
        <v>setThemeReqByHmi(int theme)
getCurTheme()
1:{@link Constants#THEME_DAYTIME},2:{@link Constants#THEME_NIGHT},5:{@linkConstants#THEME_AUTO_DAYTIME},6:{@link Constants#THEME_AUTO_NIGHT},Failed -1</v>
      </c>
      <c r="N29" s="11" t="str">
        <v>✅</v>
      </c>
      <c r="Q29" s="11" t="str">
        <v>✅</v>
      </c>
      <c r="S29" s="11" t="str">
        <v>✅</v>
      </c>
      <c r="T29" s="11" t="str">
        <v>✅</v>
      </c>
      <c r="X29" s="11" t="str">
        <v>✅</v>
      </c>
      <c r="Y29" s="11" t="inlineStr">
        <is>
          <r>
            <t>@刘晓帝</t>
          </r>
        </is>
      </c>
    </row>
    <row r="30" spans="1:25">
      <c r="A30" s="16" t="str">
        <v>主题切换</v>
      </c>
      <c r="B30" s="168"/>
      <c r="C30" s="16" t="str">
        <v>自动主题 - 打开</v>
      </c>
      <c r="D30" s="16" t="str">
        <v>P1</v>
      </c>
      <c r="E30" s="16" t="str">
        <v>开启主题自动调整开关</v>
      </c>
      <c r="F30" s="16" t="str">
        <v>Y</v>
      </c>
      <c r="G30" s="247" t="str">
        <v>ThemeManager.setThemeReqByHmi</v>
      </c>
      <c r="I30" s="60"/>
      <c r="J30" s="214" t="str">
        <v>昼夜模式切换</v>
      </c>
      <c r="K30" s="139"/>
      <c r="N30" s="11" t="str">
        <v>✅</v>
      </c>
      <c r="Q30" s="11" t="str">
        <v>✅</v>
      </c>
      <c r="S30" s="11" t="str">
        <v>✅</v>
      </c>
      <c r="T30" s="11" t="str">
        <v>✅</v>
      </c>
      <c r="X30" s="11" t="str">
        <v>✅</v>
      </c>
      <c r="Y30" s="11" t="inlineStr">
        <is>
          <r>
            <t>@刘晓帝</t>
          </r>
        </is>
      </c>
    </row>
    <row r="31" spans="1:25">
      <c r="A31" s="16" t="str">
        <v>主题切换</v>
      </c>
      <c r="B31" s="30"/>
      <c r="C31" s="16" t="str">
        <v>自动主题 - 关闭</v>
      </c>
      <c r="D31" s="16" t="str">
        <v>P1</v>
      </c>
      <c r="E31" s="16" t="str">
        <v>关闭自动背景开关</v>
      </c>
      <c r="F31" s="16" t="str">
        <v>Y</v>
      </c>
      <c r="G31" s="247" t="str">
        <v>ThemeManager.setThemeReqByHmi</v>
      </c>
      <c r="I31" s="110"/>
      <c r="J31" s="216"/>
      <c r="K31" s="139"/>
      <c r="N31" s="11" t="str">
        <v>✅</v>
      </c>
      <c r="Q31" s="11" t="str">
        <v>✅</v>
      </c>
      <c r="S31" s="150" t="str">
        <v>❌</v>
      </c>
      <c r="T31" s="11" t="str">
        <v>❌</v>
      </c>
      <c r="U31" s="11" t="str">
        <v>✅</v>
      </c>
      <c r="W31" s="11" t="str">
        <v>❌</v>
      </c>
      <c r="X31" s="11" t="str">
        <v>✅</v>
      </c>
      <c r="Y31" s="11" t="inlineStr">
        <is>
          <r>
            <t>@刘晓帝</t>
          </r>
        </is>
      </c>
    </row>
    <row r="32" spans="1:25">
      <c r="A32" s="16" t="str">
        <v>壁纸切换</v>
      </c>
      <c r="B32" s="166" t="str">
        <v>壁纸切换</v>
      </c>
      <c r="C32" s="16" t="str">
        <v>壁纸切换 - 意图 (打开列表)</v>
      </c>
      <c r="D32" s="16" t="str">
        <v>P1</v>
      </c>
      <c r="E32" s="16" t="str">
        <v>切换壁纸</v>
      </c>
      <c r="F32" s="16" t="str">
        <v>Y</v>
      </c>
      <c r="J32" s="217" t="str">
        <v>壁纸设置</v>
      </c>
      <c r="K32" s="139"/>
      <c r="N32" s="11" t="str">
        <v>✅</v>
      </c>
      <c r="Q32" s="11" t="str">
        <v>✅</v>
      </c>
      <c r="U32" s="11" t="str">
        <v>✅</v>
      </c>
      <c r="W32" s="11" t="str">
        <v>✅</v>
      </c>
      <c r="X32" s="11" t="str">
        <v>✅</v>
      </c>
      <c r="Y32" s="11" t="inlineStr">
        <is>
          <r>
            <t>@刘晓帝</t>
          </r>
        </is>
      </c>
    </row>
    <row r="33" spans="1:25">
      <c r="A33" s="16" t="str">
        <v>壁纸切换</v>
      </c>
      <c r="B33" s="168"/>
      <c r="C33" s="16" t="str">
        <v>壁纸切换 - 下一张</v>
      </c>
      <c r="D33" s="16" t="str">
        <v>P1</v>
      </c>
      <c r="E33" s="16" t="str">
        <v>换到下一张壁纸</v>
      </c>
      <c r="F33" s="150" t="str">
        <v>Y</v>
      </c>
      <c r="G33" s="248" t="str">
        <v>WallpaperManager changeWallpaper(boolean isNext, boolean onlyLauncher)
onlyLauncher固定传true，isNext为true代表下一张，false代表上一张</v>
      </c>
      <c r="I33" s="11" t="str">
        <v>✅</v>
      </c>
      <c r="J33" s="249" t="str">
        <v>壁纸设置</v>
      </c>
      <c r="K33" s="139"/>
      <c r="M33" s="11" t="str">
        <v>com.zone.api.wallpaper.WallpaperManager
changeWallpaper</v>
      </c>
      <c r="N33" s="11" t="str">
        <v>✅</v>
      </c>
      <c r="Q33" s="11" t="str">
        <v>✅</v>
      </c>
      <c r="R33" s="11" t="str">
        <v>✅</v>
      </c>
      <c r="S33" s="11" t="str">
        <v>✅</v>
      </c>
      <c r="T33" s="11" t="str">
        <v>✅</v>
      </c>
      <c r="X33" s="11" t="str">
        <v>✅</v>
      </c>
      <c r="Y33" s="11" t="inlineStr">
        <is>
          <r>
            <t>@刘晓帝</t>
          </r>
        </is>
      </c>
    </row>
    <row r="34" spans="1:25">
      <c r="A34" s="16" t="str">
        <v>壁纸切换</v>
      </c>
      <c r="B34" s="168"/>
      <c r="C34" s="16" t="str">
        <v>壁纸切换 - 上一张</v>
      </c>
      <c r="D34" s="16" t="str">
        <v>P1</v>
      </c>
      <c r="E34" s="16" t="str">
        <v>切换到上一张壁纸</v>
      </c>
      <c r="F34" s="150" t="str">
        <v>Y</v>
      </c>
      <c r="G34" s="250"/>
      <c r="I34" s="11" t="str">
        <v>✅</v>
      </c>
      <c r="J34" s="249"/>
      <c r="K34" s="139"/>
      <c r="N34" s="11" t="str">
        <v>✅</v>
      </c>
      <c r="Q34" s="11" t="str">
        <v>✅</v>
      </c>
      <c r="R34" s="11" t="str">
        <v>❌</v>
      </c>
      <c r="S34" s="11" t="str">
        <v>✅</v>
      </c>
      <c r="T34" s="11" t="str">
        <v>✅</v>
      </c>
      <c r="U34" s="11" t="str">
        <v>✅</v>
      </c>
      <c r="X34" s="11" t="str">
        <v>✅</v>
      </c>
      <c r="Y34" s="11" t="inlineStr">
        <is>
          <r>
            <t>@刘晓帝</t>
          </r>
        </is>
      </c>
    </row>
    <row r="35" spans="1:25">
      <c r="A35" s="16" t="str">
        <v>壁纸切换</v>
      </c>
      <c r="B35" s="30"/>
      <c r="C35" s="16" t="str">
        <v>壁纸切换 - 上下文理解 (继续)</v>
      </c>
      <c r="D35" s="16" t="str">
        <v>P1</v>
      </c>
      <c r="E35" s="16" t="str">
        <v>再换一张</v>
      </c>
      <c r="F35" s="150" t="str">
        <v>Y</v>
      </c>
      <c r="G35" s="251"/>
      <c r="I35" s="11" t="str">
        <v>✅</v>
      </c>
      <c r="J35" s="249"/>
      <c r="K35" s="139"/>
      <c r="N35" s="11" t="str">
        <v>✅</v>
      </c>
      <c r="Q35" s="11" t="str">
        <v>✅</v>
      </c>
      <c r="R35" s="11" t="str">
        <v>✅</v>
      </c>
      <c r="S35" s="11" t="str">
        <v>✅</v>
      </c>
      <c r="T35" s="11" t="str">
        <v>✅</v>
      </c>
      <c r="X35" s="11" t="str">
        <v>✅</v>
      </c>
      <c r="Y35" s="11" t="inlineStr">
        <is>
          <r>
            <t>@刘晓帝</t>
          </r>
        </is>
      </c>
    </row>
    <row r="36" spans="1:25">
      <c r="A36" s="252" t="str">
        <v>后排屏控制</v>
      </c>
      <c r="B36" s="253" t="str">
        <v>后排屏控制</v>
      </c>
      <c r="C36" s="252" t="str">
        <v>后排屏 - 锁定</v>
      </c>
      <c r="D36" s="16" t="str">
        <v>P1</v>
      </c>
      <c r="E36" s="252" t="str">
        <v>锁定后排屏</v>
      </c>
      <c r="F36" s="252" t="str">
        <v>N</v>
      </c>
      <c r="G36" s="252" t="str">
        <v>NA</v>
      </c>
      <c r="J36" s="214" t="str">
        <v>屏幕锁开关</v>
      </c>
      <c r="K36" s="139"/>
      <c r="Y36" s="11" t="inlineStr">
        <is>
          <r>
            <t>@王东旭</t>
          </r>
        </is>
      </c>
    </row>
    <row r="37" spans="1:25">
      <c r="A37" s="252" t="str">
        <v>后排屏控制</v>
      </c>
      <c r="B37" s="254"/>
      <c r="C37" s="252" t="str">
        <v>后排屏 - 解锁</v>
      </c>
      <c r="D37" s="16" t="str">
        <v>P1</v>
      </c>
      <c r="E37" s="252" t="str">
        <v>解锁后排屏</v>
      </c>
      <c r="F37" s="252" t="str">
        <v>N</v>
      </c>
      <c r="G37" s="252" t="str">
        <v>NA</v>
      </c>
      <c r="J37" s="216"/>
      <c r="K37" s="139"/>
      <c r="Y37" s="11" t="inlineStr">
        <is>
          <r>
            <t>@王东旭</t>
          </r>
        </is>
      </c>
    </row>
    <row r="38" spans="1:25">
      <c r="A38" s="16" t="str">
        <v>分屏控制</v>
      </c>
      <c r="B38" s="166" t="str">
        <v>分屏控制</v>
      </c>
      <c r="C38" s="16" t="str">
        <v>分屏 - 打开</v>
      </c>
      <c r="D38" s="16" t="str">
        <v>P1</v>
      </c>
      <c r="E38" s="16" t="str">
        <v>打开分屏模式</v>
      </c>
      <c r="F38" s="16" t="str">
        <v>Y</v>
      </c>
      <c r="G38" s="255" t="str">
        <v>模拟系统手势广播可以实现隐藏和显示，3是显示，4是隐藏。
adb shell am broadcast -a "zone.intent.action.SWIPE_GESTURE" --ei "displayId" 0 --ei "direction" 3 --ei "fingers" 3
adb shell am broadcast -a "zone.intent.action.SWIPE_GESTURE" --ei "displayId" 0 --ei "direction" 4 --ei "fingers" 3
可以通过系统属性监听状态：
 Settings.System.getInt(resolver, "splitscreen_status", -1);
0、 1、 2 分别对应 隐藏 显示 动画中</v>
      </c>
      <c r="I38" s="46" t="str">
        <v>✅</v>
      </c>
      <c r="J38" s="46" t="str">
        <v>分屏开关</v>
      </c>
      <c r="K38" s="139"/>
      <c r="N38" s="11" t="str">
        <v>✅</v>
      </c>
      <c r="O38" s="11" t="str">
        <v>✅</v>
      </c>
      <c r="Q38" s="11" t="str">
        <v>✅</v>
      </c>
      <c r="R38" s="11" t="str">
        <v>✅</v>
      </c>
      <c r="S38" s="11" t="str">
        <v>✅</v>
      </c>
      <c r="T38" s="11" t="str">
        <v>✅</v>
      </c>
      <c r="X38" s="11" t="str">
        <v>✅</v>
      </c>
      <c r="Y38" s="11" t="inlineStr">
        <is>
          <r>
            <t>@王东旭</t>
          </r>
        </is>
      </c>
    </row>
    <row r="39" spans="1:25">
      <c r="A39" s="16" t="str">
        <v>分屏控制</v>
      </c>
      <c r="B39" s="168"/>
      <c r="C39" s="16" t="str">
        <v>分屏 - 关闭</v>
      </c>
      <c r="D39" s="16" t="str">
        <v>P1</v>
      </c>
      <c r="E39" s="16" t="str">
        <v>关闭分屏模式</v>
      </c>
      <c r="F39" s="16" t="str">
        <v>Y</v>
      </c>
      <c r="G39" s="256"/>
      <c r="I39" s="60"/>
      <c r="J39" s="110"/>
      <c r="K39" s="139"/>
      <c r="N39" s="11" t="str">
        <v>✅</v>
      </c>
      <c r="O39" s="11" t="str">
        <v>✅</v>
      </c>
      <c r="Q39" s="11" t="str">
        <v>✅</v>
      </c>
      <c r="R39" s="11" t="str">
        <v>✅</v>
      </c>
      <c r="S39" s="11" t="str">
        <v>✅</v>
      </c>
      <c r="T39" s="11" t="str">
        <v>✅</v>
      </c>
      <c r="X39" s="11" t="str">
        <v>✅</v>
      </c>
      <c r="Y39" s="11" t="inlineStr">
        <is>
          <r>
            <t>@王东旭</t>
          </r>
        </is>
      </c>
    </row>
    <row r="40" spans="1:25">
      <c r="A40" s="16" t="str">
        <v>分屏控制</v>
      </c>
      <c r="B40" s="30"/>
      <c r="C40" s="72" t="str">
        <v>分屏 - 打开设置页面</v>
      </c>
      <c r="D40" s="72" t="str">
        <v>P1</v>
      </c>
      <c r="E40" s="72" t="str">
        <v>打开分屏设置页面</v>
      </c>
      <c r="F40" s="257" t="str">
        <v>N</v>
      </c>
      <c r="G40" s="257" t="str">
        <v>NA</v>
      </c>
      <c r="I40" s="110"/>
      <c r="J40" s="249" t="str">
        <v>屏幕显示设置页面</v>
      </c>
      <c r="K40" s="139"/>
      <c r="S40" s="150" t="str">
        <v>❌</v>
      </c>
      <c r="Y40" s="11" t="inlineStr">
        <is>
          <r>
            <t>@王东旭</t>
          </r>
        </is>
      </c>
    </row>
    <row r="41" spans="1:25">
      <c r="A41" s="16" t="str">
        <v>热点控制</v>
      </c>
      <c r="B41" s="166" t="str">
        <v>热点控制</v>
      </c>
      <c r="C41" s="16" t="str">
        <v>热点 - 查看密码</v>
      </c>
      <c r="D41" s="16" t="str">
        <v>P1</v>
      </c>
      <c r="E41" s="16" t="str">
        <v>查看热点密码</v>
      </c>
      <c r="F41" s="16" t="str">
        <v>Y</v>
      </c>
      <c r="G41" s="258" t="str">
        <v>ExtSoftApManager.getSoftApPassword</v>
      </c>
      <c r="H41" s="11" t="str">
        <v>✅</v>
      </c>
      <c r="I41" s="46" t="str">
        <v>✅</v>
      </c>
      <c r="J41" s="214" t="str">
        <v>热点查看</v>
      </c>
      <c r="K41" s="139"/>
      <c r="N41" s="11" t="str">
        <v>✅</v>
      </c>
      <c r="Q41" s="11" t="str">
        <v>✅</v>
      </c>
      <c r="R41" s="11" t="str">
        <v>❌</v>
      </c>
      <c r="S41" s="11" t="str">
        <v>✅</v>
      </c>
      <c r="T41" s="11" t="str">
        <v>✅</v>
      </c>
      <c r="X41" s="11" t="str">
        <v>✅</v>
      </c>
      <c r="Y41" s="11" t="inlineStr">
        <is>
          <r>
            <t>@王东旭</t>
          </r>
        </is>
      </c>
    </row>
    <row r="42" spans="1:25">
      <c r="A42" s="16" t="str">
        <v>热点控制</v>
      </c>
      <c r="B42" s="168"/>
      <c r="C42" s="16" t="str">
        <v>热点 - 查看名称</v>
      </c>
      <c r="D42" s="16" t="str">
        <v>P1</v>
      </c>
      <c r="E42" s="16" t="str">
        <v>查看热点名称</v>
      </c>
      <c r="F42" s="16" t="str">
        <v>Y</v>
      </c>
      <c r="G42" s="258" t="str">
        <v>ExtSoftApManager.getSoftApName</v>
      </c>
      <c r="H42" s="11" t="str">
        <v>✅</v>
      </c>
      <c r="I42" s="60"/>
      <c r="J42" s="216"/>
      <c r="K42" s="139"/>
      <c r="N42" s="11" t="str">
        <v>✅</v>
      </c>
      <c r="Q42" s="11" t="str">
        <v>✅</v>
      </c>
      <c r="R42" s="11" t="str">
        <v>❌</v>
      </c>
      <c r="S42" s="11" t="str">
        <v>✅</v>
      </c>
      <c r="T42" s="11" t="str">
        <v>✅</v>
      </c>
      <c r="X42" s="11" t="str">
        <v>✅</v>
      </c>
      <c r="Y42" s="11" t="inlineStr">
        <is>
          <r>
            <t>@王东旭</t>
          </r>
        </is>
      </c>
    </row>
    <row r="43" spans="1:25">
      <c r="A43" s="16" t="str">
        <v>热点控制</v>
      </c>
      <c r="B43" s="168"/>
      <c r="C43" s="16" t="str">
        <v>热点 - 切换频段意图</v>
      </c>
      <c r="D43" s="16" t="str">
        <v>P1</v>
      </c>
      <c r="E43" s="16" t="str">
        <v>切换热点频段</v>
      </c>
      <c r="F43" s="164" t="str">
        <v>Y（如果是频段切换支持）</v>
      </c>
      <c r="G43" s="258" t="str">
        <v>ExtSoftApManager.setHotspotBand
参数说明：
Parameters: band — AP band
SdkConstants#SOFTAP_BAND_2GHZ and SOFTAP_BAND_}prefix</v>
      </c>
      <c r="H43" s="11" t="str">
        <v>✅</v>
      </c>
      <c r="I43" s="60"/>
      <c r="J43" s="214" t="str">
        <v>热点频段调节</v>
      </c>
      <c r="K43" s="139"/>
      <c r="N43" s="11" t="str">
        <v>✅</v>
      </c>
      <c r="Q43" s="11" t="str">
        <v>❌</v>
      </c>
      <c r="R43" s="11" t="str">
        <v>❌</v>
      </c>
      <c r="S43" s="11" t="str">
        <v>❌</v>
      </c>
      <c r="T43" s="11" t="str">
        <v>✅</v>
      </c>
      <c r="W43" s="11" t="str">
        <v>❌</v>
      </c>
      <c r="Y43" s="11" t="inlineStr">
        <is>
          <r>
            <t>@王东旭</t>
          </r>
        </is>
      </c>
    </row>
    <row r="44" spans="1:25">
      <c r="A44" s="16" t="str">
        <v>热点控制</v>
      </c>
      <c r="B44" s="30"/>
      <c r="C44" s="16" t="str">
        <v>热点 - 切换指定频段 (2.4GHz)</v>
      </c>
      <c r="D44" s="16" t="str">
        <v>P1</v>
      </c>
      <c r="E44" s="16" t="str">
        <v>热点频段切换成 2.4GHz/5GHz</v>
      </c>
      <c r="F44" s="16" t="str">
        <v>Y</v>
      </c>
      <c r="G44" s="258" t="str">
        <v>ExtSoftApManager.setHotspotBand</v>
      </c>
      <c r="H44" s="11" t="str">
        <v>✅</v>
      </c>
      <c r="I44" s="110"/>
      <c r="J44" s="216"/>
      <c r="K44" s="139"/>
      <c r="N44" s="11" t="str">
        <v>✅</v>
      </c>
      <c r="Q44" s="11" t="str">
        <v>✅</v>
      </c>
      <c r="R44" s="11" t="str">
        <v>❌</v>
      </c>
      <c r="S44" s="11" t="str">
        <v>❌</v>
      </c>
      <c r="T44" s="11" t="str">
        <v>❌</v>
      </c>
      <c r="W44" s="11" t="str">
        <v>✅</v>
      </c>
      <c r="X44" s="11" t="str">
        <v>✅</v>
      </c>
      <c r="Y44" s="11" t="inlineStr">
        <is>
          <r>
            <t>@王东旭</t>
          </r>
        </is>
      </c>
    </row>
    <row r="45" spans="1:25">
      <c r="A45" s="16" t="str">
        <v>蓝牙控制</v>
      </c>
      <c r="B45" s="166" t="str">
        <v>蓝牙控制</v>
      </c>
      <c r="C45" s="16" t="str">
        <v>蓝牙 - 修改名称</v>
      </c>
      <c r="D45" s="16" t="str">
        <v>P1</v>
      </c>
      <c r="E45" s="16" t="str">
        <v>修改蓝牙名称</v>
      </c>
      <c r="F45" s="16" t="str">
        <v>Y</v>
      </c>
      <c r="G45" s="173" t="str">
        <v>BluetoothSettingsManager.setName</v>
      </c>
      <c r="H45" s="11" t="str">
        <v>✅</v>
      </c>
      <c r="I45" s="46" t="str">
        <v>✅</v>
      </c>
      <c r="J45" s="217" t="str">
        <v>蓝牙名称设置</v>
      </c>
      <c r="K45" s="139"/>
      <c r="N45" s="11" t="str">
        <v>✅</v>
      </c>
      <c r="Q45" s="11" t="str">
        <v>✅</v>
      </c>
      <c r="R45" s="11" t="str">
        <v>✅</v>
      </c>
      <c r="S45" s="11" t="str">
        <v>✅</v>
      </c>
      <c r="T45" s="11" t="str">
        <v>✅</v>
      </c>
      <c r="Y45" s="11" t="inlineStr">
        <is>
          <r>
            <t>@王东旭</t>
          </r>
        </is>
      </c>
    </row>
    <row r="46" spans="1:25">
      <c r="A46" s="16" t="str">
        <v>蓝牙控制</v>
      </c>
      <c r="B46" s="168"/>
      <c r="C46" s="16" t="str">
        <v>蓝牙 - 打开可被发现开关</v>
      </c>
      <c r="D46" s="16" t="str">
        <v>P1</v>
      </c>
      <c r="E46" s="16" t="str">
        <v>打开可被发现开关</v>
      </c>
      <c r="F46" s="16" t="str">
        <v>Y</v>
      </c>
      <c r="G46" s="173" t="str">
        <v>BluetoothSettingsManager.setVisibleState</v>
      </c>
      <c r="H46" s="11" t="str">
        <v>✅</v>
      </c>
      <c r="I46" s="60"/>
      <c r="J46" s="214" t="str">
        <v>蓝牙可被发现开关</v>
      </c>
      <c r="K46" s="139"/>
      <c r="N46" s="11" t="str">
        <v>✅</v>
      </c>
      <c r="Q46" s="11" t="str">
        <v>✅</v>
      </c>
      <c r="R46" s="11" t="str">
        <v>❌</v>
      </c>
      <c r="S46" s="11" t="str">
        <v>✅</v>
      </c>
      <c r="T46" s="11" t="str">
        <v>✅</v>
      </c>
      <c r="X46" s="11" t="str">
        <v>✅</v>
      </c>
      <c r="Y46" s="11" t="inlineStr">
        <is>
          <r>
            <t>@王东旭</t>
          </r>
        </is>
      </c>
    </row>
    <row r="47" spans="1:25">
      <c r="A47" s="16" t="str">
        <v>蓝牙控制</v>
      </c>
      <c r="B47" s="168"/>
      <c r="C47" s="16" t="str">
        <v>蓝牙 - 关闭可被发现开关</v>
      </c>
      <c r="D47" s="16" t="str">
        <v>P1</v>
      </c>
      <c r="E47" s="16" t="str">
        <v>关闭可被发现开关</v>
      </c>
      <c r="F47" s="16" t="str">
        <v>Y</v>
      </c>
      <c r="G47" s="173" t="str">
        <v>BluetoothSettingsManager.setVisibleState</v>
      </c>
      <c r="H47" s="11" t="str">
        <v>✅</v>
      </c>
      <c r="I47" s="60"/>
      <c r="J47" s="216"/>
      <c r="K47" s="139"/>
      <c r="N47" s="11" t="str">
        <v>✅</v>
      </c>
      <c r="Q47" s="11" t="str">
        <v>✅</v>
      </c>
      <c r="R47" s="11" t="str">
        <v>❌</v>
      </c>
      <c r="S47" s="11" t="str">
        <v>✅</v>
      </c>
      <c r="T47" s="11" t="str">
        <v>✅</v>
      </c>
      <c r="X47" s="11" t="str">
        <v>✅</v>
      </c>
      <c r="Y47" s="11" t="inlineStr">
        <is>
          <r>
            <t>@王东旭</t>
          </r>
        </is>
      </c>
    </row>
    <row r="48" spans="1:25">
      <c r="A48" s="16" t="str">
        <v>蓝牙控制</v>
      </c>
      <c r="B48" s="30"/>
      <c r="C48" s="16" t="str">
        <v>蓝牙 - 打开始终播放手机音频开关</v>
      </c>
      <c r="D48" s="16" t="str">
        <v>P1</v>
      </c>
      <c r="E48" s="16" t="str">
        <v>打开始终播放手机音频开关</v>
      </c>
      <c r="F48" s="164" t="str">
        <v>Y</v>
      </c>
      <c r="G48" s="164" t="str">
        <v>安卓原生接口（seetingprovider）：
Settings.Global的key：BT_PLAY_PHONE_MEDIA_SWITCH
OFF = 0
ON = 1</v>
      </c>
      <c r="H48" s="11" t="str">
        <v>✅</v>
      </c>
      <c r="I48" s="110"/>
      <c r="J48" s="217" t="str">
        <v>始终播放手机音频开关</v>
      </c>
      <c r="K48" s="139"/>
      <c r="N48" s="11" t="str">
        <v>✅</v>
      </c>
      <c r="Q48" s="11" t="str">
        <v>✅</v>
      </c>
      <c r="R48" s="11" t="str">
        <v>✅</v>
      </c>
      <c r="S48" s="11" t="str">
        <v>✅</v>
      </c>
      <c r="T48" s="11" t="str">
        <v>✅</v>
      </c>
      <c r="X48" s="11" t="str">
        <v>✅</v>
      </c>
      <c r="Y48" s="11" t="inlineStr">
        <is>
          <r>
            <t>@王东旭</t>
          </r>
        </is>
      </c>
    </row>
    <row r="49" spans="1:25">
      <c r="A49" s="16" t="str">
        <v>时间格式控制</v>
      </c>
      <c r="B49" s="166" t="str">
        <v>时间格式控制</v>
      </c>
      <c r="C49" s="16" t="str">
        <v>时间格式 - 切换时间格式意图</v>
      </c>
      <c r="D49" s="16" t="str">
        <v>P0</v>
      </c>
      <c r="E49" s="16" t="str">
        <v>时间格式切换</v>
      </c>
      <c r="F49" s="164" t="str">
        <v>N</v>
      </c>
      <c r="G49" s="164" t="str">
        <v>adb shell am start -a com.zone.intent.tab.display -n  com.zone.hmi.settings/com.zone.hmi.settings.ui.MainFragmentActivity --es SUB_ACTION subAction_theme_show_time_settings</v>
      </c>
      <c r="H49" s="11" t="str">
        <v>✅</v>
      </c>
      <c r="I49" s="46" t="str">
        <v>✅</v>
      </c>
      <c r="J49" s="46" t="str">
        <v>时间格式设置</v>
      </c>
      <c r="K49" s="139"/>
      <c r="N49" s="11" t="str">
        <v>✅</v>
      </c>
      <c r="Q49" s="11" t="str">
        <v>✅</v>
      </c>
      <c r="R49" s="11" t="str">
        <v>✅</v>
      </c>
      <c r="S49" s="11" t="str">
        <v>✅</v>
      </c>
      <c r="T49" s="11" t="str">
        <v>✅</v>
      </c>
      <c r="X49" s="11" t="str">
        <v>✅</v>
      </c>
      <c r="Y49" s="11" t="inlineStr">
        <is>
          <r>
            <t>@王东旭</t>
          </r>
        </is>
      </c>
    </row>
    <row r="50" spans="1:25">
      <c r="A50" s="16" t="str">
        <v>时间格式控制</v>
      </c>
      <c r="B50" s="30"/>
      <c r="C50" s="16" t="str">
        <v>时间格式 - 切换指定格式</v>
      </c>
      <c r="D50" s="16" t="str">
        <v>P0</v>
      </c>
      <c r="E50" s="16" t="str">
        <v>时间格式切换为 12 小时制/24小时制</v>
      </c>
      <c r="F50" s="164" t="str">
        <v>Y</v>
      </c>
      <c r="G50" s="173" t="str">
        <v>TimeManager.set24Hour</v>
      </c>
      <c r="H50" s="11" t="str">
        <v>✅</v>
      </c>
      <c r="I50" s="110"/>
      <c r="J50" s="110"/>
      <c r="K50" s="139"/>
      <c r="N50" s="11" t="str">
        <v>✅</v>
      </c>
      <c r="Q50" s="11" t="str">
        <v>✅</v>
      </c>
      <c r="R50" s="11" t="str">
        <v>✅</v>
      </c>
      <c r="S50" s="11" t="str">
        <v>✅</v>
      </c>
      <c r="T50" s="11" t="str">
        <v>✅</v>
      </c>
      <c r="X50" s="11" t="str">
        <v>✅</v>
      </c>
      <c r="Y50" s="11" t="inlineStr">
        <is>
          <r>
            <t>@王东旭</t>
          </r>
        </is>
      </c>
    </row>
    <row r="51" spans="1:25">
      <c r="A51" s="259" t="str">
        <v>无线网络控制</v>
      </c>
      <c r="B51" s="259" t="str">
        <v>无线网络控制</v>
      </c>
      <c r="C51" s="16" t="str">
        <v>通信模块 - 重启</v>
      </c>
      <c r="D51" s="16" t="str">
        <v>P1</v>
      </c>
      <c r="E51" s="16" t="str">
        <v>打开通信模块重启</v>
      </c>
      <c r="F51" s="164" t="str">
        <v>Y</v>
      </c>
      <c r="G51" s="164" t="str">
        <v>已支持</v>
      </c>
      <c r="H51" s="11" t="str">
        <v>✅</v>
      </c>
      <c r="I51" s="11" t="str">
        <v>✅</v>
      </c>
      <c r="J51" s="217" t="str">
        <v>通信重启</v>
      </c>
      <c r="K51" s="139"/>
      <c r="N51" s="16" t="str">
        <v>✅</v>
      </c>
      <c r="Q51" s="150" t="str">
        <v>❌</v>
      </c>
      <c r="W51" s="150" t="str">
        <v>❌</v>
      </c>
      <c r="Y51" s="11" t="inlineStr">
        <is>
          <r>
            <t>@王东旭</t>
          </r>
        </is>
      </c>
    </row>
    <row r="52" spans="1:25">
      <c r="A52" s="16" t="str">
        <v>软件升级控制</v>
      </c>
      <c r="B52" s="166" t="str">
        <v>软件升级控制</v>
      </c>
      <c r="C52" s="16" t="str">
        <v>软件升级 - 检查版本</v>
      </c>
      <c r="D52" s="16" t="str">
        <v>P1</v>
      </c>
      <c r="E52" s="16" t="str">
        <v>现在是最新版本吗</v>
      </c>
      <c r="F52" s="16" t="str">
        <v>Y</v>
      </c>
      <c r="G52" s="166" t="str">
        <v>跳转到FOTA页面
adb shell am start -a com.zone.intent.tab.software -n  com.zone.hmi.settings/com.zone.hmi.settings.ui.MainFragmentActivity --es SUB_ACTION subAction_ota</v>
      </c>
      <c r="H52" s="11" t="str">
        <v>❌</v>
      </c>
      <c r="I52" s="46" t="str">
        <v>❌</v>
      </c>
      <c r="J52" s="11" t="str">
        <v>端状态</v>
      </c>
      <c r="K52" s="139"/>
      <c r="O52" s="11" t="inlineStr">
        <is>
          <r>
            <t>待产品提供端状态信息</t>
          </r>
          <r>
            <t>@吴仁杰</t>
          </r>
          <r>
            <t xml:space="preserve">
</t>
          </r>
          <r>
            <t>0701 仁杰：这个</t>
          </r>
          <r>
            <t>@韩天亮</t>
          </r>
          <r>
            <t xml:space="preserve"> 已经提需求给到上汽了，等对方给反馈。
</t>
          </r>
          <r>
            <t xml:space="preserve">0703 天亮把接口信息给到忠谕
</t>
          </r>
          <r>
            <t>0707 忠谕说接口有问题，已让他提票</t>
          </r>
          <r>
            <t xml:space="preserve">
</t>
          </r>
          <r>
            <t>0713 忠谕今晚给结论，如果今晚解决不了就赶紧提票</t>
          </r>
        </is>
      </c>
      <c r="Y52" s="11" t="inlineStr">
        <is>
          <r>
            <t>@王东旭</t>
          </r>
        </is>
      </c>
    </row>
    <row r="53" spans="1:25">
      <c r="A53" s="16" t="str">
        <v>软件升级控制</v>
      </c>
      <c r="B53" s="168"/>
      <c r="C53" s="16" t="str">
        <v>软件升级 - 开始升级</v>
      </c>
      <c r="D53" s="16" t="str">
        <v>P1</v>
      </c>
      <c r="E53" s="16" t="str">
        <v>升级系统版本</v>
      </c>
      <c r="F53" s="16" t="str">
        <v>Y</v>
      </c>
      <c r="G53" s="168"/>
      <c r="H53" s="11" t="str">
        <v>❌</v>
      </c>
      <c r="I53" s="60"/>
      <c r="J53" s="24" t="str">
        <v>系统升级</v>
      </c>
      <c r="K53" s="139"/>
      <c r="N53" s="11" t="str">
        <v>✅</v>
      </c>
      <c r="O53" s="11" t="str">
        <v>✅</v>
      </c>
      <c r="P53" s="11" t="str">
        <v>✅</v>
      </c>
      <c r="Q53" s="11" t="str">
        <v>✅</v>
      </c>
      <c r="S53" s="11" t="str">
        <v>✅</v>
      </c>
      <c r="T53" s="11" t="str">
        <v>✅</v>
      </c>
      <c r="X53" s="11" t="str">
        <v>✅</v>
      </c>
      <c r="Y53" s="11" t="inlineStr">
        <is>
          <r>
            <t>@王东旭</t>
          </r>
        </is>
      </c>
    </row>
    <row r="54" spans="1:25">
      <c r="A54" s="16" t="str">
        <v>软件升级控制</v>
      </c>
      <c r="B54" s="30"/>
      <c r="C54" s="16" t="str">
        <v>软件升级 - 预约升级</v>
      </c>
      <c r="D54" s="16" t="str">
        <v>P1</v>
      </c>
      <c r="E54" s="16" t="str">
        <v>预约升级版本</v>
      </c>
      <c r="F54" s="16" t="str">
        <v>Y</v>
      </c>
      <c r="G54" s="30"/>
      <c r="H54" s="11" t="str">
        <v>❌</v>
      </c>
      <c r="I54" s="110"/>
      <c r="J54" s="24" t="str">
        <v>系统升级</v>
      </c>
      <c r="K54" s="139"/>
      <c r="N54" s="11" t="str">
        <v>✅</v>
      </c>
      <c r="O54" s="11" t="str">
        <v>✅</v>
      </c>
      <c r="P54" s="11" t="str">
        <v>✅</v>
      </c>
      <c r="Q54" s="11" t="str">
        <v>✅</v>
      </c>
      <c r="S54" s="11" t="str">
        <v>✅</v>
      </c>
      <c r="T54" s="11" t="str">
        <v>✅</v>
      </c>
      <c r="X54" s="11" t="str">
        <v>✅</v>
      </c>
      <c r="Y54" s="11" t="inlineStr">
        <is>
          <r>
            <t>@王东旭</t>
          </r>
        </is>
      </c>
    </row>
    <row r="55" spans="1:25">
      <c r="A55" s="16" t="str">
        <v>车机快速启动控制</v>
      </c>
      <c r="B55" s="166" t="str">
        <v>车机快速启动控制</v>
      </c>
      <c r="C55" s="16" t="str">
        <v>快速启动 - 打开</v>
      </c>
      <c r="D55" s="16" t="str">
        <v>P1</v>
      </c>
      <c r="E55" s="16" t="str">
        <v>打开车机快速启动模式</v>
      </c>
      <c r="F55" s="164" t="str">
        <v>Y</v>
      </c>
      <c r="G55" s="260" t="str">
        <v>val vehicleConfigValue = VehicleConfigValue()
 vehicleConfigValue.key = STR_STR
 vehicleConfigValue.valueBool = value
 vehicleConfig!!.setVehicleConfig(vehicleConfigValue)
private const val STR_STR = "VehCfg_SW_STRState"</v>
      </c>
      <c r="H55" s="11" t="str">
        <v>❌</v>
      </c>
      <c r="I55" s="46" t="str">
        <v>❌</v>
      </c>
      <c r="J55" s="11" t="str">
        <v>车机快速启动模式开关</v>
      </c>
      <c r="K55" s="139"/>
      <c r="N55" s="11" t="str">
        <v>✅</v>
      </c>
      <c r="O55" s="11" t="str">
        <v>✅</v>
      </c>
      <c r="Q55" s="11" t="str">
        <v>✅</v>
      </c>
      <c r="R55" s="11" t="str">
        <v>❌</v>
      </c>
      <c r="S55" s="11" t="str">
        <v>✅</v>
      </c>
      <c r="T55" s="11" t="str">
        <v>✅</v>
      </c>
      <c r="X55" s="11" t="str">
        <v>✅</v>
      </c>
      <c r="Y55" s="11" t="inlineStr">
        <is>
          <r>
            <t>@王东旭</t>
          </r>
        </is>
      </c>
    </row>
    <row r="56" spans="1:25">
      <c r="A56" s="16" t="str">
        <v>车机快速启动控制</v>
      </c>
      <c r="B56" s="30"/>
      <c r="C56" s="16" t="str">
        <v>快速启动 - 关闭</v>
      </c>
      <c r="D56" s="16" t="str">
        <v>P1</v>
      </c>
      <c r="E56" s="16" t="str">
        <v>关闭车机快速启动模式</v>
      </c>
      <c r="F56" s="164" t="str">
        <v>Y</v>
      </c>
      <c r="G56" s="261"/>
      <c r="H56" s="11" t="str">
        <v>❌</v>
      </c>
      <c r="I56" s="110"/>
      <c r="J56" s="11" t="str">
        <v>车机快速启动模式开关</v>
      </c>
      <c r="K56" s="139"/>
      <c r="N56" s="11" t="str">
        <v>✅</v>
      </c>
      <c r="O56" s="11" t="str">
        <v>✅</v>
      </c>
      <c r="Q56" s="11" t="str">
        <v>✅</v>
      </c>
      <c r="R56" s="11" t="str">
        <v>❌</v>
      </c>
      <c r="S56" s="11" t="str">
        <v>✅</v>
      </c>
      <c r="T56" s="11" t="str">
        <v>✅</v>
      </c>
      <c r="X56" s="11" t="str">
        <v>✅</v>
      </c>
      <c r="Y56" s="11" t="inlineStr">
        <is>
          <r>
            <t>@王东旭</t>
          </r>
        </is>
      </c>
    </row>
    <row r="57" spans="1:25">
      <c r="A57" s="16" t="str">
        <v>权限管理</v>
      </c>
      <c r="B57" s="166" t="str">
        <v>权限管理</v>
      </c>
      <c r="C57" s="16" t="str">
        <v>向指定应用授予指定权限</v>
      </c>
      <c r="D57" s="16" t="str">
        <v>P1</v>
      </c>
      <c r="E57" s="16" t="str">
        <v>给地图应用定位的权限</v>
      </c>
      <c r="F57" s="16" t="str">
        <v>Y</v>
      </c>
      <c r="G57" s="173" t="str">
        <v>setPermissionStatus</v>
      </c>
      <c r="H57" s="11" t="str">
        <v>✅</v>
      </c>
      <c r="I57" s="46" t="str">
        <v>✅</v>
      </c>
      <c r="J57" s="214" t="str">
        <v>应用授权</v>
      </c>
      <c r="K57" s="139"/>
      <c r="M57" s="16" t="str">
        <v>  setPermissionStatus(pkg, "PERM_MAP_LOCATION", 0, 1|2, 1);</v>
      </c>
      <c r="N57" s="11" t="str">
        <v>✅</v>
      </c>
      <c r="O57" s="11" t="str">
        <v>✅</v>
      </c>
      <c r="Y57" s="11" t="inlineStr">
        <is>
          <r>
            <t>@王东旭</t>
          </r>
        </is>
      </c>
    </row>
    <row r="58" spans="1:25">
      <c r="A58" s="16" t="str">
        <v>权限管理</v>
      </c>
      <c r="B58" s="168"/>
      <c r="C58" s="16" t="str">
        <v>向指定应用取消授权指定权限</v>
      </c>
      <c r="D58" s="16" t="str">
        <v>P1</v>
      </c>
      <c r="E58" s="16" t="str">
        <v>取消地图应用的定位权限</v>
      </c>
      <c r="F58" s="16" t="str">
        <v>Y</v>
      </c>
      <c r="G58" s="173" t="str">
        <v>setPermissionStatus</v>
      </c>
      <c r="H58" s="11" t="str">
        <v>✅</v>
      </c>
      <c r="I58" s="60"/>
      <c r="J58" s="233"/>
      <c r="K58" s="139"/>
      <c r="M58" s="16" t="str">
        <v>setPermissionStatus(pkg, "PERM_MAP_LOCATION", 1, 1|2, 1)</v>
      </c>
      <c r="N58" s="11" t="str">
        <v>✅</v>
      </c>
      <c r="O58" s="11" t="str">
        <v>✅</v>
      </c>
      <c r="Y58" s="11" t="inlineStr">
        <is>
          <r>
            <t>@王东旭</t>
          </r>
        </is>
      </c>
    </row>
    <row r="59" spans="1:25">
      <c r="A59" s="16" t="str">
        <v>权限管理</v>
      </c>
      <c r="B59" s="168"/>
      <c r="C59" s="16" t="str">
        <v>指定权限授权</v>
      </c>
      <c r="D59" s="16" t="str">
        <v>P1</v>
      </c>
      <c r="E59" s="16" t="str">
        <v>麦克风授权
定位授权</v>
      </c>
      <c r="F59" s="16" t="str">
        <v>Y</v>
      </c>
      <c r="G59" s="173" t="str">
        <v>setPermissionStatus</v>
      </c>
      <c r="H59" s="11" t="str">
        <v>✅</v>
      </c>
      <c r="I59" s="60"/>
      <c r="J59" s="233"/>
      <c r="K59" s="139"/>
      <c r="M59" s="16" t="str">
        <v> setPermissionStatus(pkg, "PERM_MICROPHONE", 0, 1|2, 1|2);
 setPermissionStatus(pkg, "PERM_LOCATION", 0, 1|2, 1);</v>
      </c>
      <c r="N59" s="11" t="str">
        <v>✅</v>
      </c>
      <c r="O59" s="11" t="str">
        <v>✅</v>
      </c>
      <c r="Y59" s="11" t="inlineStr">
        <is>
          <r>
            <t>@王东旭</t>
          </r>
        </is>
      </c>
    </row>
    <row r="60" spans="1:25">
      <c r="A60" s="16" t="str">
        <v>权限管理</v>
      </c>
      <c r="B60" s="30"/>
      <c r="C60" s="16" t="str">
        <v>指定应用授权</v>
      </c>
      <c r="D60" s="16" t="str">
        <v>P1</v>
      </c>
      <c r="E60" s="16" t="str">
        <v>地图授权
语音授权</v>
      </c>
      <c r="F60" s="16" t="str">
        <v>Y</v>
      </c>
      <c r="G60" s="173" t="str">
        <v>setPermissionStatus</v>
      </c>
      <c r="H60" s="11" t="str">
        <v>✅</v>
      </c>
      <c r="I60" s="110"/>
      <c r="J60" s="216"/>
      <c r="K60" s="139"/>
      <c r="M60" s="16" t="str">
        <v> setPermissionStatus(pkg, "PERM_MAP", 0, 1|2, 1);
 setPermissionStatus(pkg, "PERM_VOICE", 0, 1|2, 1);</v>
      </c>
      <c r="N60" s="11" t="str">
        <v>✅</v>
      </c>
      <c r="O60" s="11" t="str">
        <v>✅</v>
      </c>
      <c r="Y60" s="11" t="inlineStr">
        <is>
          <r>
            <t>@王东旭</t>
          </r>
        </is>
      </c>
    </row>
    <row r="61" spans="1:25">
      <c r="A61" s="16" t="str">
        <v>系统重置控制</v>
      </c>
      <c r="B61" s="16" t="str">
        <v>系统重置控制</v>
      </c>
      <c r="C61" s="16" t="str">
        <v>恢复出厂设置</v>
      </c>
      <c r="D61" s="16" t="str">
        <v>P1</v>
      </c>
      <c r="E61" s="16" t="str">
        <v>恢复出厂设置</v>
      </c>
      <c r="F61" s="164" t="str">
        <v>Y</v>
      </c>
      <c r="G61" s="173" t="str">
        <v>前置条件：
 val conditionStatus: Int = mFactoryResetManager.checkFactoryResetPreCondition()
 return conditionStatus == FactoryResetManager.PRECONDITION_OK
跳转到恢复出厂设置入口页面
adb shell am start -a com.zone.intent.tab.software -n com.zone.hmi.settings/com.zone.hmi.settings.ui.MainFragmentActivity</v>
      </c>
      <c r="I61" s="16" t="str">
        <v>✅</v>
      </c>
      <c r="J61" s="11" t="str">
        <v>系统恢复出厂设置</v>
      </c>
      <c r="K61" s="139"/>
      <c r="M61" s="11" t="str">
        <v>N</v>
      </c>
      <c r="N61" s="11" t="str">
        <v>✅</v>
      </c>
      <c r="Q61" s="11" t="str">
        <v>✅</v>
      </c>
      <c r="X61" s="11" t="str">
        <v>✅</v>
      </c>
      <c r="Y61" s="11" t="inlineStr">
        <is>
          <r>
            <t>@王东旭</t>
          </r>
        </is>
      </c>
    </row>
    <row r="62" spans="1:25">
      <c r="A62" s="16" t="str">
        <v>安全控制</v>
      </c>
      <c r="B62" s="166" t="str">
        <v>安全控制</v>
      </c>
      <c r="C62" s="150" t="str">
        <v>车内电源 - 打开</v>
      </c>
      <c r="D62" s="150" t="str">
        <v>P1</v>
      </c>
      <c r="E62" s="150" t="str">
        <v>打开车内电源</v>
      </c>
      <c r="F62" s="150" t="str">
        <v>NA（车控接口）</v>
      </c>
      <c r="G62" s="173" t="str">
        <v>NA</v>
      </c>
      <c r="I62" s="166" t="str">
        <v>✅</v>
      </c>
      <c r="J62" s="262" t="str">
        <v>一键上下电</v>
      </c>
      <c r="K62" s="139"/>
      <c r="Y62" s="11" t="inlineStr">
        <is>
          <r>
            <t>@王东旭</t>
          </r>
        </is>
      </c>
    </row>
    <row r="63" spans="1:25">
      <c r="A63" s="16" t="str">
        <v>安全控制</v>
      </c>
      <c r="B63" s="168"/>
      <c r="C63" s="16" t="str">
        <v>车内电源 - 关闭</v>
      </c>
      <c r="D63" s="16" t="str">
        <v>P1</v>
      </c>
      <c r="E63" s="16" t="str">
        <v>关闭车内电源</v>
      </c>
      <c r="F63" s="16" t="str">
        <v>Y</v>
      </c>
      <c r="G63" s="173" t="str">
        <v>IVehicleCommonInterface.setVehiclePowerOff</v>
      </c>
      <c r="I63" s="168"/>
      <c r="J63" s="11" t="str">
        <v>一键上下电</v>
      </c>
      <c r="K63" s="139"/>
      <c r="N63" s="16" t="str">
        <v>✅</v>
      </c>
      <c r="O63" s="16" t="str">
        <v>✅</v>
      </c>
      <c r="Q63" s="11" t="str">
        <v>✅</v>
      </c>
      <c r="R63" s="11" t="str">
        <v>✅</v>
      </c>
      <c r="S63" s="11" t="str">
        <v>✅</v>
      </c>
      <c r="T63" s="11" t="str">
        <v>✅</v>
      </c>
      <c r="Y63" s="11" t="inlineStr">
        <is>
          <r>
            <t>@王东旭</t>
          </r>
        </is>
      </c>
    </row>
    <row r="64" spans="1:25">
      <c r="A64" s="16" t="str">
        <v>安全控制</v>
      </c>
      <c r="B64" s="168"/>
      <c r="C64" s="150" t="str">
        <v>无线充电面板 - 打开</v>
      </c>
      <c r="D64" s="150" t="str">
        <v>P0</v>
      </c>
      <c r="E64" s="16" t="str">
        <v>打开无线充电面板开关</v>
      </c>
      <c r="F64" s="16" t="str">
        <v>Y</v>
      </c>
      <c r="G64" s="173" t="str">
        <v>WirelessChargeManager.setChargingSwitchStatus</v>
      </c>
      <c r="I64" s="168"/>
      <c r="J64" s="11" t="str">
        <v>手机无线充电开关</v>
      </c>
      <c r="K64" s="139"/>
      <c r="N64" s="16" t="str">
        <v>✅</v>
      </c>
      <c r="O64" s="16" t="str">
        <v>✅</v>
      </c>
      <c r="Q64" s="11" t="str">
        <v>✅</v>
      </c>
      <c r="R64" s="11" t="str">
        <v>❌</v>
      </c>
      <c r="S64" s="16" t="str">
        <v>✅</v>
      </c>
      <c r="T64" s="16" t="str">
        <v>✅</v>
      </c>
      <c r="X64" s="11" t="str">
        <v>✅</v>
      </c>
      <c r="Y64" s="11" t="inlineStr">
        <is>
          <r>
            <t>@王东旭</t>
          </r>
        </is>
      </c>
    </row>
    <row r="65" spans="1:25">
      <c r="A65" s="16" t="str">
        <v>安全控制</v>
      </c>
      <c r="B65" s="168"/>
      <c r="C65" s="16" t="str">
        <v>无线充电面板 - 关闭</v>
      </c>
      <c r="D65" s="150" t="str">
        <v>P0</v>
      </c>
      <c r="E65" s="16" t="str">
        <v>关闭无线充电面板开关</v>
      </c>
      <c r="F65" s="16" t="str">
        <v>Y</v>
      </c>
      <c r="G65" s="173" t="str">
        <v>WirelessChargeManager.setChargingSwitchStatus</v>
      </c>
      <c r="I65" s="168"/>
      <c r="J65" s="11" t="str">
        <v>手机无线充电开关</v>
      </c>
      <c r="K65" s="139"/>
      <c r="N65" s="16" t="str">
        <v>✅</v>
      </c>
      <c r="O65" s="16" t="str">
        <v>✅</v>
      </c>
      <c r="Q65" s="11" t="str">
        <v>✅</v>
      </c>
      <c r="R65" s="11" t="str">
        <v>❌</v>
      </c>
      <c r="S65" s="16" t="str">
        <v>✅</v>
      </c>
      <c r="T65" s="16" t="str">
        <v>✅</v>
      </c>
      <c r="X65" s="11" t="str">
        <v>✅</v>
      </c>
      <c r="Y65" s="11" t="inlineStr">
        <is>
          <r>
            <t>@王东旭</t>
          </r>
        </is>
      </c>
    </row>
    <row r="66" spans="1:25">
      <c r="A66" s="16" t="str">
        <v>安全控制</v>
      </c>
      <c r="B66" s="30"/>
      <c r="C66" s="16" t="str">
        <v>行车播放视频 - 打开/关闭</v>
      </c>
      <c r="D66" s="150" t="str">
        <v>P0</v>
      </c>
      <c r="E66" s="16" t="str">
        <v>打开行车播放视频开关</v>
      </c>
      <c r="F66" s="164" t="str">
        <v>Y</v>
      </c>
      <c r="G66" s="173" t="str">
        <v>Settings.Global的key：DRIVING_VIDEO_RESTRICTION
OFF = 1
ON = 0</v>
      </c>
      <c r="I66" s="30"/>
      <c r="J66" s="11" t="str">
        <v>行车娱乐限制开关</v>
      </c>
      <c r="K66" s="156"/>
      <c r="M66" s="11" t="str">
        <v>N</v>
      </c>
      <c r="N66" s="16" t="str">
        <v>✅</v>
      </c>
      <c r="O66" s="16" t="str">
        <v>✅</v>
      </c>
      <c r="Q66" s="11" t="str">
        <v>✅</v>
      </c>
      <c r="R66" s="11" t="str">
        <v>❌</v>
      </c>
      <c r="S66" s="11" t="str">
        <v>❌</v>
      </c>
      <c r="T66" s="11" t="str">
        <v>✅</v>
      </c>
      <c r="W66" s="11" t="str">
        <v>✅</v>
      </c>
      <c r="X66" s="11" t="str">
        <v>✅</v>
      </c>
      <c r="Y66" s="11" t="inlineStr">
        <is>
          <r>
            <t>@王东旭</t>
          </r>
        </is>
      </c>
    </row>
    <row r="67" spans="1:25">
      <c r="A67" s="16" t="str">
        <v>声音</v>
      </c>
      <c r="B67" s="166" t="str">
        <v>声音</v>
      </c>
      <c r="C67" s="150" t="str">
        <v>音量调节意图未明确 - 未明确音量调节意图</v>
      </c>
      <c r="D67" s="150" t="str">
        <v>P0</v>
      </c>
      <c r="E67" s="150" t="str">
        <v>调节音量；我想调音量</v>
      </c>
      <c r="F67" s="14" t="str">
        <v>N</v>
      </c>
      <c r="G67" s="14" t="str">
        <v>无开发需求，应该是语音自己的处理</v>
      </c>
      <c r="H67" s="262" t="str">
        <v>-</v>
      </c>
      <c r="J67" s="262" t="str">
        <v>音量调节</v>
      </c>
      <c r="K67" s="61" t="str">
        <v>
语音控制声音平台化PRD.pdf 
平台化_语音控制声音_flowchart_v1.17.pdf:https://bytedance.larkoffice.com/file/Yag5bZa8Fogx1nxT1rvcAyJCn0b </v>
      </c>
      <c r="M67" s="11" t="str">
        <v>已接入</v>
      </c>
      <c r="N67" s="11" t="str">
        <v>✅</v>
      </c>
      <c r="O67" s="11" t="str">
        <v>✅</v>
      </c>
      <c r="Q67" s="150" t="str">
        <v>✅</v>
      </c>
      <c r="R67" s="150" t="str">
        <v>✅</v>
      </c>
      <c r="S67" s="150" t="str">
        <v>✅</v>
      </c>
      <c r="T67" s="150" t="str">
        <v>✅</v>
      </c>
      <c r="U67" s="150" t="str">
        <v>✅</v>
      </c>
      <c r="Y67" s="11" t="inlineStr">
        <is>
          <r>
            <t>@谢军军</t>
          </r>
        </is>
      </c>
    </row>
    <row r="68" spans="1:25">
      <c r="A68" s="16" t="str">
        <v>声音</v>
      </c>
      <c r="B68" s="168"/>
      <c r="C68" s="163" t="str">
        <v>语音控制音量调节 - 调节音量大小</v>
      </c>
      <c r="D68" s="150" t="str">
        <v>P0</v>
      </c>
      <c r="E68" s="16" t="str">
        <v>音量调高 / 低一点；小声一点；安静一点；声音响一点</v>
      </c>
      <c r="F68" s="16" t="str">
        <v>Y</v>
      </c>
      <c r="G68"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68" s="11" t="str">
        <v>✅</v>
      </c>
      <c r="I68" s="46" t="str">
        <v>✅
点检目标：声音可调节，能播放音频。
其他场景随功能支持节奏再看状态。</v>
      </c>
      <c r="J68" s="24" t="str">
        <v>音量调节</v>
      </c>
      <c r="K68" s="139"/>
      <c r="M68" s="11" t="str">
        <v>已接入</v>
      </c>
      <c r="N68" s="16" t="str">
        <v>✅</v>
      </c>
      <c r="O68" s="16" t="str">
        <v>✅</v>
      </c>
      <c r="Q68" s="150" t="str">
        <v>✅</v>
      </c>
      <c r="R68" s="11" t="str">
        <v>✅</v>
      </c>
      <c r="S68" s="11" t="str">
        <v>❌</v>
      </c>
      <c r="T68" s="11" t="str">
        <v>❌</v>
      </c>
      <c r="U68" s="150" t="str">
        <v>✅</v>
      </c>
      <c r="V68" s="150" t="str">
        <v>✅</v>
      </c>
      <c r="Y68" s="11" t="inlineStr">
        <is>
          <r>
            <t>@谢军军</t>
          </r>
        </is>
      </c>
    </row>
    <row r="69" spans="1:25">
      <c r="A69" s="16" t="str">
        <v>声音</v>
      </c>
      <c r="B69" s="168"/>
      <c r="C69" s="163" t="str">
        <v>语音控制音量调节  - 静音 &amp; 关闭静音</v>
      </c>
      <c r="D69" s="150" t="str">
        <v>P0</v>
      </c>
      <c r="E69" s="16" t="str">
        <v>(关闭) 静音</v>
      </c>
      <c r="F69" s="16" t="str">
        <v>Y</v>
      </c>
      <c r="G69"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69" s="11" t="str">
        <v>✅</v>
      </c>
      <c r="I69" s="60"/>
      <c r="J69" s="24" t="str">
        <v>静音开关</v>
      </c>
      <c r="K69" s="139"/>
      <c r="M69" s="11" t="str">
        <v>已接入</v>
      </c>
      <c r="N69" s="16" t="str">
        <v>✅</v>
      </c>
      <c r="O69" s="16" t="str">
        <v>✅</v>
      </c>
      <c r="Q69" s="11" t="str">
        <v>✅</v>
      </c>
      <c r="R69" s="11" t="str">
        <v>✅</v>
      </c>
      <c r="S69" s="11" t="str">
        <v>✅</v>
      </c>
      <c r="T69" s="11" t="str">
        <v>✅</v>
      </c>
      <c r="U69" s="150" t="str">
        <v>✅</v>
      </c>
      <c r="Y69" s="11" t="inlineStr">
        <is>
          <r>
            <t>@谢军军</t>
          </r>
        </is>
      </c>
    </row>
    <row r="70" spans="1:29">
      <c r="A70" s="16" t="str">
        <v>声音</v>
      </c>
      <c r="B70" s="168"/>
      <c r="C70" s="163" t="str">
        <v>语音控制音量调节  - 声音调到具体值</v>
      </c>
      <c r="D70" s="150" t="str">
        <v>P0</v>
      </c>
      <c r="E70" s="16" t="str">
        <v>音量调到 50%；音量调到 15</v>
      </c>
      <c r="F70" s="16" t="str">
        <v>Y</v>
      </c>
      <c r="G70"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70" s="11" t="str">
        <v>✅</v>
      </c>
      <c r="I70" s="60"/>
      <c r="J70" s="24" t="str">
        <v>音量调节</v>
      </c>
      <c r="K70" s="139"/>
      <c r="M70" s="11" t="str">
        <v>已接入</v>
      </c>
      <c r="N70" s="16" t="str">
        <v>✅</v>
      </c>
      <c r="O70" s="16" t="str">
        <v>✅</v>
      </c>
      <c r="Q70" s="11" t="str">
        <v>✅</v>
      </c>
      <c r="R70" s="11" t="str">
        <v>✅</v>
      </c>
      <c r="S70" s="11" t="str">
        <v>✅</v>
      </c>
      <c r="T70" s="11" t="str">
        <v>✅</v>
      </c>
      <c r="U70" s="11" t="str">
        <v>❌</v>
      </c>
      <c r="W70" s="11" t="str">
        <v>✅</v>
      </c>
      <c r="Y70" s="11" t="inlineStr">
        <is>
          <r>
            <t>@谢军军</t>
          </r>
        </is>
      </c>
      <c r="AB70" s="169" t="str">
        <v>202606121948090B56BEEAA81E2200F1E4</v>
      </c>
      <c r="AC70" s="11" t="str">
        <v>调到了16</v>
      </c>
    </row>
    <row r="71" spans="1:25">
      <c r="A71" s="16" t="str">
        <v>声音</v>
      </c>
      <c r="B71" s="168"/>
      <c r="C71" s="163" t="str">
        <v>语音控制音量调节  - 声音调高 / 低具体值</v>
      </c>
      <c r="D71" s="150" t="str">
        <v>P0</v>
      </c>
      <c r="E71" s="16" t="str">
        <v>音量调高 / 低 20%；音量调高 / 低 2 格</v>
      </c>
      <c r="F71" s="16" t="str">
        <v>Y</v>
      </c>
      <c r="G71"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71" s="11" t="str">
        <v>✅</v>
      </c>
      <c r="I71" s="60"/>
      <c r="J71" s="24" t="str">
        <v>音量调节</v>
      </c>
      <c r="K71" s="139"/>
      <c r="M71" s="11" t="str">
        <v>已接入</v>
      </c>
      <c r="N71" s="16" t="str">
        <v>✅</v>
      </c>
      <c r="O71" s="16" t="str">
        <v>✅</v>
      </c>
      <c r="Q71" s="16" t="str">
        <v>✅</v>
      </c>
      <c r="R71" s="11" t="str">
        <v>❌</v>
      </c>
      <c r="S71" s="16" t="str">
        <v>✅</v>
      </c>
      <c r="T71" s="16" t="str">
        <v>✅</v>
      </c>
      <c r="U71" s="11" t="str">
        <v>✅</v>
      </c>
      <c r="Y71" s="11" t="inlineStr">
        <is>
          <r>
            <t>@谢军军</t>
          </r>
        </is>
      </c>
    </row>
    <row r="72" spans="1:25">
      <c r="A72" s="16" t="str">
        <v>声音</v>
      </c>
      <c r="B72" s="168"/>
      <c r="C72" s="163" t="str">
        <v>语音控制音量调节  - 声音调到最高 / 低</v>
      </c>
      <c r="D72" s="150" t="str">
        <v>P0</v>
      </c>
      <c r="E72" s="16" t="str">
        <v>音量调到最大 / 小；声音调到最高 / 低</v>
      </c>
      <c r="F72" s="16" t="str">
        <v>Y</v>
      </c>
      <c r="G72"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72" s="11" t="str">
        <v>✅</v>
      </c>
      <c r="I72" s="60"/>
      <c r="J72" s="24" t="str">
        <v>音量调节</v>
      </c>
      <c r="K72" s="139"/>
      <c r="M72" s="11" t="str">
        <v>已接入</v>
      </c>
      <c r="N72" s="16" t="str">
        <v>✅</v>
      </c>
      <c r="O72" s="16" t="str">
        <v>✅</v>
      </c>
      <c r="Q72" s="16" t="str">
        <v>✅</v>
      </c>
      <c r="R72" s="11" t="str">
        <v>❌</v>
      </c>
      <c r="S72" s="16" t="str">
        <v>✅</v>
      </c>
      <c r="T72" s="16" t="str">
        <v>✅</v>
      </c>
      <c r="U72" s="11" t="str">
        <v>✅</v>
      </c>
      <c r="Y72" s="11" t="inlineStr">
        <is>
          <r>
            <t>@谢军军</t>
          </r>
        </is>
      </c>
    </row>
    <row r="73" spans="1:25">
      <c r="A73" s="16" t="str">
        <v>声音</v>
      </c>
      <c r="B73" s="168"/>
      <c r="C73" s="163" t="str">
        <v>语音控制音量调节  - 语音控制指定模块音量</v>
      </c>
      <c r="D73" s="150" t="str">
        <v>P0</v>
      </c>
      <c r="E73" s="16" t="str">
        <v>调高 / 低导航音量；导航声音调到 12；音乐声音调高一格；来电铃声调到最高</v>
      </c>
      <c r="F73" s="16" t="str">
        <v>Y</v>
      </c>
      <c r="G73"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73" s="11" t="str">
        <v>✅</v>
      </c>
      <c r="I73" s="60"/>
      <c r="J73" s="24" t="str">
        <v>音量调节</v>
      </c>
      <c r="K73" s="139"/>
      <c r="M73" s="11" t="str">
        <v>已接入</v>
      </c>
      <c r="N73" s="16" t="str">
        <v>✅</v>
      </c>
      <c r="O73" s="16" t="str">
        <v>✅</v>
      </c>
      <c r="Q73" s="16" t="str">
        <v>✅</v>
      </c>
      <c r="R73" s="11" t="str">
        <v>❌</v>
      </c>
      <c r="S73" s="16" t="str">
        <v>✅</v>
      </c>
      <c r="T73" s="16" t="str">
        <v>✅</v>
      </c>
      <c r="U73" s="11" t="str">
        <v>✅</v>
      </c>
      <c r="Y73" s="11" t="inlineStr">
        <is>
          <r>
            <t>@谢军军</t>
          </r>
        </is>
      </c>
    </row>
    <row r="74" spans="1:25">
      <c r="A74" s="16" t="str">
        <v>声音</v>
      </c>
      <c r="B74" s="168"/>
      <c r="C74" s="163" t="str">
        <v>语音控制音量调节  - 语音控制指定模块静音 &amp; 关闭静音</v>
      </c>
      <c r="D74" s="150" t="str">
        <v>P0</v>
      </c>
      <c r="E74" s="16" t="str">
        <v>来电铃声静音；语音静音；导航音量静音；通话音量静音，多媒体静音，解除来电铃声静音；取消语音静音；取消导航音量静音；取消通话音量静音，解除多媒体静音</v>
      </c>
      <c r="F74" s="16" t="str">
        <v>Y</v>
      </c>
      <c r="G74"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74" s="11" t="str">
        <v>✅</v>
      </c>
      <c r="I74" s="60"/>
      <c r="J74" s="24" t="str">
        <v>静音开关</v>
      </c>
      <c r="K74" s="139"/>
      <c r="M74" s="11" t="str">
        <v>已接入</v>
      </c>
      <c r="N74" s="16" t="str">
        <v>✅</v>
      </c>
      <c r="O74" s="16" t="str">
        <v>✅</v>
      </c>
      <c r="Q74" s="11" t="str">
        <v>✅</v>
      </c>
      <c r="R74" s="11" t="str">
        <v>❌</v>
      </c>
      <c r="S74" s="11" t="str">
        <v>❌</v>
      </c>
      <c r="T74" s="11" t="str">
        <v>❌</v>
      </c>
      <c r="U74" s="11" t="str">
        <v>✅</v>
      </c>
      <c r="V74" s="11" t="str">
        <v>✅</v>
      </c>
      <c r="Y74" s="11" t="inlineStr">
        <is>
          <r>
            <t>@谢军军</t>
          </r>
        </is>
      </c>
    </row>
    <row r="75" spans="1:25">
      <c r="A75" s="16" t="str">
        <v>声音</v>
      </c>
      <c r="B75" s="168"/>
      <c r="C75" s="163" t="str">
        <v>语音控制音量调节  - 打开 / 关闭系统提示音</v>
      </c>
      <c r="D75" s="163" t="str">
        <v>P1</v>
      </c>
      <c r="E75" s="16" t="str">
        <v>打开系统提示音；关闭系统提示音</v>
      </c>
      <c r="F75" s="16" t="str">
        <v>Y</v>
      </c>
      <c r="G75" s="173" t="str">
        <v>CarAudioExtManager
setSystemTonesPlayStatus(boolean status)
设置系统提示音播放开关
Parameters:
status — 提示音开关 true 开,false 关
Returns: 设置结果，true 设置成功,false 设置失败</v>
      </c>
      <c r="H75" s="11" t="str">
        <v>✅</v>
      </c>
      <c r="I75" s="60"/>
      <c r="J75" s="11" t="str">
        <v>静音开关</v>
      </c>
      <c r="K75" s="139"/>
      <c r="M75" s="11" t="str">
        <v>已接入</v>
      </c>
      <c r="N75" s="16" t="str">
        <v>✅</v>
      </c>
      <c r="O75" s="16" t="str">
        <v>✅</v>
      </c>
      <c r="Q75" s="16" t="str">
        <v>✅</v>
      </c>
      <c r="R75" s="11" t="str">
        <v>❌</v>
      </c>
      <c r="S75" s="16" t="str">
        <v>✅</v>
      </c>
      <c r="T75" s="16" t="str">
        <v>✅</v>
      </c>
      <c r="U75" s="16" t="str">
        <v>✅</v>
      </c>
      <c r="Y75" s="11" t="inlineStr">
        <is>
          <r>
            <t>@谢军军</t>
          </r>
        </is>
      </c>
    </row>
    <row r="76" spans="1:25">
      <c r="A76" s="16" t="str">
        <v>声音</v>
      </c>
      <c r="B76" s="168"/>
      <c r="C76" s="16" t="str">
        <v>语音控制音量调节 -语音控制蓝牙耳机音量 - 未明确音量调节意图</v>
      </c>
      <c r="D76" s="163" t="str">
        <v>P1</v>
      </c>
      <c r="E76" s="16" t="str">
        <v>调节蓝牙耳机音量；我想调蓝牙耳机声音</v>
      </c>
      <c r="F76" s="16" t="str">
        <v>N</v>
      </c>
      <c r="G76" s="173" t="str">
        <v>意图理解，字节承接</v>
      </c>
      <c r="H76" s="263" t="str">
        <v>❌</v>
      </c>
      <c r="I76" s="60"/>
      <c r="J76" s="24" t="str">
        <v>音量调节</v>
      </c>
      <c r="K76" s="139"/>
      <c r="M76" s="11" t="str">
        <v>已接入</v>
      </c>
      <c r="N76" s="16" t="str">
        <v>✅</v>
      </c>
      <c r="Q76" s="16" t="str">
        <v>✅</v>
      </c>
      <c r="R76" s="150" t="str">
        <v>✅</v>
      </c>
      <c r="S76" s="150" t="str">
        <v>✅</v>
      </c>
      <c r="T76" s="150" t="str">
        <v>✅</v>
      </c>
      <c r="U76" s="16" t="str">
        <v>✅</v>
      </c>
      <c r="W76" s="16" t="str">
        <v>✅</v>
      </c>
      <c r="Y76" s="11" t="inlineStr">
        <is>
          <r>
            <t>@谢军军</t>
          </r>
        </is>
      </c>
    </row>
    <row r="77" spans="1:25">
      <c r="A77" s="16" t="str">
        <v>声音</v>
      </c>
      <c r="B77" s="168"/>
      <c r="C77" s="16" t="str">
        <v>语音控制音量调节 -语音控制蓝牙耳机音量 - 调节蓝牙耳机音量</v>
      </c>
      <c r="D77" s="163" t="str">
        <v>P1</v>
      </c>
      <c r="E77" s="16" t="str">
        <v>蓝牙耳机音量调大一点；蓝牙耳机声音调到 15；蓝牙耳机声音调高 20%；蓝牙耳机音量调到最低</v>
      </c>
      <c r="F77" s="11" t="str">
        <v>Y</v>
      </c>
      <c r="G77"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77" s="263" t="str">
        <v>❌</v>
      </c>
      <c r="I77" s="60"/>
      <c r="J77" s="24" t="str">
        <v>音量调节</v>
      </c>
      <c r="K77" s="139"/>
      <c r="M77" s="11" t="str">
        <v>已接入</v>
      </c>
      <c r="N77" s="16" t="str">
        <v>✅</v>
      </c>
      <c r="Q77" s="16" t="str">
        <v>✅</v>
      </c>
      <c r="R77" s="150" t="str">
        <v>❌</v>
      </c>
      <c r="S77" s="150" t="str">
        <v>✅</v>
      </c>
      <c r="T77" s="150" t="str">
        <v>✅</v>
      </c>
      <c r="U77" s="16" t="str">
        <v>✅</v>
      </c>
      <c r="W77" s="16" t="str">
        <v>✅</v>
      </c>
      <c r="Y77" s="11" t="inlineStr">
        <is>
          <r>
            <t>@谢军军</t>
          </r>
        </is>
      </c>
    </row>
    <row r="78" spans="1:25">
      <c r="A78" s="16" t="str">
        <v>声音</v>
      </c>
      <c r="B78" s="168"/>
      <c r="C78" s="16" t="str">
        <v>语音控制音量调节 -语音控制蓝牙耳机音量 - 蓝牙耳机音量保护功能</v>
      </c>
      <c r="D78" s="163" t="str">
        <v>P1</v>
      </c>
      <c r="E78" s="16" t="str">
        <v>确认</v>
      </c>
      <c r="F78" s="11" t="str">
        <v>N</v>
      </c>
      <c r="G78" s="173" t="str">
        <v>意图理解，字节承接</v>
      </c>
      <c r="H78" s="263" t="str">
        <v>❌</v>
      </c>
      <c r="I78" s="60"/>
      <c r="J78" s="24" t="str">
        <v>音量调节</v>
      </c>
      <c r="K78" s="139"/>
      <c r="N78" s="16" t="str">
        <v>✅</v>
      </c>
      <c r="W78" s="16" t="str">
        <v>✅</v>
      </c>
      <c r="Y78" s="11" t="inlineStr">
        <is>
          <r>
            <t>@谢军军</t>
          </r>
        </is>
      </c>
    </row>
    <row r="79" spans="1:25">
      <c r="A79" s="16" t="str">
        <v>声音</v>
      </c>
      <c r="B79" s="168"/>
      <c r="C79" s="150" t="str">
        <v>语音控制音量调节 -基于上下文理解语音调节音量大小 - 基于上下文理解语音调节音量大小</v>
      </c>
      <c r="D79" s="163" t="str">
        <v>P1</v>
      </c>
      <c r="E79" s="16" t="str">
        <v>再调高一点；再低一点；再调高 / 低 30%；再调到最大 / 低</v>
      </c>
      <c r="F79" s="16" t="str">
        <v>Y</v>
      </c>
      <c r="G79" s="173" t="str">
        <v>设置各种音量使用public boolean setGroupVolumeAsync(int groupId, int index, int flags) 接口，
设置静音使用public boolean setGroupMute(int groupId, boolean mute, int flags)
groupId指音量类型（如下），
index 是音量step值，mute是指是否静音，
flags 如果不需要弹窗建议使用VOLUME_CHANGE_FLAG_NO_TOAST_UI，需要弹窗可以使用VOLUME_CHANGE_FLAG_IMPORTANT_SHOW_UI</v>
      </c>
      <c r="H79" s="263" t="str">
        <v>❌</v>
      </c>
      <c r="I79" s="60"/>
      <c r="J79" s="24" t="str">
        <v>音量调节</v>
      </c>
      <c r="K79" s="139"/>
      <c r="M79" s="11" t="str">
        <v>已接入</v>
      </c>
      <c r="N79" s="16" t="str">
        <v>✅</v>
      </c>
      <c r="Q79" s="16" t="str">
        <v>✅</v>
      </c>
      <c r="R79" s="11" t="str">
        <v>✅</v>
      </c>
      <c r="S79" s="16" t="str">
        <v>✅</v>
      </c>
      <c r="T79" s="16" t="str">
        <v>✅</v>
      </c>
      <c r="U79" s="16" t="str">
        <v>✅</v>
      </c>
      <c r="W79" s="16" t="str">
        <v>✅</v>
      </c>
      <c r="Y79" s="11" t="inlineStr">
        <is>
          <r>
            <t>@谢军军</t>
          </r>
        </is>
      </c>
    </row>
    <row r="80" spans="1:25">
      <c r="A80" s="16" t="str">
        <v>声音</v>
      </c>
      <c r="B80" s="168"/>
      <c r="C80" s="263" t="str">
        <v>整车声场模式与音量调节 - 整车声场模式与音量调节</v>
      </c>
      <c r="D80" s="163" t="str">
        <v>P1</v>
      </c>
      <c r="E80" s="263" t="str">
        <v>无（权限判断类功能，无直接指令示例）</v>
      </c>
      <c r="F80" s="263" t="str">
        <v>Y</v>
      </c>
      <c r="G80" s="263" t="str">
        <v>不同声场模式对音量调节的限制，zoneapi有音量调节和模式调节接口</v>
      </c>
      <c r="H80" s="263" t="str">
        <v>❌</v>
      </c>
      <c r="I80" s="60"/>
      <c r="J80" s="263" t="str">
        <v>？</v>
      </c>
      <c r="K80" s="139"/>
      <c r="N80" s="11" t="str">
        <v>无需开发</v>
      </c>
      <c r="O80" s="11" t="str">
        <v>左晨：2、整车声场模式与音量调节 - 整车声场模式与音量调节--无（权限判断类功能，无直接指令示例），这一条我可以删掉。  ---&gt;不属于指令</v>
      </c>
      <c r="W80" s="16" t="str">
        <v>✅</v>
      </c>
      <c r="Y80" s="11" t="inlineStr">
        <is>
          <r>
            <t>@谢军军</t>
          </r>
        </is>
      </c>
    </row>
    <row r="81" spans="1:25">
      <c r="A81" s="16" t="str">
        <v>声音</v>
      </c>
      <c r="B81" s="168"/>
      <c r="C81" s="16" t="str">
        <v>车内声浪控制 - 切换车内声浪意图</v>
      </c>
      <c r="D81" s="16" t="str">
        <v>P0</v>
      </c>
      <c r="E81" s="16" t="str">
        <v>切换车内声浪</v>
      </c>
      <c r="F81" s="16" t="str">
        <v>Y</v>
      </c>
      <c r="G81" s="11" t="str">
        <v>切换车内声浪意图，在当前车型中按照兜底即可</v>
      </c>
      <c r="H81" s="263" t="str">
        <v>❌</v>
      </c>
      <c r="I81" s="60"/>
      <c r="J81" s="11" t="str">
        <v>NA</v>
      </c>
      <c r="K81" s="139"/>
      <c r="N81" s="16" t="str">
        <v>✅</v>
      </c>
      <c r="Q81" s="16" t="str">
        <v>✅</v>
      </c>
      <c r="R81" s="150" t="str">
        <v>block</v>
      </c>
      <c r="S81" s="16" t="str">
        <v>✅</v>
      </c>
      <c r="T81" s="16" t="str">
        <v>✅</v>
      </c>
      <c r="U81" s="16" t="str">
        <v>✅</v>
      </c>
      <c r="W81" s="16" t="str">
        <v>✅</v>
      </c>
      <c r="Y81" s="11" t="inlineStr">
        <is>
          <r>
            <t>@谢军军</t>
          </r>
        </is>
      </c>
    </row>
    <row r="82" spans="1:25">
      <c r="A82" s="16" t="str">
        <v>声音</v>
      </c>
      <c r="B82" s="168"/>
      <c r="C82" s="16" t="str">
        <v>车内声浪控制 - 打开 / 关闭车内声浪</v>
      </c>
      <c r="D82" s="16" t="str">
        <v>P0</v>
      </c>
      <c r="E82" s="16" t="str">
        <v>打开车内声浪；关闭车内声浪</v>
      </c>
      <c r="F82" s="11" t="str">
        <v>Y</v>
      </c>
      <c r="G82" s="11" t="str">
        <v>应用中间件Audio使用规范V1.0.pdf 的章节5</v>
      </c>
      <c r="H82" s="263" t="str">
        <v>❌</v>
      </c>
      <c r="I82" s="60"/>
      <c r="J82" s="11" t="str">
        <v>NA</v>
      </c>
      <c r="K82" s="139"/>
      <c r="N82" s="16" t="str">
        <v>✅</v>
      </c>
      <c r="Q82" s="16" t="str">
        <v>✅</v>
      </c>
      <c r="R82" s="150" t="str">
        <v>block</v>
      </c>
      <c r="S82" s="16" t="str">
        <v>✅</v>
      </c>
      <c r="T82" s="16" t="str">
        <v>✅</v>
      </c>
      <c r="U82" s="16" t="str">
        <v>✅</v>
      </c>
      <c r="W82" s="16" t="str">
        <v>✅</v>
      </c>
      <c r="Y82" s="11" t="inlineStr">
        <is>
          <r>
            <t>@谢军军</t>
          </r>
        </is>
      </c>
    </row>
    <row r="83" spans="1:25">
      <c r="A83" s="16" t="str">
        <v>声音</v>
      </c>
      <c r="B83" s="168"/>
      <c r="C83" s="164" t="str">
        <v>声场模式控制 - 切换声场模式意图</v>
      </c>
      <c r="D83" s="164" t="str">
        <v>P0</v>
      </c>
      <c r="E83" s="164" t="str">
        <v>切换声场模式</v>
      </c>
      <c r="F83" s="200" t="str">
        <v>Y 需求是打开设置页面，页面跳转类命令，依赖画面开发完成</v>
      </c>
      <c r="G83" s="200"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83" s="263" t="str">
        <v>❌</v>
      </c>
      <c r="I83" s="60"/>
      <c r="J83" s="11" t="str">
        <v>头枕音响模式调节</v>
      </c>
      <c r="K83" s="139"/>
      <c r="M83" s="11" t="str">
        <v>已接入</v>
      </c>
      <c r="N83" s="16" t="str">
        <v>✅</v>
      </c>
      <c r="Q83" s="16" t="str">
        <v>❌</v>
      </c>
      <c r="R83" s="16" t="str">
        <v>block</v>
      </c>
      <c r="S83" s="16" t="str">
        <v>❌</v>
      </c>
      <c r="T83" s="16" t="str">
        <v>❌</v>
      </c>
      <c r="U83" s="16" t="str">
        <v>❌</v>
      </c>
      <c r="W83" s="16" t="str">
        <v>❌</v>
      </c>
      <c r="Y83" s="11" t="inlineStr">
        <is>
          <r>
            <t>@谢军军</t>
          </r>
        </is>
      </c>
    </row>
    <row r="84" spans="1:25">
      <c r="A84" s="16" t="str">
        <v>声音</v>
      </c>
      <c r="B84" s="168"/>
      <c r="C84" s="16" t="str">
        <v>声场模式控制 - 设置声场模式设置项</v>
      </c>
      <c r="D84" s="16" t="str">
        <v>P0</v>
      </c>
      <c r="E84" s="16" t="str">
        <v>整车声场模式切换为&lt;mode&gt;
mode=整车共享、驾乘分区、主驾共享、前排专享、前后分区</v>
      </c>
      <c r="F84" s="11" t="str">
        <v>Y</v>
      </c>
      <c r="G84" s="173" t="str">
        <v>1、接口定义：
 (1)set接口
 SmartSoundManager.setParameter(key, value);
 (2)get接口
 int value = mSmartSoundManager.getParameter(String key) 
2、key和value定义：
 （1）后排安静：
 key：SmartSoundManager.PAR_REAR_QUIET
 value：0 关闭； 1打开
 （2）头枕模式：
 key：SmartSoundManager.PAR_HEAD_PILLOW_SETTING
 value：
  SmartSoundManager.HEAD_PILLOW_ALL 整车
 SmartSoundManager.HEAD_PILLOW_ZONE 驾乘分区
 SmartSoundManager.HEAD_PILLOW_DRIVER 主驾
 SmartSoundManager.HEAD_PILLOW_AUTO_ALL 自动整车
 SmartSoundManager.HEAD_PILLOW_AUTO_ZONE 自动驾乘分区
 SmartSoundManager.HEAD_SEPARATE_PARTITION 独立分区
 SmartSoundManager.HEAD_PILLOW_FRONT 前排专享
 注意：自动可以用 SmartSoundManager.HEAD_PILLOW_AUTO_ALL 自动整车、SmartSoundManager.HEAD_PILLOW_AUTO_ZONE 自动驾乘分区 ，其中的两个的任意一个都可以
3、接口使用方法：
 （1）
 SoundManager tmpManager = SoundManager.getInstance();
 mSmartSoundManager = mSoundManager.get().getSmartSoundManager();
 // 注册监听
 mSmartSoundManager.registerSmartSoundListener(new SmartSoundListener());
 private final static class SmartSoundListener implements SmartSoundManager.SmartSoundListener {
 @Override
 public void onAudioSettingChange(String key, int value) {
 LogUtil.INSTANCE.logD(TAG, "onAudioSettingChange: key: " + key + " value: " + value);
 // 数据变化通知
 }
 }</v>
      </c>
      <c r="H84" s="263" t="str">
        <v>❌</v>
      </c>
      <c r="I84" s="60"/>
      <c r="J84" s="217" t="str">
        <v>头枕音响模式调节</v>
      </c>
      <c r="K84" s="139"/>
      <c r="M84" s="11" t="str">
        <v>已接入待验证
</v>
      </c>
      <c r="N84" s="11" t="str">
        <v>✅</v>
      </c>
      <c r="Q84" s="16" t="str">
        <v>❌</v>
      </c>
      <c r="R84" s="16" t="str">
        <v>❌</v>
      </c>
      <c r="S84" s="16" t="str">
        <v>❌</v>
      </c>
      <c r="T84" s="16" t="str">
        <v>❌</v>
      </c>
      <c r="U84" s="16" t="str">
        <v>❌</v>
      </c>
      <c r="W84" s="16" t="str">
        <v>❌</v>
      </c>
      <c r="Y84" s="11" t="inlineStr">
        <is>
          <r>
            <t>@谢军军</t>
          </r>
        </is>
      </c>
    </row>
    <row r="85" spans="1:25">
      <c r="A85" s="16" t="str">
        <v>声音</v>
      </c>
      <c r="B85" s="168"/>
      <c r="C85" s="164" t="str">
        <v>声场模式控制 - 打开 / 关闭声场模式设置页面</v>
      </c>
      <c r="D85" s="164" t="str">
        <v>P1</v>
      </c>
      <c r="E85" s="164" t="str">
        <v>打开声场模式设置页面；关闭声场模式设置页面</v>
      </c>
      <c r="F85" s="200" t="str">
        <v>Y </v>
      </c>
      <c r="G85" s="200"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85" s="263" t="str">
        <v>❌</v>
      </c>
      <c r="I85" s="60"/>
      <c r="J85" s="11" t="str">
        <v>音效设置页面</v>
      </c>
      <c r="K85" s="139"/>
      <c r="M85" s="11" t="str">
        <v>已接入</v>
      </c>
      <c r="N85" s="16" t="str">
        <v>✅</v>
      </c>
      <c r="Q85" s="16" t="str">
        <v>✅</v>
      </c>
      <c r="R85" s="16" t="str">
        <v>❌</v>
      </c>
      <c r="S85" s="16" t="str">
        <v>✅</v>
      </c>
      <c r="T85" s="16" t="str">
        <v>✅</v>
      </c>
      <c r="U85" s="16" t="str">
        <v>❌</v>
      </c>
      <c r="W85" s="16" t="str">
        <v>✅</v>
      </c>
      <c r="Y85" s="11" t="inlineStr">
        <is>
          <r>
            <t>@谢军军</t>
          </r>
        </is>
      </c>
    </row>
    <row r="86" spans="1:25">
      <c r="A86" s="16" t="str">
        <v>声音</v>
      </c>
      <c r="B86" s="168"/>
      <c r="C86" s="16" t="str">
        <v>声场模式控制 - 打开头枕音箱</v>
      </c>
      <c r="D86" s="16" t="str">
        <v>P0</v>
      </c>
      <c r="E86" s="16" t="str">
        <v>打开头枕音箱</v>
      </c>
      <c r="F86" s="11" t="str">
        <v>Y</v>
      </c>
      <c r="G86" s="260" t="str">
        <v>1、接口定义：
 (1)set接口
 SmartSoundManager.setParameter(key, value);
 (2)get接口
 int value = mSmartSoundManager.getParameter(String key) 
2、key和value定义：
 （1）后排安静：
 key：SmartSoundManager.PAR_REAR_QUIET
 value：0 关闭； 1打开
 （2）头枕模式：
 key：SmartSoundManager.PAR_HEAD_PILLOW_SETTING
 value：
  SmartSoundManager.HEAD_PILLOW_ALL 整车
 SmartSoundManager.HEAD_PILLOW_ZONE 驾乘分区
 SmartSoundManager.HEAD_PILLOW_DRIVER 主驾
 SmartSoundManager.HEAD_PILLOW_AUTO_ALL 自动整车
 SmartSoundManager.HEAD_PILLOW_AUTO_ZONE 自动驾乘分区
 SmartSoundManager.HEAD_SEPARATE_PARTITION 独立分区
 SmartSoundManager.HEAD_PILLOW_FRONT 前排专享
 注意：自动可以用 SmartSoundManager.HEAD_PILLOW_AUTO_ALL 自动整车、SmartSoundManager.HEAD_PILLOW_AUTO_ZONE 自动驾乘分区 ，其中的两个的任意一个都可以
3、接口使用方法：
 （1）
 SoundManager tmpManager = SoundManager.getInstance();
 mSmartSoundManager = mSoundManager.get().getSmartSoundManager();
 // 注册监听
 mSmartSoundManager.registerSmartSoundListener(new SmartSoundListener());
 private final static class SmartSoundListener implements SmartSoundManager.SmartSoundListener {
 @Override
 public void onAudioSettingChange(String key, int value) {
 LogUtil.INSTANCE.logD(TAG, "onAudioSettingChange: key: " + key + " value: " + value);
 // 数据变化通知
 }
 }</v>
      </c>
      <c r="H86" s="11" t="str">
        <v>✅</v>
      </c>
      <c r="I86" s="60"/>
      <c r="J86" s="11" t="str">
        <v>静音开关</v>
      </c>
      <c r="K86" s="139"/>
      <c r="M86" s="16" t="str">
        <v>已接入待验证
0518 验证失败</v>
      </c>
      <c r="N86" s="16" t="str">
        <v>✅</v>
      </c>
      <c r="P86" s="16" t="str">
        <v>block</v>
      </c>
      <c r="Q86" s="16" t="str">
        <v>block</v>
      </c>
      <c r="R86" s="16" t="str">
        <v>block</v>
      </c>
      <c r="S86" s="16" t="str">
        <v>block</v>
      </c>
      <c r="T86" s="16" t="str">
        <v>block</v>
      </c>
      <c r="U86" s="16" t="str">
        <v>❌</v>
      </c>
      <c r="Y86" s="11" t="inlineStr">
        <is>
          <r>
            <t>@谢军军</t>
          </r>
        </is>
      </c>
    </row>
    <row r="87" spans="1:25">
      <c r="A87" s="16" t="str">
        <v>声音</v>
      </c>
      <c r="B87" s="168"/>
      <c r="C87" s="16" t="str">
        <v>声场模式控制 - 关闭头枕音箱</v>
      </c>
      <c r="D87" s="16" t="str">
        <v>P0</v>
      </c>
      <c r="E87" s="16" t="str">
        <v>关闭头枕音箱</v>
      </c>
      <c r="F87" s="11" t="str">
        <v>Y</v>
      </c>
      <c r="G87" s="261"/>
      <c r="H87" s="11" t="str">
        <v>✅</v>
      </c>
      <c r="I87" s="60"/>
      <c r="J87" s="11" t="str">
        <v>静音开关</v>
      </c>
      <c r="K87" s="139"/>
      <c r="M87" s="16" t="str">
        <v>已接入待验证
0518 验证失败</v>
      </c>
      <c r="N87" s="16" t="str">
        <v>✅</v>
      </c>
      <c r="P87" s="16" t="str">
        <v>block</v>
      </c>
      <c r="Q87" s="16" t="str">
        <v>block</v>
      </c>
      <c r="R87" s="16" t="str">
        <v>block</v>
      </c>
      <c r="S87" s="16" t="str">
        <v>block</v>
      </c>
      <c r="T87" s="16" t="str">
        <v>block</v>
      </c>
      <c r="U87" s="16" t="str">
        <v>❌</v>
      </c>
      <c r="Y87" s="11" t="inlineStr">
        <is>
          <r>
            <t>@谢军军</t>
          </r>
        </is>
      </c>
    </row>
    <row r="88" spans="1:25">
      <c r="A88" s="16" t="str">
        <v>声音</v>
      </c>
      <c r="B88" s="168"/>
      <c r="C88" s="16" t="str">
        <v>头枕环绕调节</v>
      </c>
      <c r="D88" s="16" t="str">
        <v>P1</v>
      </c>
      <c r="E88" s="16" t="str">
        <v>打开头枕环绕；关闭头枕环绕；设置头枕环绕设置项 - 低档；设置头枕环绕设置项 - 中档；设置头枕环绕设置项 - 高档；打开头枕环绕设置 (页面)</v>
      </c>
      <c r="F88" s="11" t="str">
        <v>Y</v>
      </c>
      <c r="G88" s="173" t="str">
        <v>应用中间件Audio使用规范V1.0.pdf 的章节5
key：headrestMode
就是头枕模式
</v>
      </c>
      <c r="H88" s="11" t="str">
        <v>✅</v>
      </c>
      <c r="I88" s="60"/>
      <c r="J88" s="11" t="str">
        <v>NA</v>
      </c>
      <c r="K88" s="139"/>
      <c r="N88" s="16" t="str">
        <v>✅</v>
      </c>
      <c r="Q88" s="150" t="str">
        <v>block</v>
      </c>
      <c r="U88" s="16" t="str">
        <v>✅</v>
      </c>
      <c r="Y88" s="11" t="inlineStr">
        <is>
          <r>
            <t>@谢军军</t>
          </r>
        </is>
      </c>
    </row>
    <row r="89" spans="1:25">
      <c r="A89" s="16" t="str">
        <v>声音</v>
      </c>
      <c r="B89" s="168"/>
      <c r="C89" s="163" t="str">
        <v>安全带声音 - 语音打开 / 关闭后排安全带开关</v>
      </c>
      <c r="D89" s="16" t="str">
        <v>P0</v>
      </c>
      <c r="E89" s="16" t="str">
        <v>打开后排安全带未系提示音开关；关闭后排安全带未系提示音开关；后排安全带没系时不要提醒我</v>
      </c>
      <c r="F89" s="200" t="str">
        <v>NA</v>
      </c>
      <c r="G89" s="200" t="str">
        <v>无此接口需求， 该车型无此功能</v>
      </c>
      <c r="H89" s="263" t="str">
        <v>❌</v>
      </c>
      <c r="I89" s="60"/>
      <c r="J89" s="11" t="str">
        <v>NA</v>
      </c>
      <c r="K89" s="139"/>
      <c r="M89" s="11" t="str">
        <v>NA</v>
      </c>
      <c r="N89" s="11" t="str">
        <v>NA</v>
      </c>
      <c r="P89" s="16" t="str">
        <v>block</v>
      </c>
      <c r="Q89" s="200" t="str">
        <v>Block</v>
      </c>
      <c r="R89" s="200" t="str">
        <v>无此接口需求， 该车型无此功能</v>
      </c>
      <c r="S89" s="200" t="str">
        <v>Block</v>
      </c>
      <c r="Y89" s="11" t="inlineStr">
        <is>
          <r>
            <t>@谢军军</t>
          </r>
        </is>
      </c>
    </row>
    <row r="90" spans="1:25">
      <c r="A90" s="16" t="str">
        <v>声音</v>
      </c>
      <c r="B90" s="168"/>
      <c r="C90" s="16" t="str">
        <v>后排安静 - 语音打开 / 关闭后排安静开关</v>
      </c>
      <c r="D90" s="16" t="str">
        <v>P1</v>
      </c>
      <c r="E90" s="16" t="str">
        <v>打开后排安静；打开后排静音功能；关闭后排安静</v>
      </c>
      <c r="F90" s="11" t="str">
        <v>Y</v>
      </c>
      <c r="G90" s="11" t="str">
        <v>1、接口定义：
   (1)set接口
                SmartSoundManager.setParameter(key, value);
   (2)get接口
                int value = mSmartSoundManager.getParameter(String key) 
2、key和value定义：
        （1）后排安静：
                key：SmartSoundManager.PAR_REAR_QUIET
                value：0 关闭； 1打开
        （2）头枕模式：
                key：SmartSoundManager.PAR_HEAD_PILLOW_SETTING
                value：
                        SmartSoundManager.HEAD_PILLOW_ALL  整车
                SmartSoundManager.HEAD_PILLOW_ZONE  驾乘分区
                SmartSoundManager.HEAD_PILLOW_DRIVER 主驾
                SmartSoundManager.HEAD_PILLOW_AUTO_ALL 自动整车
                SmartSoundManager.HEAD_PILLOW_AUTO_ZONE 自动驾乘分区
                SmartSoundManager.HEAD_SEPARATE_PARTITION 独立分区
                                SmartSoundManager.HEAD_PILLOW_FRONT  前排专享
                注意：自动可以用 SmartSoundManager.HEAD_PILLOW_AUTO_ALL 自动整车、SmartSoundManager.HEAD_PILLOW_AUTO_ZONE 自动驾乘分区 ，其中的两个的任意一个都可以
3、接口使用方法：
        （1）
                SoundManager tmpManager = SoundManager.getInstance();
                mSmartSoundManager = mSoundManager.get().getSmartSoundManager();
                // 注册监听
                 mSmartSoundManager.registerSmartSoundListener(new SmartSoundListener());
                 private final static class SmartSoundListener implements SmartSoundManager.SmartSoundListener {
        @Override
        public void onAudioSettingChange(String key, int value) {
            LogUtil.INSTANCE.logD(TAG, "onAudioSettingChange: key: " + key + " value: " + value);
           // 数据变化通知
        }
    }</v>
      </c>
      <c r="H90" s="263" t="str">
        <v>❌</v>
      </c>
      <c r="I90" s="60"/>
      <c r="J90" s="214" t="str">
        <v>静音开关</v>
      </c>
      <c r="K90" s="139"/>
      <c r="M90" s="11" t="str">
        <v>已接入</v>
      </c>
      <c r="N90" s="16" t="str">
        <v>✅</v>
      </c>
      <c r="P90" s="16" t="str">
        <v>block</v>
      </c>
      <c r="Q90" s="16" t="str">
        <v>block</v>
      </c>
      <c r="R90" s="16" t="str">
        <v>block</v>
      </c>
      <c r="S90" s="16" t="str">
        <v>block</v>
      </c>
      <c r="T90" s="16" t="str">
        <v>block</v>
      </c>
      <c r="U90" s="16" t="str">
        <v>block</v>
      </c>
      <c r="W90" s="16" t="str">
        <v>block</v>
      </c>
      <c r="Y90" s="11" t="inlineStr">
        <is>
          <r>
            <t>@谢军军</t>
          </r>
        </is>
      </c>
    </row>
    <row r="91" spans="1:25">
      <c r="A91" s="16" t="str">
        <v>声音</v>
      </c>
      <c r="B91" s="168"/>
      <c r="C91" s="16" t="str">
        <v>前排安静 - 语音打开 / 关闭前排安静开关</v>
      </c>
      <c r="D91" s="16" t="str">
        <v>P1</v>
      </c>
      <c r="E91" s="16" t="str">
        <v>打开前排安静；关闭前排安静；打开前排勿扰；关闭前排勿扰</v>
      </c>
      <c r="F91" s="200" t="str">
        <v>NA</v>
      </c>
      <c r="G91" s="200" t="str">
        <v>无此接口需求， 该车型无此功能</v>
      </c>
      <c r="H91" s="263" t="str">
        <v>❌</v>
      </c>
      <c r="I91" s="60"/>
      <c r="J91" s="216"/>
      <c r="K91" s="139"/>
      <c r="M91" s="11" t="str">
        <v>NA</v>
      </c>
      <c r="N91" s="11" t="str">
        <v>NA</v>
      </c>
      <c r="P91" s="16" t="str">
        <v>block</v>
      </c>
      <c r="Q91" s="200" t="str">
        <v>Block</v>
      </c>
      <c r="R91" s="200" t="str">
        <v>无此接口需求， 该车型无此功能</v>
      </c>
      <c r="S91" s="200" t="str">
        <v>Block</v>
      </c>
      <c r="Y91" s="11" t="inlineStr">
        <is>
          <r>
            <t>@谢军军</t>
          </r>
        </is>
      </c>
    </row>
    <row r="92" spans="1:25">
      <c r="A92" s="16" t="str">
        <v>声音</v>
      </c>
      <c r="B92" s="168"/>
      <c r="C92" s="16" t="str">
        <v>迎宾/欢送- 语音打开 / 关闭迎宾 / 欢送音开关</v>
      </c>
      <c r="D92" s="16" t="str">
        <v>P1</v>
      </c>
      <c r="E92" s="16" t="str">
        <v>打开迎宾欢送音；关闭迎宾 / 欢送音；关闭迎宾音；关闭欢送音；打开车内迎宾音；打开车内欢送音</v>
      </c>
      <c r="F92" s="200" t="str">
        <v>NA</v>
      </c>
      <c r="G92" s="200" t="str">
        <v>无此接口需求， 该车型无此功能</v>
      </c>
      <c r="H92" s="263" t="str">
        <v>❌</v>
      </c>
      <c r="I92" s="60"/>
      <c r="J92" s="11" t="str">
        <v>NA</v>
      </c>
      <c r="K92" s="139"/>
      <c r="M92" s="11" t="str">
        <v>NA</v>
      </c>
      <c r="N92" s="11" t="str">
        <v>NA</v>
      </c>
      <c r="P92" s="16" t="str">
        <v>block</v>
      </c>
      <c r="Q92" s="200" t="str">
        <v>Block</v>
      </c>
      <c r="R92" s="200" t="str">
        <v>无此接口需求， 该车型无此功能</v>
      </c>
      <c r="S92" s="200" t="str">
        <v>Block</v>
      </c>
      <c r="Y92" s="11" t="inlineStr">
        <is>
          <r>
            <t>@谢军军</t>
          </r>
        </is>
      </c>
    </row>
    <row r="93" spans="1:25">
      <c r="A93" s="16" t="str">
        <v>声音</v>
      </c>
      <c r="B93" s="168"/>
      <c r="C93" s="16" t="str">
        <v>迎宾/欢送- - 语音切换车外迎宾 / 欢送音意图</v>
      </c>
      <c r="D93" s="16" t="str">
        <v>P1</v>
      </c>
      <c r="E93" s="16" t="str">
        <v>切换车外迎宾音；切换车外欢送音</v>
      </c>
      <c r="F93" s="200" t="str">
        <v>NA</v>
      </c>
      <c r="G93" s="200" t="str">
        <v>无此接口需求， 该车型无此功能</v>
      </c>
      <c r="H93" s="263" t="str">
        <v>❌</v>
      </c>
      <c r="I93" s="60"/>
      <c r="J93" s="11" t="str">
        <v>NA</v>
      </c>
      <c r="K93" s="139"/>
      <c r="M93" s="11" t="str">
        <v>NA</v>
      </c>
      <c r="N93" s="11" t="str">
        <v>NA</v>
      </c>
      <c r="P93" s="16" t="str">
        <v>block</v>
      </c>
      <c r="Q93" s="200" t="str">
        <v>Block</v>
      </c>
      <c r="R93" s="200" t="str">
        <v>无此接口需求， 该车型无此功能</v>
      </c>
      <c r="S93" s="200" t="str">
        <v>Block</v>
      </c>
      <c r="Y93" s="11" t="inlineStr">
        <is>
          <r>
            <t>@谢军军</t>
          </r>
        </is>
      </c>
    </row>
    <row r="94" spans="1:25">
      <c r="A94" s="16" t="str">
        <v>声音</v>
      </c>
      <c r="B94" s="168"/>
      <c r="C94" s="16" t="str">
        <v>迎宾/欢送- - 语音切换自定义车外提示音意图</v>
      </c>
      <c r="D94" s="16" t="str">
        <v>P1</v>
      </c>
      <c r="E94" s="16" t="str">
        <v>切换自定义车外提示音</v>
      </c>
      <c r="F94" s="200" t="str">
        <v>NA</v>
      </c>
      <c r="G94" s="200" t="str">
        <v>无此接口需求， 该车型无此功能</v>
      </c>
      <c r="H94" s="11" t="str">
        <v>✅</v>
      </c>
      <c r="I94" s="60"/>
      <c r="J94" s="11" t="str">
        <v>NA</v>
      </c>
      <c r="K94" s="139"/>
      <c r="M94" s="11" t="str">
        <v>NA</v>
      </c>
      <c r="N94" s="11" t="str">
        <v>NA</v>
      </c>
      <c r="P94" s="16" t="str">
        <v>block</v>
      </c>
      <c r="Q94" s="200" t="str">
        <v>Block</v>
      </c>
      <c r="R94" s="200" t="str">
        <v>无此接口需求， 该车型无此功能</v>
      </c>
      <c r="S94" s="200" t="str">
        <v>Block</v>
      </c>
      <c r="Y94" s="11" t="inlineStr">
        <is>
          <r>
            <t>@谢军军</t>
          </r>
        </is>
      </c>
    </row>
    <row r="95" spans="1:25">
      <c r="A95" s="16" t="str">
        <v>声音</v>
      </c>
      <c r="B95" s="168"/>
      <c r="C95" s="163" t="str">
        <v>行人警示音 - 语音打开 / 关闭行人警示音开关</v>
      </c>
      <c r="D95" s="16" t="str">
        <v>P0</v>
      </c>
      <c r="E95" s="16" t="str">
        <v>打开行人警示音；关闭行人警示音</v>
      </c>
      <c r="F95" s="11" t="str">
        <v>Y</v>
      </c>
      <c r="G95" s="173" t="str">
        <v> /**
 * 设置车外行人警示音类型开关和风格
 * &lt;p&gt;设置过程和结果通过{@link OnPolyVolumeListener#onPedestrianWarningSoundChanged}回调通知
 * &lt;p&gt;注意：当enabled设置为false时，仅做关闭，soundType将被忽略
 *
 * @param enabled 开关，{@code true}开
 * @param soundType 类型，范围0到4
 */
 public void setPedestrianWarningSound(boolean enabled, int soundType) {</v>
      </c>
      <c r="H95" s="11" t="str">
        <v>✅</v>
      </c>
      <c r="I95" s="60"/>
      <c r="J95" s="11" t="str">
        <v>低速行人提示音开关</v>
      </c>
      <c r="K95" s="139"/>
      <c r="M95" s="11" t="str">
        <v>已接入</v>
      </c>
      <c r="N95" s="16" t="str">
        <v>✅</v>
      </c>
      <c r="O95" s="16" t="str">
        <v>✅</v>
      </c>
      <c r="Q95" s="16" t="str">
        <v>✅</v>
      </c>
      <c r="R95" s="16" t="str">
        <v>✅</v>
      </c>
      <c r="S95" s="16" t="str">
        <v>❌</v>
      </c>
      <c r="T95" s="16" t="str">
        <v>✅</v>
      </c>
      <c r="U95" s="16" t="str">
        <v>✅</v>
      </c>
      <c r="Y95" s="11" t="inlineStr">
        <is>
          <r>
            <t>@谢军军</t>
          </r>
        </is>
      </c>
    </row>
    <row r="96" spans="1:25">
      <c r="A96" s="16" t="str">
        <v>声音</v>
      </c>
      <c r="B96" s="168"/>
      <c r="C96" s="16" t="str">
        <v>行人警示音 - 语音切换行人警示音切换意图</v>
      </c>
      <c r="D96" s="16" t="str">
        <v>P0</v>
      </c>
      <c r="E96" s="16" t="str">
        <v>切换行人警示音</v>
      </c>
      <c r="F96" s="11" t="str">
        <v>Y 需求是打开设置页面，页面跳转类命令，依赖画面开发完成</v>
      </c>
      <c r="G96" s="200"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96" s="11" t="str">
        <v>✅</v>
      </c>
      <c r="I96" s="60"/>
      <c r="J96" s="24" t="str">
        <v>低速行人提示音开关</v>
      </c>
      <c r="K96" s="139"/>
      <c r="M96" s="11" t="str">
        <v>已接入</v>
      </c>
      <c r="N96" s="16" t="str">
        <v>✅</v>
      </c>
      <c r="O96" s="16" t="str">
        <v>✅</v>
      </c>
      <c r="Q96" s="11" t="str">
        <v>❌</v>
      </c>
      <c r="R96" s="11" t="str">
        <v>❌</v>
      </c>
      <c r="S96" s="11" t="str">
        <v>❌</v>
      </c>
      <c r="T96" s="16" t="str">
        <v>✅</v>
      </c>
      <c r="U96" s="11" t="str">
        <v>❌</v>
      </c>
      <c r="W96" s="11" t="str">
        <v>❌</v>
      </c>
      <c r="Y96" s="11" t="inlineStr">
        <is>
          <r>
            <t>@谢军军</t>
          </r>
        </is>
      </c>
    </row>
    <row r="97" spans="1:25">
      <c r="A97" s="16" t="str">
        <v>声音</v>
      </c>
      <c r="B97" s="168"/>
      <c r="C97" s="16" t="str">
        <v>行人警示音 - 语音切换具体的行人警示音</v>
      </c>
      <c r="D97" s="16" t="str">
        <v>P1</v>
      </c>
      <c r="E97" s="16" t="str">
        <v>行人警示音切换为&lt;音效名称&gt;
音效名称=灵犀，星穹，锐风</v>
      </c>
      <c r="F97" s="11" t="str">
        <v>Y</v>
      </c>
      <c r="G97" s="173" t="str">
        <v> /**
 * 设置车外行人警示音类型开关和风格
 * &lt;p&gt;设置过程和结果通过{@link OnPolyVolumeListener#onPedestrianWarningSoundChanged}回调通知
 * &lt;p&gt;注意：当enabled设置为false时，仅做关闭，soundType将被忽略
 *
 * @param enabled 开关，{@code true}开
 * @param soundType 类型，范围0到4
 */
 public void setPedestrianWarningSound(boolean enabled, int soundType) {</v>
      </c>
      <c r="H97" s="11" t="str">
        <v>✅</v>
      </c>
      <c r="I97" s="60"/>
      <c r="J97" s="264" t="str">
        <v>低速行人提示音开关</v>
      </c>
      <c r="K97" s="139"/>
      <c r="M97" s="11" t="str">
        <v>已接入</v>
      </c>
      <c r="N97" s="11" t="str">
        <v>✅</v>
      </c>
      <c r="O97" s="16" t="str">
        <v>✅</v>
      </c>
      <c r="Q97" s="11" t="str">
        <v>✅</v>
      </c>
      <c r="R97" s="11" t="str">
        <v>❌</v>
      </c>
      <c r="S97" s="11" t="str">
        <v>❌</v>
      </c>
      <c r="T97" s="11" t="str">
        <v>❌</v>
      </c>
      <c r="U97" s="11" t="str">
        <v>❌</v>
      </c>
      <c r="W97" s="11" t="str">
        <v>✅</v>
      </c>
      <c r="Y97" s="11" t="inlineStr">
        <is>
          <r>
            <t>@谢军军</t>
          </r>
        </is>
      </c>
    </row>
    <row r="98" spans="1:25">
      <c r="A98" s="16" t="str">
        <v>声音</v>
      </c>
      <c r="B98" s="168"/>
      <c r="C98" s="166" t="str">
        <v>语音控制环境音量补偿</v>
      </c>
      <c r="D98" s="166" t="str">
        <v>P1</v>
      </c>
      <c r="E98" s="16" t="str">
        <v>打开环境音量补偿；关闭环境音量补偿；</v>
      </c>
      <c r="F98" s="11" t="str">
        <v>Y</v>
      </c>
      <c r="G98" s="11" t="str">
        <v>应用中间件Audio使用规范V1.0.pdf 的章节5</v>
      </c>
      <c r="H98" s="11" t="str">
        <v>✅</v>
      </c>
      <c r="I98" s="60"/>
      <c r="J98" s="11" t="str">
        <v>车速音量补偿开关</v>
      </c>
      <c r="K98" s="139"/>
      <c r="M98" s="11" t="str">
        <v>已接入</v>
      </c>
      <c r="N98" s="11" t="str">
        <v>✅</v>
      </c>
      <c r="O98" s="16" t="str">
        <v>✅</v>
      </c>
      <c r="Q98" s="262" t="str">
        <v>✅</v>
      </c>
      <c r="W98" s="262" t="str">
        <v>✅</v>
      </c>
      <c r="Y98" s="11" t="inlineStr">
        <is>
          <r>
            <t>@谢军军</t>
          </r>
        </is>
      </c>
    </row>
    <row r="99" spans="1:25">
      <c r="A99" s="16" t="str">
        <v>声音</v>
      </c>
      <c r="B99" s="168"/>
      <c r="C99" s="30"/>
      <c r="D99" s="30"/>
      <c r="E99" s="16" t="str">
        <v>设置环境音量补偿设置项 - 低档；设置环境音量补偿设置项 - 中档；设置环境音量补偿设置项 - 高档</v>
      </c>
      <c r="F99" s="11" t="str">
        <v>Y</v>
      </c>
      <c r="G99" s="11" t="str">
        <v>应用中间件Audio使用规范V1.0.pdf 的章节5</v>
      </c>
      <c r="H99" s="11" t="str">
        <v>✅</v>
      </c>
      <c r="I99" s="60"/>
      <c r="J99" s="24" t="str">
        <v>车速音量补偿模式调节</v>
      </c>
      <c r="K99" s="139"/>
      <c r="M99" s="11" t="str">
        <v>已接入</v>
      </c>
      <c r="N99" s="11" t="str">
        <v>✅</v>
      </c>
      <c r="O99" s="16" t="str">
        <v>✅</v>
      </c>
      <c r="Q99" s="11" t="str">
        <v>✅</v>
      </c>
      <c r="U99" s="11" t="str">
        <v>✅</v>
      </c>
      <c r="W99" s="11" t="str">
        <v>✅</v>
      </c>
      <c r="Y99" s="11" t="inlineStr">
        <is>
          <r>
            <t>@谢军军</t>
          </r>
        </is>
      </c>
    </row>
    <row r="100" spans="1:25">
      <c r="A100" s="16" t="str">
        <v>声音</v>
      </c>
      <c r="B100" s="168"/>
      <c r="C100" s="16" t="str">
        <v> 语音控制 AudioPilot 噪声补偿</v>
      </c>
      <c r="D100" s="16" t="str">
        <v>P1</v>
      </c>
      <c r="E100" s="16" t="str">
        <v>打开 AudioPilot；关闭 AudioPilot</v>
      </c>
      <c r="F100" s="200" t="str">
        <v>N</v>
      </c>
      <c r="G100" s="200" t="str">
        <v>无此接口需求， 该车型无此功能</v>
      </c>
      <c r="H100" s="263" t="str">
        <v>❌</v>
      </c>
      <c r="I100" s="60"/>
      <c r="J100" s="11" t="str">
        <v>NA</v>
      </c>
      <c r="K100" s="139"/>
      <c r="N100" s="11" t="str">
        <v>✅</v>
      </c>
      <c r="O100" s="11" t="str">
        <v>左晨：3、语音控制AudioPilot噪音补偿----&gt;可看配置表，无此功能。 走兜底。</v>
      </c>
      <c r="P100" s="16" t="str">
        <v>block</v>
      </c>
      <c r="Q100" s="200" t="str">
        <v>block</v>
      </c>
      <c r="R100" s="200" t="str">
        <v>无此接口需求， 该车型无此功能</v>
      </c>
      <c r="S100" s="200" t="str">
        <v>Block</v>
      </c>
      <c r="T100" s="200" t="str">
        <v>block</v>
      </c>
      <c r="Y100" s="11" t="inlineStr">
        <is>
          <r>
            <t>@谢军军</t>
          </r>
        </is>
      </c>
    </row>
    <row r="101" spans="1:25">
      <c r="A101" s="16" t="str">
        <v>声音</v>
      </c>
      <c r="B101" s="168"/>
      <c r="C101" s="16" t="str">
        <v>均衡器相关功能- 语音切换预置均衡器 &amp; 场景音效</v>
      </c>
      <c r="D101" s="16" t="str">
        <v>P1</v>
      </c>
      <c r="E101" s="16" t="str">
        <v>场景音效设置为原声；场景音效设置为演奏厅；场景音效设置为影院；预置均衡器设置为古典；预置均衡器设置为流行；预置均衡器设置为摇滚；场景音效设置为动感模式；场景音效设置为清晰人声</v>
      </c>
      <c r="F101" s="11" t="str">
        <v>Y</v>
      </c>
      <c r="G101" s="11" t="str">
        <v>应用中间件Audio使用规范V1.0.pdf 的章节5</v>
      </c>
      <c r="H101" s="11" t="str">
        <v>✅</v>
      </c>
      <c r="I101" s="60"/>
      <c r="J101" s="214" t="str">
        <v>均衡器音效设置</v>
      </c>
      <c r="K101" s="139"/>
      <c r="M101" s="11" t="str">
        <v>已接入</v>
      </c>
      <c r="N101" s="11" t="str">
        <v>✅</v>
      </c>
      <c r="O101" s="16" t="str">
        <v>✅</v>
      </c>
      <c r="Q101" s="11" t="str">
        <v>❌</v>
      </c>
      <c r="R101" s="262" t="str">
        <v>❌</v>
      </c>
      <c r="S101" s="262" t="str">
        <v>❌</v>
      </c>
      <c r="T101" s="11" t="str">
        <v>❌</v>
      </c>
      <c r="U101" s="11" t="str">
        <v>✅</v>
      </c>
      <c r="W101" s="11" t="str">
        <v>❌</v>
      </c>
      <c r="Y101" s="11" t="inlineStr">
        <is>
          <r>
            <t>@谢军军</t>
          </r>
        </is>
      </c>
    </row>
    <row r="102" spans="1:25">
      <c r="A102" s="16" t="str">
        <v>声音</v>
      </c>
      <c r="B102" s="168"/>
      <c r="C102" s="164" t="str">
        <v>场景音效- 语音切换场景音效意图</v>
      </c>
      <c r="D102" s="164" t="str">
        <v>P1</v>
      </c>
      <c r="E102" s="164" t="str">
        <v>切换场景音效</v>
      </c>
      <c r="F102" s="200" t="str">
        <v>Y 需求是打开设置页面，页面跳转类命令，依赖画面开发完成</v>
      </c>
      <c r="G102" s="200"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102" s="11" t="str">
        <v>✅</v>
      </c>
      <c r="I102" s="60"/>
      <c r="J102" s="216"/>
      <c r="K102" s="139"/>
      <c r="M102" s="11" t="str">
        <v>已接入</v>
      </c>
      <c r="N102" s="11" t="str">
        <v>✅</v>
      </c>
      <c r="O102" s="16" t="str">
        <v>✅</v>
      </c>
      <c r="Q102" s="11" t="str">
        <v>✅</v>
      </c>
      <c r="R102" s="150" t="str">
        <v>❌</v>
      </c>
      <c r="S102" s="11" t="str">
        <v>✅</v>
      </c>
      <c r="T102" s="11" t="str">
        <v>✅</v>
      </c>
      <c r="U102" s="11" t="str">
        <v>✅</v>
      </c>
      <c r="Y102" s="11" t="inlineStr">
        <is>
          <r>
            <t>@谢军军</t>
          </r>
        </is>
      </c>
    </row>
    <row r="103" spans="1:25">
      <c r="A103" s="16" t="str">
        <v>声音</v>
      </c>
      <c r="B103" s="168"/>
      <c r="C103" s="166" t="str">
        <v>均衡器相关功能-- 语音调节均衡器</v>
      </c>
      <c r="D103" s="16" t="str">
        <v>P1</v>
      </c>
      <c r="E103" s="16" t="str">
        <v>均衡器指定设置项调大；均衡器指定设置项调小；均衡器指定设置项调到最大；均衡器指定设置项调到最小；均衡器全部设置项调到最大；均衡器全部设置项调到最小；
指定设置项=中音，低音，高音。</v>
      </c>
      <c r="F103" s="11" t="str">
        <v>Y</v>
      </c>
      <c r="G103" s="11" t="str">
        <v>应用中间件Audio使用规范V1.0.pdf 的章节5</v>
      </c>
      <c r="H103" s="11" t="str">
        <v>✅</v>
      </c>
      <c r="I103" s="60"/>
      <c r="J103" s="217" t="str">
        <v>车内音调调节</v>
      </c>
      <c r="K103" s="139"/>
      <c r="M103" s="11" t="str">
        <v>已接入</v>
      </c>
      <c r="N103" s="11" t="str">
        <v>✅</v>
      </c>
      <c r="O103" s="16" t="str">
        <v>✅</v>
      </c>
      <c r="Q103" s="150" t="str">
        <v>❌</v>
      </c>
      <c r="W103" s="150" t="str">
        <v>❌</v>
      </c>
      <c r="Y103" s="11" t="inlineStr">
        <is>
          <r>
            <t>@谢军军</t>
          </r>
        </is>
      </c>
    </row>
    <row r="104" spans="1:25">
      <c r="A104" s="16" t="str">
        <v>声音</v>
      </c>
      <c r="B104" s="168"/>
      <c r="C104" s="30"/>
      <c r="D104" s="16" t="str">
        <v>P1</v>
      </c>
      <c r="E104" s="16" t="str">
        <v>重置均衡器</v>
      </c>
      <c r="F104" s="11" t="str">
        <v>Y</v>
      </c>
      <c r="G104" s="11" t="str">
        <v>应用中间件Audio使用规范V1.0.pdf 的章节5</v>
      </c>
      <c r="I104" s="60"/>
      <c r="J104" s="217" t="str">
        <v>均衡器重置</v>
      </c>
      <c r="K104" s="139"/>
      <c r="M104" s="11" t="str">
        <v>已接入</v>
      </c>
      <c r="N104" s="11" t="str">
        <v>✅</v>
      </c>
      <c r="O104" s="16" t="str">
        <v>✅</v>
      </c>
      <c r="Q104" s="150" t="str">
        <v>✅</v>
      </c>
      <c r="R104" s="150" t="str">
        <v>❌</v>
      </c>
      <c r="W104" s="150" t="str">
        <v>✅</v>
      </c>
      <c r="Y104" s="11" t="inlineStr">
        <is>
          <r>
            <t>@谢军军</t>
          </r>
        </is>
      </c>
    </row>
    <row r="105" spans="1:25">
      <c r="A105" s="16" t="str">
        <v>声音</v>
      </c>
      <c r="B105" s="168"/>
      <c r="C105" s="16" t="str">
        <v>音场平衡 - 语音调节音场平衡意图</v>
      </c>
      <c r="D105" s="16" t="str">
        <v>P1</v>
      </c>
      <c r="E105" s="16" t="str">
        <v>调节音场平衡；打开音效设置 - 音场平衡页面</v>
      </c>
      <c r="F105" s="200" t="str">
        <v>Y 需求是打开设置页面，页面跳转类命令，依赖画面开发完成</v>
      </c>
      <c r="G105" s="164"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105" s="11" t="str">
        <v>✅</v>
      </c>
      <c r="I105" s="60"/>
      <c r="J105" s="11" t="str">
        <v>NA</v>
      </c>
      <c r="K105" s="139"/>
      <c r="N105" s="11" t="str">
        <v>✅</v>
      </c>
      <c r="O105" s="11" t="str">
        <v>✅</v>
      </c>
      <c r="Q105" s="262" t="str">
        <v>❌</v>
      </c>
      <c r="W105" s="262" t="str">
        <v>❌</v>
      </c>
      <c r="Y105" s="11" t="inlineStr">
        <is>
          <r>
            <t>@谢军军</t>
          </r>
        </is>
      </c>
    </row>
    <row r="106" spans="1:25">
      <c r="A106" s="16" t="str">
        <v>声音</v>
      </c>
      <c r="B106" s="168"/>
      <c r="C106" s="16" t="str">
        <v>音场平衡 - 语音重置音场平衡</v>
      </c>
      <c r="D106" s="16" t="str">
        <v>P1</v>
      </c>
      <c r="E106" s="16" t="str">
        <v>重置音场平衡</v>
      </c>
      <c r="F106" s="11" t="str">
        <v>Y</v>
      </c>
      <c r="G106" s="11" t="str">
        <v>应用中间件Audio使用规范V1.0.pdf 的章节5</v>
      </c>
      <c r="H106" s="11" t="str">
        <v>✅</v>
      </c>
      <c r="I106" s="60"/>
      <c r="J106" s="11" t="str">
        <v>NA</v>
      </c>
      <c r="K106" s="139"/>
      <c r="N106" s="11" t="str">
        <v>✅</v>
      </c>
      <c r="Q106" s="150" t="str">
        <v>❌</v>
      </c>
      <c r="W106" s="150" t="str">
        <v>❌</v>
      </c>
      <c r="Y106" s="11" t="inlineStr">
        <is>
          <r>
            <t>@谢军军</t>
          </r>
        </is>
      </c>
    </row>
    <row r="107" spans="1:25">
      <c r="A107" s="16" t="str">
        <v>声音</v>
      </c>
      <c r="B107" s="168"/>
      <c r="C107" s="16" t="str">
        <v>降音开关- 语音控制倒车自动降音开关</v>
      </c>
      <c r="D107" s="16" t="str">
        <v>P1</v>
      </c>
      <c r="E107" s="16" t="str">
        <v>打开倒车自动降音；关闭倒车自动降音</v>
      </c>
      <c r="F107" s="200" t="str">
        <v>N</v>
      </c>
      <c r="G107" s="200" t="str">
        <v>无此接口需求， 该车型无此功能</v>
      </c>
      <c r="H107" s="263" t="str">
        <v>❌</v>
      </c>
      <c r="I107" s="60"/>
      <c r="J107" s="11" t="str">
        <v>倒车降低音量开关</v>
      </c>
      <c r="K107" s="139"/>
      <c r="N107" s="11" t="str">
        <v>✅</v>
      </c>
      <c r="O107" s="11" t="str">
        <v>左晨：5、语音控制倒车自动降音开关----&gt;可看配置表，无此功能。 走兜底。</v>
      </c>
      <c r="P107" s="16" t="str">
        <v>block</v>
      </c>
      <c r="Q107" s="200" t="str">
        <v>✅</v>
      </c>
      <c r="R107" s="200" t="str">
        <v>无此接口需求， 该车型无此功能</v>
      </c>
      <c r="S107" s="200" t="str">
        <v>Block</v>
      </c>
      <c r="T107" s="200" t="str">
        <v>block</v>
      </c>
      <c r="W107" s="200" t="str">
        <v>✅</v>
      </c>
      <c r="Y107" s="11" t="inlineStr">
        <is>
          <r>
            <t>@谢军军</t>
          </r>
        </is>
      </c>
    </row>
    <row r="108" spans="1:25">
      <c r="A108" s="16" t="str">
        <v>声音</v>
      </c>
      <c r="B108" s="168"/>
      <c r="C108" s="16" t="str">
        <v>降音开关 - 语音控制开门自动降音开关</v>
      </c>
      <c r="D108" s="16" t="str">
        <v>P1</v>
      </c>
      <c r="E108" s="16" t="str">
        <v>打开开门自动降音；关闭开门自动降音</v>
      </c>
      <c r="F108" s="11" t="str">
        <v>Y</v>
      </c>
      <c r="G108" s="11" t="str">
        <v>应用中间件Audio使用规范V1.0.pdf 的章节5</v>
      </c>
      <c r="H108" s="11" t="str">
        <v>✅</v>
      </c>
      <c r="I108" s="60"/>
      <c r="J108" s="11" t="str">
        <v>开门降低音量开关</v>
      </c>
      <c r="K108" s="139"/>
      <c r="N108" s="11" t="str">
        <v>✅</v>
      </c>
      <c r="O108" s="11" t="str">
        <v>✅</v>
      </c>
      <c r="Q108" s="150" t="str">
        <v>✅</v>
      </c>
      <c r="W108" s="150" t="str">
        <v>✅</v>
      </c>
      <c r="Y108" s="11" t="inlineStr">
        <is>
          <r>
            <t>@谢军军</t>
          </r>
        </is>
      </c>
    </row>
    <row r="109" spans="1:25">
      <c r="A109" s="16" t="str">
        <v>声音</v>
      </c>
      <c r="B109" s="168"/>
      <c r="C109" s="16" t="str">
        <v>降音开关 - 语音控制导航多媒体自动降音开关</v>
      </c>
      <c r="D109" s="16" t="str">
        <v>P1</v>
      </c>
      <c r="E109" s="16" t="str">
        <v>打开导航多媒体自动降音；关闭导航多媒体自动降音</v>
      </c>
      <c r="F109" s="11" t="str">
        <v>Y</v>
      </c>
      <c r="G109" s="173" t="str">
        <v>CarAudioExtManager mAudioExtManager = new CarAudioExtManager (…);
mAudioExtManager. enableAudioStrategySwitch (true);
mAudioExtManager. isAudioStrategySwitchEnabled ();
导航播报时多媒体自
动降音开关
0x0= OFF(混音)
0x1= ON(多媒体降音)</v>
      </c>
      <c r="H109" s="11" t="str">
        <v>✅</v>
      </c>
      <c r="I109" s="60"/>
      <c r="J109" s="217" t="str">
        <v>导航多媒体降音开关</v>
      </c>
      <c r="K109" s="139"/>
      <c r="N109" s="11" t="str">
        <v>✅</v>
      </c>
      <c r="O109" s="11" t="str">
        <v>✅</v>
      </c>
      <c r="Q109" s="150" t="str">
        <v>✅</v>
      </c>
      <c r="W109" s="150" t="str">
        <v>✅</v>
      </c>
      <c r="Y109" s="11" t="inlineStr">
        <is>
          <r>
            <t>@谢军军</t>
          </r>
        </is>
      </c>
    </row>
    <row r="110" spans="1:25">
      <c r="A110" s="16" t="str">
        <v>声音</v>
      </c>
      <c r="B110" s="168"/>
      <c r="C110" s="16" t="str">
        <v>充电提示音 - 语音控制充电提示音</v>
      </c>
      <c r="D110" s="16" t="str">
        <v>P1</v>
      </c>
      <c r="E110" s="16" t="str">
        <v>打开车外充电提示音；关闭车外充电提示音；充电提示音设置为音效；充电提示音设置为语音和音效；充电提示音切换到语音播报</v>
      </c>
      <c r="F110" s="11" t="str">
        <v>Y</v>
      </c>
      <c r="G110" s="11" t="str">
        <v>应用中间件Audio使用规范V1.0.pdf 的章节5</v>
      </c>
      <c r="H110" s="11" t="str">
        <v>✅</v>
      </c>
      <c r="I110" s="60"/>
      <c r="J110" s="11" t="str">
        <v>充电状态音效设置</v>
      </c>
      <c r="K110" s="139"/>
      <c r="N110" s="11" t="str">
        <v>✅</v>
      </c>
      <c r="O110" s="11" t="str">
        <v>✅</v>
      </c>
      <c r="Q110" s="150" t="str">
        <v>✅</v>
      </c>
      <c r="W110" s="150" t="str">
        <v>✅</v>
      </c>
      <c r="Y110" s="11" t="inlineStr">
        <is>
          <r>
            <t>@谢军军</t>
          </r>
        </is>
      </c>
    </row>
    <row r="111" spans="1:25">
      <c r="A111" s="16" t="str">
        <v>声音</v>
      </c>
      <c r="B111" s="168"/>
      <c r="C111" s="164" t="str">
        <v>换最佳听音位 - 语音切换最佳听音位意图</v>
      </c>
      <c r="D111" s="16" t="str">
        <v>P1</v>
      </c>
      <c r="E111" s="164" t="str">
        <v>切换最佳听音位意图</v>
      </c>
      <c r="F111" s="200" t="str">
        <v>Y 需求是打开设置页面，页面跳转类命令，依赖画面开发完成</v>
      </c>
      <c r="G111" s="200"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111" s="11" t="str">
        <v>✅</v>
      </c>
      <c r="I111" s="60"/>
      <c r="J111" s="11" t="str">
        <v>最佳听音位设置</v>
      </c>
      <c r="K111" s="139"/>
      <c r="M111" s="16" t="str">
        <v>已接入</v>
      </c>
      <c r="N111" s="11" t="str">
        <v>✅</v>
      </c>
      <c r="Q111" s="11" t="str">
        <v>✅</v>
      </c>
      <c r="R111" s="11" t="str">
        <v>❌</v>
      </c>
      <c r="S111" s="11" t="str">
        <v>✅</v>
      </c>
      <c r="T111" s="11" t="str">
        <v>✅</v>
      </c>
      <c r="U111" s="11" t="str">
        <v>✅</v>
      </c>
      <c r="Y111" s="11" t="inlineStr">
        <is>
          <r>
            <t>@谢军军</t>
          </r>
        </is>
      </c>
    </row>
    <row r="112" spans="1:25">
      <c r="A112" s="16" t="str">
        <v>声音</v>
      </c>
      <c r="B112" s="168"/>
      <c r="C112" s="16" t="str">
        <v>换最佳听音位 - 语音切换指定听音位</v>
      </c>
      <c r="D112" s="16" t="str">
        <v>P1</v>
      </c>
      <c r="E112" s="16" t="str">
        <v>最佳听音位切换到主驾；最佳听音位切换到副驾；最佳听音位切换到整车；最佳听音位切换到后排</v>
      </c>
      <c r="F112" s="16" t="str">
        <v>Y</v>
      </c>
      <c r="G112" s="11" t="str">
        <v>应用中间件Audio使用规范V1.0.pdf 的章节5</v>
      </c>
      <c r="H112" s="11" t="str">
        <v>✅</v>
      </c>
      <c r="I112" s="60"/>
      <c r="J112" s="11" t="str">
        <v>最佳听音位设置</v>
      </c>
      <c r="K112" s="139"/>
      <c r="M112" s="16" t="str">
        <v>已接入</v>
      </c>
      <c r="N112" s="11" t="str">
        <v>✅</v>
      </c>
      <c r="Q112" s="11" t="str">
        <v>✅</v>
      </c>
      <c r="R112" s="11" t="str">
        <v>❌</v>
      </c>
      <c r="S112" s="11" t="str">
        <v>❌</v>
      </c>
      <c r="U112" s="11" t="str">
        <v>✅</v>
      </c>
      <c r="W112" s="11" t="str">
        <v>✅</v>
      </c>
      <c r="Y112" s="11" t="inlineStr">
        <is>
          <r>
            <t>@谢军军</t>
          </r>
        </is>
      </c>
    </row>
    <row r="113" spans="1:25">
      <c r="A113" s="16" t="str">
        <v>声音</v>
      </c>
      <c r="B113" s="168"/>
      <c r="C113" s="164" t="str">
        <v>bose音效 - 语音切换 Bose 音效模式设置意图</v>
      </c>
      <c r="D113" s="16" t="str">
        <v>P1</v>
      </c>
      <c r="E113" s="164" t="str">
        <v>打开 Bose 音效设置页面；切换 Bose 音效模式</v>
      </c>
      <c r="F113" s="200" t="str">
        <v>Y 需求是打开设置页面，页面跳转类命令，依赖画面开发完成</v>
      </c>
      <c r="G113" s="200"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113" s="263" t="str">
        <v>❌</v>
      </c>
      <c r="I113" s="60"/>
      <c r="J113" s="11" t="str">
        <v>NA</v>
      </c>
      <c r="K113" s="139"/>
      <c r="N113" s="11" t="str">
        <v>✅</v>
      </c>
      <c r="O113" s="11" t="str">
        <v>✅</v>
      </c>
      <c r="Q113" s="150" t="str">
        <v>block</v>
      </c>
      <c r="Y113" s="11" t="inlineStr">
        <is>
          <r>
            <t>@谢军军</t>
          </r>
        </is>
      </c>
    </row>
    <row r="114" spans="1:25">
      <c r="A114" s="16" t="str">
        <v>声音</v>
      </c>
      <c r="B114" s="168"/>
      <c r="C114" s="16" t="str">
        <v>bose音效 - 语音切换指定 Bose 音效模式意图</v>
      </c>
      <c r="D114" s="16" t="str">
        <v>P1</v>
      </c>
      <c r="E114" s="16" t="str">
        <v>Bose 音效切换到 3DX Surround 高级听音位；Bose 音效切换到主驾最佳听音位；Bose 音效切换到后排最佳听音位</v>
      </c>
      <c r="F114" s="16" t="str">
        <v>NA</v>
      </c>
      <c r="G114" s="11" t="str">
        <v>产品确认该车型不支持</v>
      </c>
      <c r="H114" s="263" t="str">
        <v>❌</v>
      </c>
      <c r="I114" s="60"/>
      <c r="J114" s="11" t="str">
        <v>NA</v>
      </c>
      <c r="K114" s="139"/>
      <c r="Q114" s="150" t="str">
        <v>block</v>
      </c>
      <c r="Y114" s="11" t="inlineStr">
        <is>
          <r>
            <t>@谢军军</t>
          </r>
        </is>
      </c>
    </row>
    <row r="115" spans="1:25">
      <c r="A115" s="16" t="str">
        <v>声音</v>
      </c>
      <c r="B115" s="168"/>
      <c r="C115" s="16" t="str">
        <v>7.1.4音效 - 语音切换环绕音效强度意图</v>
      </c>
      <c r="D115" s="16" t="str">
        <v>P1</v>
      </c>
      <c r="E115" s="16" t="str">
        <v>切换环绕音效强度</v>
      </c>
      <c r="F115" s="16" t="str">
        <v>Y</v>
      </c>
      <c r="G115" s="173" t="str">
        <v>//跳转音量界面顶部
adb shell am start -a com.zone.intent.tab.sound -n com.zone.hmi.settings/com.zone.hmi.settings.ui.MainFragmentActivity --es SUB_ACTION subAction_sound_show_volume_page_top
//跳转音量界面底部
adb shell am start -a com.zone.intent.tab.sound -n com.zone.hmi.settings/com.zone.hmi.settings.ui.MainFragmentActivity --es SUB_ACTION subAction_sound_show_volume_page_bottom
//跳转音效界面顶部
adb shell am start -a com.zone.intent.tab.sound -n com.zone.hmi.settings/com.zone.hmi.settings.ui.MainFragmentActivity --es SUB_ACTION subAction_sound_effect_show_page_top
//跳转音效界面底部
adb shell am start -a com.zone.intent.tab.sound -n com.zone.hmi.settings/com.zone.hmi.settings.ui.MainFragmentActivity --es SUB_ACTION subAction_sound_effect_show_page_bottom</v>
      </c>
      <c r="H115" s="11" t="str">
        <v>✅</v>
      </c>
      <c r="I115" s="60"/>
      <c r="J115" s="11" t="str">
        <v>环绕音设置</v>
      </c>
      <c r="K115" s="139"/>
      <c r="M115" s="11" t="str">
        <v>已接入</v>
      </c>
      <c r="N115" s="11" t="str">
        <v>✅</v>
      </c>
      <c r="O115" s="11" t="str">
        <v>✅</v>
      </c>
      <c r="Q115" s="11" t="str">
        <v>✅</v>
      </c>
      <c r="R115" s="150" t="str">
        <v>❌</v>
      </c>
      <c r="S115" s="11" t="str">
        <v>✅</v>
      </c>
      <c r="U115" s="11" t="str">
        <v>✅</v>
      </c>
      <c r="Y115" s="11" t="inlineStr">
        <is>
          <r>
            <t>@谢军军</t>
          </r>
        </is>
      </c>
    </row>
    <row r="116" spans="1:25">
      <c r="A116" s="16" t="str">
        <v>声音</v>
      </c>
      <c r="B116" s="168"/>
      <c r="C116" s="16" t="str">
        <v>7.1.4音 - 语音切换至指定环绕音效强度</v>
      </c>
      <c r="D116" s="16" t="str">
        <v>P1</v>
      </c>
      <c r="E116" s="16" t="str">
        <v>开启环绕音效；环绕音效强度设置为低；环绕音效强度设置为中；环绕音效强度设置为高；关闭环绕音效</v>
      </c>
      <c r="F116" s="16" t="str">
        <v>NA</v>
      </c>
      <c r="G116" s="11" t="str">
        <v>产品确认该车型不支持</v>
      </c>
      <c r="H116" s="11" t="str">
        <v>✅</v>
      </c>
      <c r="I116" s="60"/>
      <c r="J116" s="11" t="str">
        <v>环绕音设置</v>
      </c>
      <c r="K116" s="139"/>
      <c r="M116" s="11" t="str">
        <v>已接入</v>
      </c>
      <c r="N116" s="11" t="str">
        <v>✅</v>
      </c>
      <c r="O116" s="11" t="str">
        <v>✅</v>
      </c>
      <c r="Q116" s="11" t="str">
        <v>✅</v>
      </c>
      <c r="U116" s="11" t="str">
        <v>✅</v>
      </c>
      <c r="W116" s="11" t="str">
        <v>✅</v>
      </c>
      <c r="Y116" s="11" t="inlineStr">
        <is>
          <r>
            <t>@谢军军</t>
          </r>
        </is>
      </c>
    </row>
    <row r="117" spans="1:25">
      <c r="A117" s="16" t="str">
        <v>声音</v>
      </c>
      <c r="B117" s="168"/>
      <c r="C117" s="166" t="str">
        <v>车外喇叭 - 车外喊话</v>
      </c>
      <c r="D117" s="16" t="str">
        <v>P1</v>
      </c>
      <c r="E117" s="16" t="str">
        <v>我要车外喊话；开始喊话；</v>
      </c>
      <c r="F117" s="16" t="str">
        <v>Y</v>
      </c>
      <c r="G117" s="265" t="str">
        <v>趣味喇叭SDK1.0.0.7说明.txt
carvoice-1.0.0.7-20260107.090902-1.aar:https://internal-api-drive-stream.larkoffice.com/space/api/box/stream/download/preview/MuihbNZkWooctaxXsYZcHLTCnmg?mount_point=docx_file&amp;preview_type=16
车外喊话接口更新-0409.zip:https://bytedance.larkoffice.com/file/O4SCbgR78oglNqxPG50c6DmInVh 
车外喊话新的sdk和接口说明，相对上一版追加了get车外喊话状态的接口，需要获取状态后调用clickShoutingButton接口，clickShoutingButton接口会切换喊话状态，才能实现打开和关闭车外喊话。</v>
      </c>
      <c r="H117" s="263" t="str">
        <v>❌</v>
      </c>
      <c r="I117" s="60"/>
      <c r="J117" s="24" t="str">
        <v>车外喇叭开关
</v>
      </c>
      <c r="K117" s="139"/>
      <c r="N117" s="11" t="str">
        <v>✅</v>
      </c>
      <c r="O117" s="11" t="str">
        <v>✅</v>
      </c>
      <c r="Q117" s="150" t="str">
        <v>❌</v>
      </c>
      <c r="R117" s="150" t="str">
        <v>block</v>
      </c>
      <c r="S117" s="150" t="str">
        <v>❌</v>
      </c>
      <c r="U117" s="150" t="str">
        <v>❌</v>
      </c>
      <c r="W117" s="150" t="str">
        <v>❌</v>
      </c>
      <c r="Y117" s="11" t="inlineStr">
        <is>
          <r>
            <t>@谢军军</t>
          </r>
        </is>
      </c>
    </row>
    <row r="118" spans="1:25">
      <c r="A118" s="16" t="str">
        <v>声音</v>
      </c>
      <c r="B118" s="168"/>
      <c r="C118" s="168"/>
      <c r="D118" s="16" t="str">
        <v>P1</v>
      </c>
      <c r="E118" s="16" t="str">
        <v>车外喊话切换为车内试听；车外喊话切换为车外播报；切换车外喊话音源</v>
      </c>
      <c r="F118" s="16" t="str">
        <v>Y</v>
      </c>
      <c r="G118" s="266"/>
      <c r="H118" s="263" t="str">
        <v>❌</v>
      </c>
      <c r="I118" s="60"/>
      <c r="J118" s="24" t="str">
        <v>车外喇叭模式调节</v>
      </c>
      <c r="K118" s="139"/>
      <c r="N118" s="11" t="str">
        <v>✅</v>
      </c>
      <c r="O118" s="11" t="str">
        <v>✅</v>
      </c>
      <c r="Q118" s="150" t="str">
        <v>✅</v>
      </c>
      <c r="R118" s="150" t="str">
        <v>block</v>
      </c>
      <c r="S118" s="150" t="str">
        <v>❌</v>
      </c>
      <c r="U118" s="150" t="str">
        <v>❌</v>
      </c>
      <c r="W118" s="150" t="str">
        <v>✅</v>
      </c>
      <c r="Y118" s="11" t="inlineStr">
        <is>
          <r>
            <t>@谢军军</t>
          </r>
        </is>
      </c>
    </row>
    <row r="119" spans="1:25">
      <c r="A119" s="16" t="str">
        <v>声音</v>
      </c>
      <c r="B119" s="168"/>
      <c r="C119" s="168"/>
      <c r="D119" s="16" t="str">
        <v>P1</v>
      </c>
      <c r="E119" s="16" t="str">
        <v>打开车外喊话设置页面</v>
      </c>
      <c r="F119" s="16" t="str">
        <v>Y</v>
      </c>
      <c r="G119" s="266"/>
      <c r="H119" s="263" t="str">
        <v>❌</v>
      </c>
      <c r="I119" s="60"/>
      <c r="J119" s="217" t="str">
        <v>车外喊话设置页面</v>
      </c>
      <c r="K119" s="139"/>
      <c r="N119" s="11" t="str">
        <v>✅</v>
      </c>
      <c r="O119" s="11" t="str">
        <v>✅</v>
      </c>
      <c r="Q119" s="150" t="str">
        <v>✅</v>
      </c>
      <c r="U119" s="150" t="str">
        <v>❌</v>
      </c>
      <c r="W119" s="150" t="str">
        <v>✅</v>
      </c>
      <c r="Y119" s="11" t="inlineStr">
        <is>
          <r>
            <t>@谢军军</t>
          </r>
        </is>
      </c>
    </row>
    <row r="120" spans="1:25">
      <c r="A120" s="16" t="str">
        <v>声音</v>
      </c>
      <c r="B120" s="168"/>
      <c r="C120" s="30"/>
      <c r="D120" s="16" t="str">
        <v>P1</v>
      </c>
      <c r="E120" s="16" t="str">
        <v>车外喊话音量调低一点；</v>
      </c>
      <c r="F120" s="16" t="str">
        <v>Y</v>
      </c>
      <c r="G120" s="266"/>
      <c r="H120" s="263" t="str">
        <v>❌</v>
      </c>
      <c r="I120" s="60"/>
      <c r="J120" s="11" t="str">
        <v>音量调节</v>
      </c>
      <c r="K120" s="139"/>
      <c r="N120" s="11" t="str">
        <v>✅</v>
      </c>
      <c r="O120" s="11" t="str">
        <v>✅</v>
      </c>
      <c r="Q120" s="150" t="str">
        <v>❌</v>
      </c>
      <c r="U120" s="150" t="str">
        <v>❌</v>
      </c>
      <c r="W120" s="150" t="str">
        <v>❌</v>
      </c>
      <c r="Y120" s="11" t="inlineStr">
        <is>
          <r>
            <t>@谢军军</t>
          </r>
        </is>
      </c>
    </row>
    <row r="121" spans="1:25">
      <c r="A121" s="16" t="str">
        <v>声音</v>
      </c>
      <c r="B121" s="168"/>
      <c r="C121" s="166" t="str">
        <v>车外喇叭- 车外锁车音</v>
      </c>
      <c r="D121" s="16" t="str">
        <v>P1</v>
      </c>
      <c r="E121" s="16" t="str">
        <v>调节锁车音量；车外锁车音量设置为低；车外锁车音量设置为中；车外锁车音量设置为高；
</v>
      </c>
      <c r="F121" s="16" t="str">
        <v>Y</v>
      </c>
      <c r="G121" s="266"/>
      <c r="H121" s="263" t="str">
        <v>❌</v>
      </c>
      <c r="I121" s="60"/>
      <c r="J121" s="11" t="str">
        <v>音量调节</v>
      </c>
      <c r="K121" s="139"/>
      <c r="N121" s="11" t="str">
        <v>✅</v>
      </c>
      <c r="O121" s="11" t="str">
        <v>✅</v>
      </c>
      <c r="Q121" s="150" t="str">
        <v>❌</v>
      </c>
      <c r="W121" s="150" t="str">
        <v>❌</v>
      </c>
      <c r="Y121" s="11" t="inlineStr">
        <is>
          <r>
            <t>@谢军军</t>
          </r>
        </is>
      </c>
    </row>
    <row r="122" spans="1:25">
      <c r="A122" s="16" t="str">
        <v>声音</v>
      </c>
      <c r="B122" s="168"/>
      <c r="C122" s="168"/>
      <c r="D122" s="16" t="str">
        <v>P1</v>
      </c>
      <c r="E122" s="16" t="str">
        <v>打开车外锁车音设置页面；</v>
      </c>
      <c r="F122" s="16" t="str">
        <v>Y</v>
      </c>
      <c r="G122" s="266"/>
      <c r="H122" s="263" t="str">
        <v>❌</v>
      </c>
      <c r="I122" s="60"/>
      <c r="J122" s="217" t="str">
        <v>车外锁车音设置页面</v>
      </c>
      <c r="K122" s="139"/>
      <c r="N122" s="11" t="str">
        <v>✅</v>
      </c>
      <c r="O122" s="11" t="str">
        <v>✅</v>
      </c>
      <c r="Q122" s="150" t="str">
        <v>✅</v>
      </c>
      <c r="R122" s="150" t="str">
        <v>block</v>
      </c>
      <c r="W122" s="150" t="str">
        <v>✅</v>
      </c>
      <c r="Y122" s="11" t="inlineStr">
        <is>
          <r>
            <t>@谢军军</t>
          </r>
        </is>
      </c>
    </row>
    <row r="123" spans="1:25">
      <c r="A123" s="16" t="str">
        <v>声音</v>
      </c>
      <c r="B123" s="168"/>
      <c r="C123" s="30"/>
      <c r="D123" s="16" t="str">
        <v>P1</v>
      </c>
      <c r="E123" s="16" t="str">
        <v>切换趣味锁车音；趣味锁车音切换为车内试听、车外播报</v>
      </c>
      <c r="F123" s="16" t="str">
        <v>Y</v>
      </c>
      <c r="G123" s="267"/>
      <c r="H123" s="263" t="str">
        <v>❌</v>
      </c>
      <c r="I123" s="60"/>
      <c r="J123" s="217" t="str">
        <v>锁车音设置</v>
      </c>
      <c r="K123" s="139"/>
      <c r="N123" s="11" t="str">
        <v>✅</v>
      </c>
      <c r="O123" s="11" t="str">
        <v>✅</v>
      </c>
      <c r="Q123" s="150" t="str">
        <v>✅</v>
      </c>
      <c r="W123" s="150" t="str">
        <v>✅</v>
      </c>
      <c r="Y123" s="11" t="inlineStr">
        <is>
          <r>
            <t>@谢军军</t>
          </r>
        </is>
      </c>
    </row>
    <row r="124" spans="1:25">
      <c r="A124" s="16" t="str">
        <v>声音</v>
      </c>
      <c r="B124" s="168"/>
      <c r="C124" s="16" t="str">
        <v>多媒体外放 - 语音控制多媒体外放模式</v>
      </c>
      <c r="D124" s="16" t="str">
        <v>P1</v>
      </c>
      <c r="E124" s="16" t="str">
        <v>打开多媒体外放模式；关闭多媒体外放模式</v>
      </c>
      <c r="F124" s="164" t="str">
        <v>NA</v>
      </c>
      <c r="G124" s="164" t="str">
        <v> 无此接口需求， 该车型无此功能</v>
      </c>
      <c r="H124" s="263" t="str">
        <v>❌</v>
      </c>
      <c r="I124" s="60"/>
      <c r="J124" s="11" t="str">
        <v>NA</v>
      </c>
      <c r="K124" s="139"/>
      <c r="O124" s="11" t="str">
        <v>0518 验证失败</v>
      </c>
      <c r="Y124" s="11" t="inlineStr">
        <is>
          <r>
            <t>@谢军军</t>
          </r>
        </is>
      </c>
    </row>
    <row r="125" spans="1:25">
      <c r="A125" s="16" t="str">
        <v>声音</v>
      </c>
      <c r="B125" s="168"/>
      <c r="C125" s="166" t="str">
        <v>语音控制车外喊话 - 无麦 K 歌</v>
      </c>
      <c r="D125" s="16" t="str">
        <v>P0</v>
      </c>
      <c r="E125" s="16" t="str">
        <v>我要无麦 K 歌</v>
      </c>
      <c r="F125" s="164" t="str">
        <v>N</v>
      </c>
      <c r="G125" s="207" t="str">
        <v>SOP+3</v>
      </c>
      <c r="H125" s="263" t="str">
        <v>❌</v>
      </c>
      <c r="I125" s="60"/>
      <c r="J125" s="11" t="str">
        <v>K歌应用开关</v>
      </c>
      <c r="K125" s="139"/>
      <c r="N125" s="16" t="str">
        <v>✅</v>
      </c>
      <c r="O125" s="59" t="str">
        <v>http://jira.z-onesoftware.com:8080/browse/DNA-2839</v>
      </c>
      <c r="Y125" s="11" t="inlineStr">
        <is>
          <r>
            <t>@谢军军</t>
          </r>
        </is>
      </c>
    </row>
    <row r="126" spans="1:25">
      <c r="A126" s="16" t="str">
        <v>声音</v>
      </c>
      <c r="B126" s="168"/>
      <c r="C126" s="168"/>
      <c r="D126" s="16" t="str">
        <v>P0</v>
      </c>
      <c r="E126" s="16" t="str">
        <v>调节无麦 K 歌人声音量</v>
      </c>
      <c r="F126" s="164" t="str">
        <v>N</v>
      </c>
      <c r="G126" s="268"/>
      <c r="H126" s="263" t="str">
        <v>❌</v>
      </c>
      <c r="I126" s="60"/>
      <c r="J126" s="11" t="str">
        <v>音量调节</v>
      </c>
      <c r="K126" s="139"/>
      <c r="O126" s="59"/>
      <c r="Y126" s="11" t="inlineStr">
        <is>
          <r>
            <t>@谢军军</t>
          </r>
        </is>
      </c>
    </row>
    <row r="127" spans="1:25">
      <c r="A127" s="16" t="str">
        <v>声音</v>
      </c>
      <c r="B127" s="168"/>
      <c r="C127" s="168"/>
      <c r="D127" s="16" t="str">
        <v>P1</v>
      </c>
      <c r="E127" s="16" t="str">
        <v>打开人声优化；关闭人声优化</v>
      </c>
      <c r="F127" s="164" t="str">
        <v>N</v>
      </c>
      <c r="G127" s="268"/>
      <c r="H127" s="263" t="str">
        <v>❌</v>
      </c>
      <c r="I127" s="60"/>
      <c r="J127" s="217" t="str">
        <v>无麦K歌人声优化开关</v>
      </c>
      <c r="K127" s="139"/>
      <c r="O127" s="59"/>
      <c r="Y127" s="11" t="inlineStr">
        <is>
          <r>
            <t>@谢军军</t>
          </r>
        </is>
      </c>
    </row>
    <row r="128" spans="1:25">
      <c r="A128" s="16" t="str">
        <v>声音</v>
      </c>
      <c r="B128" s="168"/>
      <c r="C128" s="168"/>
      <c r="D128" s="16" t="str">
        <v>P1</v>
      </c>
      <c r="E128" s="16" t="str">
        <v>切换无麦 K 歌音效为&lt;模式&gt;；
模式=KTV、浴室、音乐厅、演唱会</v>
      </c>
      <c r="F128" s="164" t="str">
        <v>N</v>
      </c>
      <c r="G128" s="268"/>
      <c r="H128" s="263" t="str">
        <v>❌</v>
      </c>
      <c r="I128" s="60"/>
      <c r="J128" s="24" t="str">
        <v>无麦k歌音效设置</v>
      </c>
      <c r="K128" s="139"/>
      <c r="O128" s="59"/>
      <c r="Y128" s="11" t="inlineStr">
        <is>
          <r>
            <t>@谢军军</t>
          </r>
        </is>
      </c>
    </row>
    <row r="129" spans="1:25">
      <c r="A129" s="16" t="str">
        <v>声音</v>
      </c>
      <c r="B129" s="30"/>
      <c r="C129" s="30"/>
      <c r="D129" s="16" t="str">
        <v>P1</v>
      </c>
      <c r="E129" s="16" t="str">
        <v>选择无麦 K 歌收音区域；后排声音不要收到无麦 K 歌中</v>
      </c>
      <c r="F129" s="164" t="str">
        <v>N</v>
      </c>
      <c r="G129" s="210"/>
      <c r="H129" s="263" t="str">
        <v>❌</v>
      </c>
      <c r="I129" s="110"/>
      <c r="J129" s="217" t="str">
        <v>无麦K歌收音区域设置</v>
      </c>
      <c r="K129" s="156"/>
      <c r="O129" s="59"/>
      <c r="Y129" s="11" t="inlineStr">
        <is>
          <r>
            <t>@谢军军</t>
          </r>
        </is>
      </c>
    </row>
    <row r="130" spans="1:25">
      <c r="A130" s="16" t="str">
        <v>豆包设置</v>
      </c>
      <c r="B130" s="166" t="str">
        <v>豆包设置</v>
      </c>
      <c r="C130" s="16" t="str">
        <v>语音设置</v>
      </c>
      <c r="Y130" s="11" t="inlineStr">
        <is>
          <r>
            <t>@王东旭</t>
          </r>
        </is>
      </c>
    </row>
    <row r="131" spans="1:25">
      <c r="A131" s="16" t="str">
        <v>豆包设置</v>
      </c>
      <c r="B131" s="168"/>
      <c r="C131" s="16" t="str">
        <v>机器人设置</v>
      </c>
      <c r="Y131" s="11" t="inlineStr">
        <is>
          <r>
            <t>@王东旭</t>
          </r>
        </is>
      </c>
    </row>
    <row r="132" spans="1:3">
      <c r="A132" s="16" t="str">
        <v>豆包设置</v>
      </c>
      <c r="B132" s="168"/>
      <c r="C132" s="16" t="str">
        <v>账号设置</v>
      </c>
    </row>
    <row r="133" spans="1:3">
      <c r="A133" s="16" t="str">
        <v>豆包设置</v>
      </c>
      <c r="B133" s="30"/>
      <c r="C133" s="16" t="str">
        <v>记忆</v>
      </c>
    </row>
  </sheetData>
  <mergeCells count="61">
    <mergeCell ref="K2:K66"/>
    <mergeCell ref="B2:B9"/>
    <mergeCell ref="I2:I9"/>
    <mergeCell ref="O6:O7"/>
    <mergeCell ref="B10:B20"/>
    <mergeCell ref="I10:I20"/>
    <mergeCell ref="J10:J15"/>
    <mergeCell ref="M10:M12"/>
    <mergeCell ref="J18:J19"/>
    <mergeCell ref="B21:B26"/>
    <mergeCell ref="I21:I26"/>
    <mergeCell ref="J25:J26"/>
    <mergeCell ref="B27:B31"/>
    <mergeCell ref="I27:I31"/>
    <mergeCell ref="J30:J31"/>
    <mergeCell ref="B32:B35"/>
    <mergeCell ref="G33:G35"/>
    <mergeCell ref="J33:J35"/>
    <mergeCell ref="B36:B37"/>
    <mergeCell ref="J36:J37"/>
    <mergeCell ref="I38:I40"/>
    <mergeCell ref="B38:B40"/>
    <mergeCell ref="G38:G39"/>
    <mergeCell ref="J38:J39"/>
    <mergeCell ref="I41:I44"/>
    <mergeCell ref="B41:B44"/>
    <mergeCell ref="J41:J42"/>
    <mergeCell ref="J43:J44"/>
    <mergeCell ref="I45:I48"/>
    <mergeCell ref="B45:B48"/>
    <mergeCell ref="J46:J47"/>
    <mergeCell ref="I49:I50"/>
    <mergeCell ref="B49:B50"/>
    <mergeCell ref="J49:J50"/>
    <mergeCell ref="B52:B54"/>
    <mergeCell ref="G52:G54"/>
    <mergeCell ref="I52:I54"/>
    <mergeCell ref="G55:G56"/>
    <mergeCell ref="I55:I56"/>
    <mergeCell ref="B55:B56"/>
    <mergeCell ref="I57:I60"/>
    <mergeCell ref="B57:B60"/>
    <mergeCell ref="J57:J60"/>
    <mergeCell ref="I62:I66"/>
    <mergeCell ref="B62:B66"/>
    <mergeCell ref="K67:K129"/>
    <mergeCell ref="B67:B129"/>
    <mergeCell ref="I68:I129"/>
    <mergeCell ref="G86:G87"/>
    <mergeCell ref="J90:J91"/>
    <mergeCell ref="C98:C99"/>
    <mergeCell ref="D98:D99"/>
    <mergeCell ref="J101:J102"/>
    <mergeCell ref="C103:C104"/>
    <mergeCell ref="G117:G123"/>
    <mergeCell ref="C117:C120"/>
    <mergeCell ref="C121:C123"/>
    <mergeCell ref="O125:O129"/>
    <mergeCell ref="G125:G129"/>
    <mergeCell ref="C125:C129"/>
    <mergeCell ref="B130:B133"/>
  </mergeCells>
  <hyperlinks>
    <hyperlink ref="K2" r:id="rId1"/>
    <hyperlink ref="K67" r:id="rId2"/>
    <hyperlink ref="G117" r:id="rId3"/>
    <hyperlink ref="O125" r:id="rId4"/>
  </hyperlinks>
  <pageMargins left="0.7" right="0.7" top="0.75" bottom="0.75" header="0.3" footer="0.3"/>
  <pageSetup orientation="portrait"/>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20.142857142857142" style="1" customWidth="1"/>
    <col min="3" max="3" width="34" style="1" customWidth="1"/>
    <col min="4" max="4" width="9.571428571428571" style="1" customWidth="1"/>
    <col min="5" max="5" width="22.142857142857142" style="1" customWidth="1"/>
    <col min="6" max="6" width="16.857142857142858" style="1" customWidth="1"/>
    <col min="7" max="7" width="29.285714285714285" style="1" customWidth="1"/>
    <col min="8" max="8" width="15" style="1" customWidth="1"/>
    <col min="9" max="9" width="25.77777760537632" style="1" customWidth="1"/>
    <col min="10" max="32" width="15" style="1" customWidth="1"/>
  </cols>
  <sheetData>
    <row r="1" spans="1:32">
      <c r="A1" s="163" t="str">
        <v>功能名称</v>
      </c>
      <c r="B1" s="163" t="str">
        <v>功能名称</v>
      </c>
      <c r="C1" s="163" t="str">
        <v>二级功能名称</v>
      </c>
      <c r="D1" s="163" t="str">
        <v>优先级</v>
      </c>
      <c r="E1" s="163" t="str">
        <v>语音指令示例</v>
      </c>
      <c r="F1" s="163" t="inlineStr">
        <is>
          <r>
            <t>上汽接口是否支持</t>
          </r>
          <r>
            <t>@周怀君</t>
          </r>
        </is>
      </c>
      <c r="G1" s="163" t="str">
        <v>上汽排期</v>
      </c>
      <c r="H1" s="163" t="inlineStr">
        <is>
          <r>
            <t>PPV1实车状态</t>
          </r>
          <r>
            <t>@方令平</t>
          </r>
        </is>
      </c>
      <c r="I1" s="163" t="inlineStr">
        <is>
          <r>
            <t>FC函数</t>
          </r>
          <r>
            <t>@左晨</t>
          </r>
        </is>
      </c>
      <c r="J1" s="163" t="inlineStr">
        <is>
          <r>
            <t xml:space="preserve">控制PRD </t>
          </r>
          <r>
            <t>@左晨</t>
          </r>
        </is>
      </c>
      <c r="K1" s="163" t="inlineStr">
        <is>
          <r>
            <t xml:space="preserve">端状态PRD </t>
          </r>
          <r>
            <t>@陈西钺</t>
          </r>
        </is>
      </c>
      <c r="L1" s="163" t="inlineStr">
        <is>
          <r>
            <t>接口识别</t>
          </r>
          <r>
            <t>@汪帅</t>
          </r>
        </is>
      </c>
      <c r="M1" s="163" t="inlineStr">
        <is>
          <r>
            <t>研发进展</t>
          </r>
          <r>
            <t>@汪帅</t>
          </r>
        </is>
      </c>
      <c r="N1" s="163" t="inlineStr">
        <is>
          <r>
            <t>研发备注</t>
          </r>
          <r>
            <t>@汪帅</t>
          </r>
        </is>
      </c>
      <c r="O1" s="163" t="inlineStr">
        <is>
          <r>
            <t xml:space="preserve">测试用例 </t>
          </r>
          <r>
            <t>@赵晓健</t>
          </r>
        </is>
      </c>
      <c r="P1" s="163" t="inlineStr">
        <is>
          <r>
            <t xml:space="preserve">测试进展 </t>
          </r>
          <r>
            <t>@赵晓健</t>
          </r>
        </is>
      </c>
      <c r="Q1" s="163" t="str">
        <v>0427测试结果</v>
      </c>
      <c r="R1" s="163" t="str">
        <v>0519测试结果</v>
      </c>
      <c r="S1" s="163" t="str">
        <v>0605测试结果</v>
      </c>
      <c r="T1" s="163" t="str">
        <v>0612测试结果</v>
      </c>
      <c r="U1" s="163" t="str">
        <v>0627测试结果</v>
      </c>
      <c r="V1" s="163" t="str">
        <v>0710测试结果</v>
      </c>
      <c r="W1" s="163" t="str">
        <v>0717测试结果</v>
      </c>
      <c r="X1" s="163" t="str">
        <v>测试QA</v>
      </c>
      <c r="Y1" s="163" t="inlineStr">
        <is>
          <r>
            <t xml:space="preserve">产品走查进展 </t>
          </r>
          <r>
            <t>@左晨</t>
          </r>
        </is>
      </c>
      <c r="Z1" s="163" t="str">
        <v>产品走查备注</v>
      </c>
      <c r="AA1" s="11" t="str">
        <v>logid</v>
      </c>
      <c r="AB1" s="11" t="str">
        <v>问题描述</v>
      </c>
      <c r="AC1" s="11" t="str">
        <v>meego单</v>
      </c>
      <c r="AD1" s="165" t="str">
        <v>当前责任方</v>
      </c>
      <c r="AE1" s="165" t="str">
        <v>当前责任人</v>
      </c>
      <c r="AF1" s="165" t="str">
        <v>问题分类</v>
      </c>
    </row>
    <row r="2" spans="1:24">
      <c r="A2" s="16" t="str">
        <v>蓝牙电话控制</v>
      </c>
      <c r="B2" s="166" t="str">
        <v>蓝牙电话控制</v>
      </c>
      <c r="C2" s="163" t="str">
        <v>语音识别到打电话意图</v>
      </c>
      <c r="D2" s="163" t="str">
        <v>P0</v>
      </c>
      <c r="E2" s="16" t="str">
        <v>拨打电话</v>
      </c>
      <c r="F2" s="16" t="str">
        <v>Y</v>
      </c>
      <c r="H2" s="46" t="str">
        <v>✅
点检目标：蓝牙连接手机,进行拨入电话,拨出电话操作。</v>
      </c>
      <c r="I2" s="11" t="str">
        <v>拨打电话</v>
      </c>
      <c r="J2" s="61" t="str">
        <v>【蓝牙电话】Vehicle_Platform1.0_IS4PR_Yu_Yin_Kong_Zhi_ES33_Yu_Yin_Kong_Zhi_Lan_Ya_Dian_Hua__prd_V5_0.pdf</v>
      </c>
      <c r="L2" s="11" t="str">
        <v>dial(XXX)</v>
      </c>
      <c r="M2" s="11" t="str">
        <v>✅</v>
      </c>
      <c r="N2" s="16" t="str">
        <v>✅</v>
      </c>
      <c r="P2" s="16" t="str">
        <v>✅</v>
      </c>
      <c r="Q2" s="16" t="str">
        <v>✅</v>
      </c>
      <c r="R2" s="16" t="str">
        <v>✅</v>
      </c>
      <c r="S2" s="16" t="str">
        <v>✅</v>
      </c>
      <c r="T2" s="16" t="str">
        <v>✅</v>
      </c>
      <c r="U2" s="16" t="str">
        <v>✅</v>
      </c>
      <c r="W2" s="16" t="str">
        <v>✅</v>
      </c>
      <c r="X2" s="11" t="inlineStr">
        <is>
          <r>
            <t>@郑永超</t>
          </r>
        </is>
      </c>
    </row>
    <row r="3" spans="1:24">
      <c r="A3" s="16" t="str">
        <v>蓝牙电话控制</v>
      </c>
      <c r="B3" s="168"/>
      <c r="C3" s="163" t="str">
        <v>语音识别到打电话意图</v>
      </c>
      <c r="D3" s="163" t="str">
        <v>P0</v>
      </c>
      <c r="E3" s="16" t="str">
        <v>我要打电话</v>
      </c>
      <c r="F3" s="16" t="str">
        <v>Y</v>
      </c>
      <c r="H3" s="60"/>
      <c r="I3" s="11" t="str">
        <v>拨打电话</v>
      </c>
      <c r="J3" s="139"/>
      <c r="M3" s="11" t="str">
        <v>✅</v>
      </c>
      <c r="N3" s="16" t="str">
        <v>✅</v>
      </c>
      <c r="P3" s="16" t="str">
        <v>✅</v>
      </c>
      <c r="Q3" s="16" t="str">
        <v>✅</v>
      </c>
      <c r="R3" s="16" t="str">
        <v>✅</v>
      </c>
      <c r="S3" s="16" t="str">
        <v>✅</v>
      </c>
      <c r="T3" s="16" t="str">
        <v>✅</v>
      </c>
      <c r="U3" s="16" t="str">
        <v>✅</v>
      </c>
      <c r="W3" s="16" t="str">
        <v>✅</v>
      </c>
      <c r="X3" s="11" t="inlineStr">
        <is>
          <r>
            <t>@郑永超</t>
          </r>
        </is>
      </c>
    </row>
    <row r="4" spans="1:24">
      <c r="A4" s="16" t="str">
        <v>蓝牙电话控制</v>
      </c>
      <c r="B4" s="168"/>
      <c r="C4" s="163" t="str">
        <v>语音识别到打电话意图</v>
      </c>
      <c r="D4" s="163" t="str">
        <v>P0</v>
      </c>
      <c r="E4" s="16" t="str">
        <v>打个电话</v>
      </c>
      <c r="F4" s="16" t="str">
        <v>Y</v>
      </c>
      <c r="H4" s="60"/>
      <c r="I4" s="11" t="str">
        <v>拨打电话</v>
      </c>
      <c r="J4" s="139"/>
      <c r="M4" s="16" t="str">
        <v>✅</v>
      </c>
      <c r="N4" s="16" t="str">
        <v>✅</v>
      </c>
      <c r="P4" s="16" t="str">
        <v>✅</v>
      </c>
      <c r="Q4" s="16" t="str">
        <v>✅</v>
      </c>
      <c r="R4" s="16" t="str">
        <v>✅</v>
      </c>
      <c r="S4" s="16" t="str">
        <v>✅</v>
      </c>
      <c r="T4" s="16" t="str">
        <v>✅</v>
      </c>
      <c r="U4" s="16" t="str">
        <v>✅</v>
      </c>
      <c r="W4" s="16" t="str">
        <v>✅</v>
      </c>
      <c r="X4" s="11" t="inlineStr">
        <is>
          <r>
            <t>@郑永超</t>
          </r>
        </is>
      </c>
    </row>
    <row r="5" spans="1:24">
      <c r="A5" s="16" t="str">
        <v>蓝牙电话控制</v>
      </c>
      <c r="B5" s="168"/>
      <c r="C5" s="163" t="str">
        <v>拨打电话号码</v>
      </c>
      <c r="D5" s="163" t="str">
        <v>P0</v>
      </c>
      <c r="E5" s="16" t="str">
        <v>给 10086 打电话</v>
      </c>
      <c r="F5" s="16" t="str">
        <v>Y</v>
      </c>
      <c r="H5" s="60"/>
      <c r="I5" s="11" t="str">
        <v>拨打电话</v>
      </c>
      <c r="J5" s="139"/>
      <c r="M5" s="16" t="str">
        <v>✅</v>
      </c>
      <c r="N5" s="16" t="str">
        <v>✅</v>
      </c>
      <c r="P5" s="16" t="str">
        <v>✅</v>
      </c>
      <c r="Q5" s="150" t="str">
        <v>❌</v>
      </c>
      <c r="R5" s="16" t="str">
        <v>✅</v>
      </c>
      <c r="S5" s="16" t="str">
        <v>✅</v>
      </c>
      <c r="T5" s="150" t="str">
        <v>❌</v>
      </c>
      <c r="U5" s="16" t="str">
        <v>✅</v>
      </c>
      <c r="V5" s="16" t="str">
        <v>✅</v>
      </c>
      <c r="W5" s="16" t="str">
        <v>✅</v>
      </c>
      <c r="X5" s="11" t="inlineStr">
        <is>
          <r>
            <t>@郑永超</t>
          </r>
        </is>
      </c>
    </row>
    <row r="6" spans="1:24">
      <c r="A6" s="16" t="str">
        <v>蓝牙电话控制</v>
      </c>
      <c r="B6" s="168"/>
      <c r="C6" s="163" t="str">
        <v>拨打电话号码</v>
      </c>
      <c r="D6" s="163" t="str">
        <v>P0</v>
      </c>
      <c r="E6" s="16" t="str">
        <v>打电话给 517517</v>
      </c>
      <c r="F6" s="16" t="str">
        <v>Y</v>
      </c>
      <c r="H6" s="60"/>
      <c r="I6" s="11" t="str">
        <v>拨打电话</v>
      </c>
      <c r="J6" s="139"/>
      <c r="M6" s="16" t="str">
        <v>✅</v>
      </c>
      <c r="N6" s="16" t="str">
        <v>✅</v>
      </c>
      <c r="P6" s="16" t="str">
        <v>✅</v>
      </c>
      <c r="Q6" s="150" t="str">
        <v>❌</v>
      </c>
      <c r="R6" s="16" t="str">
        <v>✅</v>
      </c>
      <c r="S6" s="16" t="str">
        <v>✅</v>
      </c>
      <c r="T6" s="16" t="str">
        <v>✅</v>
      </c>
      <c r="U6" s="16" t="str">
        <v>✅</v>
      </c>
      <c r="W6" s="16" t="str">
        <v>✅</v>
      </c>
      <c r="X6" s="11" t="inlineStr">
        <is>
          <r>
            <t>@郑永超</t>
          </r>
        </is>
      </c>
    </row>
    <row r="7" spans="1:24">
      <c r="A7" s="16" t="str">
        <v>蓝牙电话控制</v>
      </c>
      <c r="B7" s="168"/>
      <c r="C7" s="150" t="str">
        <v>确认拨打电话号码</v>
      </c>
      <c r="D7" s="150" t="str">
        <v>P1</v>
      </c>
      <c r="E7" s="16" t="str">
        <v>确认</v>
      </c>
      <c r="F7" s="164" t="str">
        <v>Y</v>
      </c>
      <c r="G7" s="164" t="str">
        <v>有语音的二次交互需求，显示方案待确认（“确认”在AI画布？）</v>
      </c>
      <c r="H7" s="60"/>
      <c r="I7" s="81" t="str">
        <v>拨打电话</v>
      </c>
      <c r="J7" s="139"/>
      <c r="M7" s="16" t="str">
        <v>✅</v>
      </c>
      <c r="N7" s="16" t="str">
        <v>✅</v>
      </c>
      <c r="P7" s="16" t="str">
        <v>✅</v>
      </c>
      <c r="R7" s="16" t="str">
        <v>✅</v>
      </c>
      <c r="S7" s="16" t="str">
        <v>✅</v>
      </c>
      <c r="T7" s="16" t="str">
        <v>✅</v>
      </c>
      <c r="U7" s="16" t="str">
        <v>✅</v>
      </c>
      <c r="W7" s="16" t="str">
        <v>✅</v>
      </c>
      <c r="X7" s="11" t="inlineStr">
        <is>
          <r>
            <t>@郑永超</t>
          </r>
        </is>
      </c>
    </row>
    <row r="8" spans="1:24">
      <c r="A8" s="16" t="str">
        <v>蓝牙电话控制</v>
      </c>
      <c r="B8" s="168"/>
      <c r="C8" s="150" t="str">
        <v>确认拨打电话号码</v>
      </c>
      <c r="D8" s="150" t="str">
        <v>P1</v>
      </c>
      <c r="E8" s="16" t="str">
        <v>你打吧</v>
      </c>
      <c r="F8" s="164" t="str">
        <v>Y</v>
      </c>
      <c r="G8" s="164" t="str">
        <v>有语音的二次交互需求，显示方案待确认（“确认”在AI画布？）</v>
      </c>
      <c r="H8" s="60"/>
      <c r="I8" s="81" t="str">
        <v>拨打电话</v>
      </c>
      <c r="J8" s="139"/>
      <c r="M8" s="16" t="str">
        <v>✅</v>
      </c>
      <c r="N8" s="16" t="str">
        <v>✅</v>
      </c>
      <c r="P8" s="16" t="str">
        <v>✅</v>
      </c>
      <c r="R8" s="16" t="str">
        <v>✅</v>
      </c>
      <c r="S8" s="16" t="str">
        <v>✅</v>
      </c>
      <c r="T8" s="16" t="str">
        <v>✅</v>
      </c>
      <c r="U8" s="16" t="str">
        <v>✅</v>
      </c>
      <c r="W8" s="16" t="str">
        <v>✅</v>
      </c>
      <c r="X8" s="11" t="inlineStr">
        <is>
          <r>
            <t>@郑永超</t>
          </r>
        </is>
      </c>
    </row>
    <row r="9" spans="1:24">
      <c r="A9" s="16" t="str">
        <v>蓝牙电话控制</v>
      </c>
      <c r="B9" s="168"/>
      <c r="C9" s="16" t="str">
        <v>纠错电话号码</v>
      </c>
      <c r="D9" s="163" t="str">
        <v>P0</v>
      </c>
      <c r="E9" s="16" t="str">
        <v>将 123 改成 124</v>
      </c>
      <c r="F9" s="164" t="str">
        <v>Y</v>
      </c>
      <c r="G9" s="164" t="str">
        <v>都是HMI的操作，不涉及ZoneApi</v>
      </c>
      <c r="H9" s="60"/>
      <c r="I9" s="12" t="str">
        <v>Planner处理</v>
      </c>
      <c r="J9" s="139"/>
      <c r="M9" s="11" t="str">
        <v>✅</v>
      </c>
      <c r="N9" s="11" t="str">
        <v>✅</v>
      </c>
      <c r="P9" s="16" t="str">
        <v>✅</v>
      </c>
      <c r="Q9" s="16" t="str">
        <v>✅</v>
      </c>
      <c r="R9" s="16" t="str">
        <v>✅</v>
      </c>
      <c r="S9" s="16" t="str">
        <v>✅</v>
      </c>
      <c r="T9" s="16" t="str">
        <v>✅</v>
      </c>
      <c r="U9" s="16" t="str">
        <v>✅</v>
      </c>
      <c r="W9" s="16" t="str">
        <v>✅</v>
      </c>
      <c r="X9" s="11" t="inlineStr">
        <is>
          <r>
            <t>@郑永超</t>
          </r>
        </is>
      </c>
    </row>
    <row r="10" spans="1:24">
      <c r="A10" s="16" t="str">
        <v>蓝牙电话控制</v>
      </c>
      <c r="B10" s="168"/>
      <c r="C10" s="16" t="str">
        <v>纠错电话号码</v>
      </c>
      <c r="D10" s="163" t="str">
        <v>P0</v>
      </c>
      <c r="E10" s="16" t="str">
        <v>将号码 127 改为 124</v>
      </c>
      <c r="F10" s="164" t="str">
        <v>Y</v>
      </c>
      <c r="G10" s="164" t="str">
        <v>都是HMI的操作，不涉及ZoneApi</v>
      </c>
      <c r="H10" s="60"/>
      <c r="I10" s="12" t="str">
        <v>Planner处理</v>
      </c>
      <c r="J10" s="139"/>
      <c r="M10" s="11" t="str">
        <v>✅</v>
      </c>
      <c r="N10" s="11" t="str">
        <v>✅</v>
      </c>
      <c r="P10" s="16" t="str">
        <v>✅</v>
      </c>
      <c r="Q10" s="16" t="str">
        <v>✅</v>
      </c>
      <c r="R10" s="16" t="str">
        <v>❌</v>
      </c>
      <c r="S10" s="16" t="str">
        <v>✅</v>
      </c>
      <c r="T10" s="16" t="str">
        <v>✅</v>
      </c>
      <c r="U10" s="16" t="str">
        <v>✅</v>
      </c>
      <c r="W10" s="16" t="str">
        <v>✅</v>
      </c>
      <c r="X10" s="11" t="inlineStr">
        <is>
          <r>
            <t>@郑永超</t>
          </r>
        </is>
      </c>
    </row>
    <row r="11" spans="1:24">
      <c r="A11" s="16" t="str">
        <v>蓝牙电话控制</v>
      </c>
      <c r="B11" s="168"/>
      <c r="C11" s="163" t="str">
        <v>语音拨打联系人</v>
      </c>
      <c r="D11" s="163" t="str">
        <v>P0</v>
      </c>
      <c r="E11" s="16" t="str">
        <v>打给张三</v>
      </c>
      <c r="F11" s="164" t="str">
        <v>Y</v>
      </c>
      <c r="G11" s="164" t="str">
        <v>无组合接口，需要调用查找的接口，找到对应号码后再发起拨号</v>
      </c>
      <c r="H11" s="60"/>
      <c r="I11" s="11" t="str">
        <v>拨打电话</v>
      </c>
      <c r="J11" s="139"/>
      <c r="M11" s="11" t="str">
        <v>✅</v>
      </c>
      <c r="N11" s="16" t="str">
        <v>✅</v>
      </c>
      <c r="P11" s="16" t="str">
        <v>✅</v>
      </c>
      <c r="Q11" s="150" t="str">
        <v>❌</v>
      </c>
      <c r="R11" s="16" t="str">
        <v>❌</v>
      </c>
      <c r="S11" s="16" t="str">
        <v>✅</v>
      </c>
      <c r="T11" s="16" t="str">
        <v>✅</v>
      </c>
      <c r="U11" s="16" t="str">
        <v>✅</v>
      </c>
      <c r="W11" s="16" t="str">
        <v>✅</v>
      </c>
      <c r="X11" s="11" t="inlineStr">
        <is>
          <r>
            <t>@郑永超</t>
          </r>
        </is>
      </c>
    </row>
    <row r="12" spans="1:24">
      <c r="A12" s="16" t="str">
        <v>蓝牙电话控制</v>
      </c>
      <c r="B12" s="168"/>
      <c r="C12" s="16" t="str">
        <v>选择具体的号码</v>
      </c>
      <c r="D12" s="16" t="str">
        <v>P1</v>
      </c>
      <c r="E12" s="16" t="str">
        <v>选择第二个</v>
      </c>
      <c r="F12" s="164" t="str">
        <v>Y</v>
      </c>
      <c r="H12" s="60"/>
      <c r="I12" s="218" t="str">
        <v>拨打电话</v>
      </c>
      <c r="J12" s="139"/>
      <c r="M12" s="11" t="str">
        <v>✅</v>
      </c>
      <c r="N12" s="16" t="str">
        <v>✅</v>
      </c>
      <c r="P12" s="16" t="str">
        <v>✅</v>
      </c>
      <c r="U12" s="16" t="str">
        <v>✅</v>
      </c>
      <c r="W12" s="16" t="str">
        <v>✅</v>
      </c>
      <c r="X12" s="11" t="inlineStr">
        <is>
          <r>
            <t>@郑永超</t>
          </r>
        </is>
      </c>
    </row>
    <row r="13" spans="1:24">
      <c r="A13" s="16" t="str">
        <v>蓝牙电话控制</v>
      </c>
      <c r="B13" s="168"/>
      <c r="C13" s="16" t="str">
        <v>重拨</v>
      </c>
      <c r="D13" s="150" t="str">
        <v>P1</v>
      </c>
      <c r="E13" s="16" t="str">
        <v>重拨，重新拨打上一个电话</v>
      </c>
      <c r="F13" s="164" t="str">
        <v>Y</v>
      </c>
      <c r="G13" s="164" t="str">
        <v>无组合接口，需要调用查找的接口，找到对应号码后再发起拨号</v>
      </c>
      <c r="H13" s="60"/>
      <c r="I13" s="12" t="str">
        <v>拨号控制</v>
      </c>
      <c r="J13" s="139"/>
      <c r="M13" s="11" t="str">
        <v>✅</v>
      </c>
      <c r="N13" s="11" t="str">
        <v>✅</v>
      </c>
      <c r="P13" s="16" t="str">
        <v>✅</v>
      </c>
      <c r="Q13" s="150" t="str">
        <v>Block</v>
      </c>
      <c r="R13" s="16" t="str">
        <v>✅</v>
      </c>
      <c r="S13" s="16" t="str">
        <v>✅</v>
      </c>
      <c r="T13" s="16" t="str">
        <v>✅</v>
      </c>
      <c r="U13" s="16" t="str">
        <v>✅</v>
      </c>
      <c r="W13" s="16" t="str">
        <v>✅</v>
      </c>
      <c r="X13" s="11" t="inlineStr">
        <is>
          <r>
            <t>@郑永超</t>
          </r>
        </is>
      </c>
    </row>
    <row r="14" spans="1:24">
      <c r="A14" s="16" t="str">
        <v>蓝牙电话控制</v>
      </c>
      <c r="B14" s="168"/>
      <c r="C14" s="16" t="str">
        <v>回拨</v>
      </c>
      <c r="D14" s="150" t="str">
        <v>P1</v>
      </c>
      <c r="E14" s="16" t="str">
        <v>回拨，回拨号码</v>
      </c>
      <c r="F14" s="164" t="str">
        <v>Y</v>
      </c>
      <c r="G14" s="164" t="str">
        <v>无组合接口，需要调用查找的接口，找到对应号码后再发起拨号</v>
      </c>
      <c r="H14" s="60"/>
      <c r="I14" s="12" t="str">
        <v>拨号控制</v>
      </c>
      <c r="J14" s="139"/>
      <c r="M14" s="11" t="str">
        <v>✅</v>
      </c>
      <c r="N14" s="11" t="str">
        <v>✅</v>
      </c>
      <c r="P14" s="16" t="str">
        <v>✅</v>
      </c>
      <c r="Q14" s="150" t="str">
        <v>Block</v>
      </c>
      <c r="R14" s="16" t="str">
        <v>❌</v>
      </c>
      <c r="S14" s="16" t="str">
        <v>✅</v>
      </c>
      <c r="T14" s="16" t="str">
        <v>✅</v>
      </c>
      <c r="U14" s="16" t="str">
        <v>✅</v>
      </c>
      <c r="W14" s="16" t="str">
        <v>✅</v>
      </c>
      <c r="X14" s="11" t="inlineStr">
        <is>
          <r>
            <t>@郑永超</t>
          </r>
        </is>
      </c>
    </row>
    <row r="15" spans="1:24">
      <c r="A15" s="16" t="str">
        <v>蓝牙电话控制</v>
      </c>
      <c r="B15" s="168"/>
      <c r="C15" s="16" t="str">
        <v>按号段 / 尾号拨打电话</v>
      </c>
      <c r="D15" s="163" t="str">
        <v>P0</v>
      </c>
      <c r="E15" s="16" t="str">
        <v>拨打张三 139 的号码
拨打张三尾号 4545 的号码</v>
      </c>
      <c r="F15" s="164" t="str">
        <v>Y</v>
      </c>
      <c r="G15" s="164" t="str">
        <v>无组合接口，需要调用查找的接口，找到对应号码后再发起拨号</v>
      </c>
      <c r="H15" s="60"/>
      <c r="I15" s="11" t="str">
        <v>拨打电话</v>
      </c>
      <c r="J15" s="139"/>
      <c r="M15" s="11" t="str">
        <v>✅</v>
      </c>
      <c r="N15" s="11" t="str">
        <v>✅</v>
      </c>
      <c r="P15" s="16" t="str">
        <v>✅</v>
      </c>
      <c r="Q15" s="150" t="str">
        <v>Block</v>
      </c>
      <c r="R15" s="16" t="str">
        <v>❌</v>
      </c>
      <c r="S15" s="16" t="str">
        <v>✅</v>
      </c>
      <c r="T15" s="16" t="str">
        <v>✅</v>
      </c>
      <c r="U15" s="16" t="str">
        <v>✅</v>
      </c>
      <c r="W15" s="16" t="str">
        <v>✅</v>
      </c>
      <c r="X15" s="11" t="inlineStr">
        <is>
          <r>
            <t>@郑永超</t>
          </r>
        </is>
      </c>
    </row>
    <row r="16" spans="1:24">
      <c r="A16" s="16" t="str">
        <v>蓝牙电话控制</v>
      </c>
      <c r="B16" s="168"/>
      <c r="C16" s="16" t="str">
        <v>按黄页拨打电话</v>
      </c>
      <c r="D16" s="150" t="str">
        <v>P1</v>
      </c>
      <c r="E16" s="16" t="str">
        <v>打电话给中国移动，打电话给肯德基</v>
      </c>
      <c r="F16" s="164" t="str">
        <v>Y</v>
      </c>
      <c r="G16" s="164" t="str">
        <v>同“拨打电话号码”</v>
      </c>
      <c r="H16" s="60"/>
      <c r="I16" s="12" t="str">
        <v>Planner处理</v>
      </c>
      <c r="J16" s="139"/>
      <c r="M16" s="11" t="str">
        <v>✅</v>
      </c>
      <c r="N16" s="11" t="str">
        <v>✅</v>
      </c>
      <c r="P16" s="16" t="str">
        <v>✅</v>
      </c>
      <c r="Q16" s="150" t="str">
        <v>Block</v>
      </c>
      <c r="R16" s="16" t="str">
        <v>✅</v>
      </c>
      <c r="S16" s="16" t="str">
        <v>✅</v>
      </c>
      <c r="T16" s="16" t="str">
        <v>✅</v>
      </c>
      <c r="U16" s="16" t="str">
        <v>✅</v>
      </c>
      <c r="W16" s="16" t="str">
        <v>✅</v>
      </c>
      <c r="X16" s="11" t="inlineStr">
        <is>
          <r>
            <t>@郑永超</t>
          </r>
        </is>
      </c>
    </row>
    <row r="17" spans="1:24">
      <c r="A17" s="16" t="str">
        <v>蓝牙电话控制</v>
      </c>
      <c r="B17" s="168"/>
      <c r="C17" s="16" t="str">
        <v>语音取消拨打电话</v>
      </c>
      <c r="D17" s="150" t="str">
        <v>P1</v>
      </c>
      <c r="E17" s="16" t="str">
        <v>取消拨打，不要打了</v>
      </c>
      <c r="F17" s="16" t="str">
        <v>Y</v>
      </c>
      <c r="H17" s="60"/>
      <c r="I17" s="11" t="str">
        <v>拨打电话</v>
      </c>
      <c r="J17" s="139"/>
      <c r="M17" s="11" t="str">
        <v>✅</v>
      </c>
      <c r="N17" s="11" t="str">
        <v>✅</v>
      </c>
      <c r="P17" s="16" t="str">
        <v>✅</v>
      </c>
      <c r="Q17" s="150" t="str">
        <v>Block</v>
      </c>
      <c r="R17" s="16" t="str">
        <v>✅</v>
      </c>
      <c r="S17" s="16" t="str">
        <v>✅</v>
      </c>
      <c r="T17" s="16" t="str">
        <v>✅</v>
      </c>
      <c r="U17" s="16" t="str">
        <v>✅</v>
      </c>
      <c r="W17" s="16" t="str">
        <v>✅</v>
      </c>
      <c r="X17" s="11" t="inlineStr">
        <is>
          <r>
            <t>@郑永超</t>
          </r>
        </is>
      </c>
    </row>
    <row r="18" spans="1:24">
      <c r="A18" s="16" t="str">
        <v>蓝牙电话控制</v>
      </c>
      <c r="B18" s="168"/>
      <c r="C18" s="163" t="str">
        <v>语音接听电话</v>
      </c>
      <c r="D18" s="163" t="str">
        <v>P0</v>
      </c>
      <c r="E18" s="16" t="str">
        <v>接听，接电话</v>
      </c>
      <c r="F18" s="16" t="str">
        <v>Y</v>
      </c>
      <c r="H18" s="60"/>
      <c r="I18" s="11" t="str">
        <v>拨号控制</v>
      </c>
      <c r="J18" s="139"/>
      <c r="L18" s="11" t="str">
        <v>public int acceptCall（String address）</v>
      </c>
      <c r="M18" s="11" t="str">
        <v>✅</v>
      </c>
      <c r="N18" s="16" t="str">
        <v>✅</v>
      </c>
      <c r="P18" s="16" t="str">
        <v>✅</v>
      </c>
      <c r="Q18" s="150" t="str">
        <v>❌</v>
      </c>
      <c r="R18" s="16" t="str">
        <v>✅</v>
      </c>
      <c r="S18" s="16" t="str">
        <v>✅</v>
      </c>
      <c r="T18" s="16" t="str">
        <v>✅</v>
      </c>
      <c r="U18" s="16" t="str">
        <v>✅</v>
      </c>
      <c r="W18" s="16" t="str">
        <v>✅</v>
      </c>
      <c r="X18" s="11" t="inlineStr">
        <is>
          <r>
            <t>@郑永超</t>
          </r>
        </is>
      </c>
    </row>
    <row r="19" spans="1:24">
      <c r="A19" s="16" t="str">
        <v>蓝牙电话控制</v>
      </c>
      <c r="B19" s="168"/>
      <c r="C19" s="163" t="str">
        <v>语音拒接电话</v>
      </c>
      <c r="D19" s="163" t="str">
        <v>P0</v>
      </c>
      <c r="E19" s="16" t="str">
        <v>挂断</v>
      </c>
      <c r="F19" s="16" t="str">
        <v>Y</v>
      </c>
      <c r="H19" s="60"/>
      <c r="I19" s="11" t="str">
        <v>拨号控制</v>
      </c>
      <c r="J19" s="139"/>
      <c r="L19" s="11" t="str">
        <v>public int terminateCall（String address）</v>
      </c>
      <c r="M19" s="11" t="str">
        <v>✅</v>
      </c>
      <c r="N19" s="16" t="str">
        <v>✅</v>
      </c>
      <c r="P19" s="16" t="str">
        <v>✅</v>
      </c>
      <c r="Q19" s="150" t="str">
        <v>❌</v>
      </c>
      <c r="R19" s="150" t="str">
        <v>❌</v>
      </c>
      <c r="S19" s="150" t="str">
        <v>❌</v>
      </c>
      <c r="T19" s="150" t="str">
        <v>❌</v>
      </c>
      <c r="U19" s="16" t="str">
        <v>✅</v>
      </c>
      <c r="V19" s="16" t="str">
        <v>✅</v>
      </c>
      <c r="W19" s="16" t="str">
        <v>✅</v>
      </c>
      <c r="X19" s="11" t="inlineStr">
        <is>
          <r>
            <t>@郑永超</t>
          </r>
        </is>
      </c>
    </row>
    <row r="20" spans="1:24">
      <c r="A20" s="16" t="str">
        <v>蓝牙电话控制</v>
      </c>
      <c r="B20" s="168"/>
      <c r="C20" s="150" t="str">
        <v>语音拒接电话</v>
      </c>
      <c r="D20" s="150" t="str">
        <v>P1</v>
      </c>
      <c r="E20" s="16" t="str">
        <v>拒接</v>
      </c>
      <c r="F20" s="16" t="str">
        <v>Y</v>
      </c>
      <c r="H20" s="60"/>
      <c r="I20" s="218" t="str">
        <v>拨号控制</v>
      </c>
      <c r="J20" s="139"/>
      <c r="L20" s="11" t="str">
        <v>public int rejectCall（String address）</v>
      </c>
      <c r="M20" s="11" t="str">
        <v>✅</v>
      </c>
      <c r="N20" s="16" t="str">
        <v>✅</v>
      </c>
      <c r="P20" s="16" t="str">
        <v>✅</v>
      </c>
      <c r="Q20" s="150" t="str">
        <v>❌</v>
      </c>
      <c r="R20" s="16" t="str">
        <v>✅</v>
      </c>
      <c r="S20" s="16" t="str">
        <v>✅</v>
      </c>
      <c r="T20" s="16" t="str">
        <v>✅</v>
      </c>
      <c r="U20" s="16" t="str">
        <v>✅</v>
      </c>
      <c r="W20" s="16" t="str">
        <v>✅</v>
      </c>
      <c r="X20" s="11" t="inlineStr">
        <is>
          <r>
            <t>@郑永超</t>
          </r>
        </is>
      </c>
    </row>
    <row r="21" spans="1:24">
      <c r="A21" s="16" t="str">
        <v>蓝牙电话控制</v>
      </c>
      <c r="B21" s="168"/>
      <c r="C21" s="16" t="str">
        <v>同步通讯录 / 通话记录</v>
      </c>
      <c r="D21" s="150" t="str">
        <v>P1</v>
      </c>
      <c r="E21" s="16" t="str">
        <v>同步通讯录，同步通话记录</v>
      </c>
      <c r="F21" s="16" t="str">
        <v>Y</v>
      </c>
      <c r="H21" s="60"/>
      <c r="I21" s="12" t="str">
        <v>同步通讯录</v>
      </c>
      <c r="J21" s="139"/>
      <c r="M21" s="11" t="str">
        <v>✅</v>
      </c>
      <c r="N21" s="11" t="str">
        <v>✅</v>
      </c>
      <c r="P21" s="16" t="str">
        <v>✅</v>
      </c>
      <c r="Q21" s="150" t="str">
        <v>❌</v>
      </c>
      <c r="R21" s="150" t="str">
        <v>❌</v>
      </c>
      <c r="S21" s="16" t="str">
        <v>✅</v>
      </c>
      <c r="T21" s="16" t="str">
        <v>✅</v>
      </c>
      <c r="U21" s="16" t="str">
        <v>✅</v>
      </c>
      <c r="W21" s="16" t="str">
        <v>✅</v>
      </c>
      <c r="X21" s="11" t="inlineStr">
        <is>
          <r>
            <t>@郑永超</t>
          </r>
        </is>
      </c>
    </row>
    <row r="22" spans="1:24">
      <c r="A22" s="16" t="str">
        <v>蓝牙电话控制</v>
      </c>
      <c r="B22" s="168"/>
      <c r="C22" s="16" t="str">
        <v>查看通讯录 / 通话记录</v>
      </c>
      <c r="D22" s="163" t="str">
        <v>P0</v>
      </c>
      <c r="E22" s="16" t="str">
        <v>查看通讯录，查看通话记录</v>
      </c>
      <c r="F22" s="16" t="str">
        <v>Y</v>
      </c>
      <c r="H22" s="60"/>
      <c r="I22" s="12" t="str">
        <v>通讯页面开关</v>
      </c>
      <c r="J22" s="139"/>
      <c r="M22" s="11" t="str">
        <v>✅</v>
      </c>
      <c r="N22" s="11" t="str">
        <v>✅</v>
      </c>
      <c r="P22" s="16" t="str">
        <v>✅</v>
      </c>
      <c r="Q22" s="179" t="str">
        <v>❌</v>
      </c>
      <c r="R22" s="16" t="str">
        <v>✅</v>
      </c>
      <c r="S22" s="16" t="str">
        <v>✅</v>
      </c>
      <c r="T22" s="16" t="str">
        <v>✅</v>
      </c>
      <c r="U22" s="16" t="str">
        <v>✅</v>
      </c>
      <c r="W22" s="16" t="str">
        <v>✅</v>
      </c>
      <c r="X22" s="11" t="inlineStr">
        <is>
          <r>
            <t>@郑永超</t>
          </r>
        </is>
      </c>
    </row>
    <row r="23" spans="1:24">
      <c r="A23" s="16" t="str">
        <v>蓝牙电话控制</v>
      </c>
      <c r="B23" s="168"/>
      <c r="C23" s="16" t="str">
        <v>查找联系人电话</v>
      </c>
      <c r="D23" s="163" t="str">
        <v>P0</v>
      </c>
      <c r="E23" s="16" t="str">
        <v>查找张三的电话，查一下张三的号码</v>
      </c>
      <c r="F23" s="16" t="str">
        <v>Y</v>
      </c>
      <c r="H23" s="60"/>
      <c r="I23" s="12" t="str">
        <v>号码查询</v>
      </c>
      <c r="J23" s="139"/>
      <c r="M23" s="11" t="str">
        <v>✅</v>
      </c>
      <c r="N23" s="11" t="str">
        <v>✅</v>
      </c>
      <c r="P23" s="16" t="str">
        <v>✅</v>
      </c>
      <c r="Q23" s="150" t="str">
        <v>Block</v>
      </c>
      <c r="R23" s="150" t="str">
        <v>❌</v>
      </c>
      <c r="S23" s="16" t="str">
        <v>✅</v>
      </c>
      <c r="T23" s="16" t="str">
        <v>✅</v>
      </c>
      <c r="U23" s="16" t="str">
        <v>✅</v>
      </c>
      <c r="W23" s="16" t="str">
        <v>✅</v>
      </c>
      <c r="X23" s="11" t="inlineStr">
        <is>
          <r>
            <t>@郑永超</t>
          </r>
        </is>
      </c>
    </row>
    <row r="24" spans="1:24">
      <c r="A24" s="16" t="str">
        <v>蓝牙电话控制</v>
      </c>
      <c r="B24" s="168"/>
      <c r="C24" s="16" t="str">
        <v>打开蓝牙电话页面</v>
      </c>
      <c r="D24" s="150" t="str">
        <v>P1</v>
      </c>
      <c r="E24" s="16" t="str">
        <v>打开蓝牙电话，进入蓝牙电话</v>
      </c>
      <c r="F24" s="164" t="str">
        <v>Y</v>
      </c>
      <c r="G24" s="164" t="str">
        <v>原生打开app接口，不涉及ZoneApi</v>
      </c>
      <c r="H24" s="60"/>
      <c r="I24" s="157" t="str">
        <v>指定应用打开</v>
      </c>
      <c r="J24" s="139"/>
      <c r="M24" s="11" t="str">
        <v>✅</v>
      </c>
      <c r="N24" s="11" t="str">
        <v>✅</v>
      </c>
      <c r="P24" s="16" t="str">
        <v>✅</v>
      </c>
      <c r="Q24" s="150" t="str">
        <v>Block</v>
      </c>
      <c r="R24" s="150" t="str">
        <v>❌</v>
      </c>
      <c r="S24" s="16" t="str">
        <v>✅</v>
      </c>
      <c r="T24" s="16" t="str">
        <v>✅</v>
      </c>
      <c r="U24" s="16" t="str">
        <v>✅</v>
      </c>
      <c r="W24" s="16" t="str">
        <v>✅</v>
      </c>
      <c r="X24" s="11" t="inlineStr">
        <is>
          <r>
            <t>@郑永超</t>
          </r>
        </is>
      </c>
    </row>
    <row r="25" spans="1:24">
      <c r="A25" s="16" t="str">
        <v>蓝牙电话控制</v>
      </c>
      <c r="B25" s="30"/>
      <c r="C25" s="16" t="str">
        <v>退出蓝牙电话页面</v>
      </c>
      <c r="D25" s="150" t="str">
        <v>P1</v>
      </c>
      <c r="E25" s="16" t="str">
        <v>退出蓝牙电话</v>
      </c>
      <c r="F25" s="164" t="str">
        <v>Y</v>
      </c>
      <c r="G25" s="164" t="str">
        <v>不涉及ZoneApi，拉起其他app（如退出到桌面，拉起桌面即可）</v>
      </c>
      <c r="H25" s="110"/>
      <c r="I25" s="160"/>
      <c r="J25" s="156"/>
      <c r="M25" s="11" t="str">
        <v>✅</v>
      </c>
      <c r="N25" s="11" t="str">
        <v>✅</v>
      </c>
      <c r="P25" s="16" t="str">
        <v>✅</v>
      </c>
      <c r="Q25" s="150" t="str">
        <v>Block</v>
      </c>
      <c r="R25" s="150" t="str">
        <v>❌</v>
      </c>
      <c r="S25" s="150" t="str">
        <v>❌</v>
      </c>
      <c r="T25" s="16" t="str">
        <v>✅</v>
      </c>
      <c r="U25" s="16" t="str">
        <v>✅</v>
      </c>
      <c r="W25" s="16" t="str">
        <v>✅</v>
      </c>
      <c r="X25" s="11" t="inlineStr">
        <is>
          <r>
            <t>@郑永超</t>
          </r>
        </is>
      </c>
    </row>
    <row r="26" spans="1:24">
      <c r="A26" s="11" t="str">
        <v>车主直呼（视频通话）</v>
      </c>
      <c r="B26" s="46" t="str">
        <v>车主直呼（视频通话）</v>
      </c>
      <c r="C26" s="11" t="str">
        <v>拨打视频</v>
      </c>
      <c r="D26" s="11" t="str">
        <v>P1</v>
      </c>
      <c r="E26" s="11" t="str">
        <v>车主直呼/拨打视频</v>
      </c>
      <c r="F26" s="200" t="str">
        <v>Y</v>
      </c>
      <c r="G26" s="61" t="str">
        <v>车主直呼 SDK 接入文档.docx
cardirectcall-1.0.0.2-20260609.014325-1.aar:https://internal-api-drive-stream.larkoffice.com/space/api/box/stream/download/preview/Wv6obGzTaoYBmyxUAobcC0zZnOe?mount_point=docx_file&amp;preview_type=16</v>
      </c>
      <c r="I26" s="174" t="str">
        <v>视频通话</v>
      </c>
      <c r="J26" s="61" t="str">
        <v>【车主直呼】Vehicle_Platform1.0_IS4PR_Yu_Yin_Kong_Zhi_IS4PR_Yu_Yin_Kong_Zhi_Yuan_Cheng_Yin_Shi_Pin_Tong_Hua.pdf</v>
      </c>
      <c r="X26" s="11" t="inlineStr">
        <is>
          <r>
            <t>@郑永超</t>
          </r>
        </is>
      </c>
    </row>
    <row r="27" spans="1:24">
      <c r="A27" s="11" t="str">
        <v>车主直呼（视频通话）</v>
      </c>
      <c r="B27" s="110"/>
      <c r="C27" s="11" t="str">
        <v>拨打指定人视频</v>
      </c>
      <c r="D27" s="11" t="str">
        <v>P1</v>
      </c>
      <c r="E27" s="11" t="str">
        <v>打视频给车主/妈妈/爸爸/家长</v>
      </c>
      <c r="F27" s="200" t="str">
        <v>Y</v>
      </c>
      <c r="G27" s="156"/>
      <c r="I27" s="175"/>
      <c r="J27" s="156"/>
      <c r="X27" s="11" t="inlineStr">
        <is>
          <r>
            <t>@郑永超</t>
          </r>
        </is>
      </c>
    </row>
  </sheetData>
  <mergeCells count="8">
    <mergeCell ref="J2:J25"/>
    <mergeCell ref="H2:H25"/>
    <mergeCell ref="B2:B25"/>
    <mergeCell ref="I24:I25"/>
    <mergeCell ref="G26:G27"/>
    <mergeCell ref="J26:J27"/>
    <mergeCell ref="B26:B27"/>
    <mergeCell ref="I26:I27"/>
  </mergeCells>
  <hyperlinks>
    <hyperlink ref="J2" r:id="rId1"/>
    <hyperlink ref="G26" r:id="rId2"/>
    <hyperlink ref="J26" r:id="rId3"/>
  </hyperlink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9.857142857142858" style="1" customWidth="1"/>
    <col min="2" max="4" width="19.952380670520338" style="1" customWidth="1"/>
    <col min="5" max="5" width="39.714285714285715" style="1" customWidth="1"/>
    <col min="6" max="20" width="19.952380670520338" style="1" customWidth="1"/>
    <col min="21" max="21" width="19.857142857142858" style="1" customWidth="1"/>
    <col min="22" max="27" width="19.952380670520338" style="1" customWidth="1"/>
  </cols>
  <sheetData>
    <row r="1" spans="1:27">
      <c r="A1" s="269" t="str">
        <v>功能名称</v>
      </c>
      <c r="B1" s="163" t="str">
        <v>功能名称</v>
      </c>
      <c r="C1" s="163" t="str">
        <v>二级功能名称</v>
      </c>
      <c r="D1" s="163" t="str">
        <v>优先级</v>
      </c>
      <c r="E1" s="163" t="str">
        <v>语音指令示例</v>
      </c>
      <c r="F1" s="163" t="inlineStr">
        <is>
          <r>
            <t>上汽接口是否支持</t>
          </r>
          <r>
            <t>@周怀君</t>
          </r>
        </is>
      </c>
      <c r="G1" s="163" t="str">
        <v>上汽排期</v>
      </c>
      <c r="H1" s="163" t="inlineStr">
        <is>
          <r>
            <t>PPV1实车状态</t>
          </r>
          <r>
            <t>@方令平</t>
          </r>
        </is>
      </c>
      <c r="I1" s="163" t="inlineStr">
        <is>
          <r>
            <t>FC函数</t>
          </r>
          <r>
            <t>@左晨</t>
          </r>
        </is>
      </c>
      <c r="J1" s="163" t="inlineStr">
        <is>
          <r>
            <t xml:space="preserve">控制PRD </t>
          </r>
          <r>
            <t>@左晨</t>
          </r>
        </is>
      </c>
      <c r="K1" s="163" t="inlineStr">
        <is>
          <r>
            <t xml:space="preserve">端状态PRD </t>
          </r>
          <r>
            <t>@陈西钺</t>
          </r>
        </is>
      </c>
      <c r="L1" s="163" t="inlineStr">
        <is>
          <r>
            <t>接口识别</t>
          </r>
          <r>
            <t>@汪帅</t>
          </r>
        </is>
      </c>
      <c r="M1" s="163" t="inlineStr">
        <is>
          <r>
            <t>研发进展</t>
          </r>
          <r>
            <t>@汪帅</t>
          </r>
        </is>
      </c>
      <c r="N1" s="163" t="inlineStr">
        <is>
          <r>
            <t>研发备注</t>
          </r>
          <r>
            <t>@汪帅</t>
          </r>
        </is>
      </c>
      <c r="O1" s="163" t="inlineStr">
        <is>
          <r>
            <t xml:space="preserve">测试用例 </t>
          </r>
          <r>
            <t>@赵晓健</t>
          </r>
        </is>
      </c>
      <c r="P1" s="163" t="inlineStr">
        <is>
          <r>
            <t xml:space="preserve">测试进展 </t>
          </r>
          <r>
            <t>@赵晓健</t>
          </r>
        </is>
      </c>
      <c r="Q1" s="163" t="str">
        <v>0427测试结果</v>
      </c>
      <c r="R1" s="163" t="str">
        <v>0519测试结果</v>
      </c>
      <c r="S1" s="163" t="str">
        <v>测试QA</v>
      </c>
      <c r="T1" s="163" t="inlineStr">
        <is>
          <r>
            <t xml:space="preserve">产品走查进展 </t>
          </r>
          <r>
            <t>@左晨</t>
          </r>
        </is>
      </c>
      <c r="U1" s="163" t="str">
        <v>产品走查备注</v>
      </c>
      <c r="Y1" s="165" t="str">
        <v>当前责任方</v>
      </c>
      <c r="Z1" s="165" t="str">
        <v>当前责任人</v>
      </c>
      <c r="AA1" s="165" t="str">
        <v>问题分类</v>
      </c>
    </row>
    <row r="2" spans="1:19">
      <c r="A2" s="16" t="str">
        <v>自动泊车控制</v>
      </c>
      <c r="B2" s="166" t="str">
        <v>自动泊车控制</v>
      </c>
      <c r="C2" s="16" t="str">
        <v>自动泊入</v>
      </c>
      <c r="D2" s="16" t="str">
        <v>P1</v>
      </c>
      <c r="E2" s="16" t="str">
        <v>帮我泊入
开始泊入
帮我停车
帮我车头泊入</v>
      </c>
      <c r="F2" s="16" t="str">
        <v>NA</v>
      </c>
      <c r="G2" s="255" t="str">
        <v>0702 怀君反馈改NA</v>
      </c>
      <c r="H2" s="46" t="str">
        <v>❌</v>
      </c>
      <c r="I2" s="24" t="str">
        <v>泊入泊出操作</v>
      </c>
      <c r="J2" s="61" t="str">
        <v>【自动泊车0318】Vehicle_Platform1.0_IS4PR_Yu_Yin_Kong_Zhi_IS4PR_Yu_Yin_Kong_Zhi_Zi_Dong_Bo_Che.pdf
乘用车_语音控制自动泊车_Flow Chart .pdf:https://internal-api-drive-stream.larkoffice.com/space/api/box/stream/download/preview/FtWebYELrolA83xKevWctbf3nFc?mount_point=docx_file&amp;preview_type=16</v>
      </c>
      <c r="L2" s="46" t="inlineStr">
        <is>
          <r>
            <rPr>
              <strike/>
              <sz val="10"/>
              <rFont val="Arial"/>
            </rPr>
            <t xml:space="preserve">1、缺少泊车控制相关的 api（缺少SDK ）
2、缺少一键贴边 api
3、 缺少一键循迹 api
</t>
          </r>
          <r>
            <rPr>
              <sz val="10"/>
              <rFont val="Arial"/>
            </rPr>
            <t xml:space="preserve">4、缺少收藏车位相关的api 
</t>
          </r>
          <r>
            <rPr>
              <strike/>
              <sz val="10"/>
              <rFont val="Arial"/>
            </rPr>
            <t xml:space="preserve">5、缺少打开泊车app界面,（需要判断该界面是否在前台、界面中是否有泊入和泊出按钮）
</t>
          </r>
          <r>
            <rPr>
              <sz val="10"/>
              <rFont val="Arial"/>
            </rPr>
            <t xml:space="preserve">6、缺少判断当前车位是否支持车头或车尾泊入的api                 7、查询泊车停车位数量的接口  
8、选择指定泊车停车位的接口  
9、泊出有暂停后继续的接口
10、获取泊出的状态，是否为暂停状态下</t>
          </r>
        </is>
      </c>
      <c r="S2" s="11" t="inlineStr">
        <is>
          <r>
            <t>@刘晓帝</t>
          </r>
        </is>
      </c>
    </row>
    <row r="3" spans="1:19">
      <c r="A3" s="16" t="str">
        <v>自动泊车控制</v>
      </c>
      <c r="B3" s="168"/>
      <c r="C3" s="16" t="str">
        <v>自动泊出</v>
      </c>
      <c r="D3" s="16" t="str">
        <v>P1</v>
      </c>
      <c r="E3" s="16" t="str">
        <v>帮我泊出
开始泊出</v>
      </c>
      <c r="F3" s="16" t="str">
        <v>NA</v>
      </c>
      <c r="G3" s="270"/>
      <c r="H3" s="60"/>
      <c r="I3" s="24" t="str">
        <v>泊入泊出操作</v>
      </c>
      <c r="J3" s="139"/>
      <c r="L3" s="110"/>
      <c r="S3" s="11" t="inlineStr">
        <is>
          <r>
            <t>@刘晓帝</t>
          </r>
        </is>
      </c>
    </row>
    <row r="4" spans="1:19">
      <c r="A4" s="16" t="str">
        <v>自动泊车控制</v>
      </c>
      <c r="B4" s="168"/>
      <c r="C4" s="16" t="str">
        <v>一键贴边</v>
      </c>
      <c r="D4" s="16" t="str">
        <v>P1</v>
      </c>
      <c r="E4" s="16" t="str">
        <v>帮我一键贴边
靠边停车
帮我侧方停车</v>
      </c>
      <c r="F4" s="16" t="str">
        <v>NA</v>
      </c>
      <c r="G4" s="270"/>
      <c r="H4" s="60"/>
      <c r="I4" s="24" t="str">
        <v>靠边停车</v>
      </c>
      <c r="J4" s="139"/>
      <c r="N4" s="46" t="str">
        <v>该功能实车不支持</v>
      </c>
      <c r="S4" s="11" t="inlineStr">
        <is>
          <r>
            <t>@刘晓帝</t>
          </r>
        </is>
      </c>
    </row>
    <row r="5" spans="1:19">
      <c r="A5" s="16" t="str">
        <v>自动泊车控制</v>
      </c>
      <c r="B5" s="168"/>
      <c r="C5" s="16" t="str">
        <v>一键循迹</v>
      </c>
      <c r="D5" s="16" t="str">
        <v>P1</v>
      </c>
      <c r="E5" s="16" t="str">
        <v>开始一键循迹
帮倒出去</v>
      </c>
      <c r="F5" s="16" t="str">
        <v>NA</v>
      </c>
      <c r="G5" s="270"/>
      <c r="H5" s="60"/>
      <c r="I5" s="24" t="str">
        <v>原路倒车</v>
      </c>
      <c r="J5" s="139"/>
      <c r="N5" s="110"/>
      <c r="S5" s="11" t="inlineStr">
        <is>
          <r>
            <t>@刘晓帝</t>
          </r>
        </is>
      </c>
    </row>
    <row r="6" spans="1:19">
      <c r="A6" s="16" t="str">
        <v>自动泊车控制</v>
      </c>
      <c r="B6" s="168"/>
      <c r="C6" s="16" t="str">
        <v>记忆泊车</v>
      </c>
      <c r="D6" s="16" t="str">
        <v>P1</v>
      </c>
      <c r="E6" s="16" t="str">
        <v>打开记忆泊车
启动记忆泊车</v>
      </c>
      <c r="F6" s="16" t="str">
        <v>NA</v>
      </c>
      <c r="G6" s="256"/>
      <c r="H6" s="60"/>
      <c r="I6" s="24" t="str">
        <v>记忆泊车开关</v>
      </c>
      <c r="J6" s="139"/>
      <c r="L6" s="11" t="str">
        <v>1.缺少查询当前车库是否有匹配地图的接口
2.需要查询收藏的车位的接口
3.泊车选择某个收藏的车位接口</v>
      </c>
      <c r="S6" s="11" t="inlineStr">
        <is>
          <r>
            <t>@刘晓帝</t>
          </r>
        </is>
      </c>
    </row>
    <row r="7" spans="1:19">
      <c r="A7" s="16" t="str">
        <v>自动泊车控制</v>
      </c>
      <c r="B7" s="168"/>
      <c r="C7" s="16" t="str">
        <v>打开自动泊车 APP</v>
      </c>
      <c r="D7" s="16" t="str">
        <v>P0</v>
      </c>
      <c r="E7" s="16" t="str">
        <v>打开全景泊车辅助
关闭全景泊车辅助
打开泊车辅助
关闭泊车辅助</v>
      </c>
      <c r="F7" s="16" t="str">
        <v>Y</v>
      </c>
      <c r="G7" s="164" t="str">
        <v>AvmManager avmManager = AvmManager.getInstance();
avmManager.init(context);
avmManager.setAvmViewStatus(sourceId, AvmStatus);
sourceId参见 com.zone.api.avm.type.SourceID
AvmStatus参见 com.zone.api.avm.type.Avm
sourceId就填 SourceID.ID_SPEECH</v>
      </c>
      <c r="H7" s="60"/>
      <c r="I7" s="11" t="str">
        <v>全景影像开关</v>
      </c>
      <c r="J7" s="139"/>
      <c r="M7" s="11" t="str">
        <v>✅</v>
      </c>
      <c r="N7" s="11" t="str">
        <v>✅</v>
      </c>
      <c r="P7" s="11" t="str">
        <v>✅</v>
      </c>
      <c r="R7" s="11" t="str">
        <v>✅</v>
      </c>
      <c r="S7" s="11" t="inlineStr">
        <is>
          <r>
            <t>@刘晓帝</t>
          </r>
        </is>
      </c>
    </row>
    <row r="8" spans="1:19">
      <c r="A8" s="16" t="str">
        <v>自动泊车控制</v>
      </c>
      <c r="B8" s="168"/>
      <c r="C8" s="16" t="str">
        <v>控制 PDC 雷达静音开关 - 打开</v>
      </c>
      <c r="D8" s="16" t="str">
        <v>P1</v>
      </c>
      <c r="E8" s="16" t="str">
        <v>打开 PDC 雷达静音开关</v>
      </c>
      <c r="F8" s="164" t="str">
        <v>NA（需求收缩，不需要了-0730）</v>
      </c>
      <c r="G8" s="255" t="str">
        <v>初始化
AvmManager avmManager = AvmManager.getInstance();
avmManager.init(context);
使用
avmManager.getPDCAudioStatus()
avmManager.setPDCAudioStatus(Status)
//status参见PDCAudioSysID类
avmManager.registerAvmStatusListener
//AvmStatusListener类中覆盖onAvmPDCAudioStatusChange方法接收变化回调
销毁
avmManager.release()</v>
      </c>
      <c r="H8" s="60"/>
      <c r="I8" s="214" t="str">
        <v>静音开关</v>
      </c>
      <c r="J8" s="139"/>
      <c r="L8" s="122" t="str">
        <v>04.21:实车PDC雷达静音开关不可用 =》 上汽反馈明天弄好 =》 04.22：实车测试PDC雷达静音开关还是不可用 =》上汽反馈需要到8月30才能完成该功能</v>
      </c>
      <c r="S8" s="11" t="inlineStr">
        <is>
          <r>
            <t>@刘晓帝</t>
          </r>
        </is>
      </c>
    </row>
    <row r="9" spans="1:19">
      <c r="A9" s="16" t="str">
        <v>自动泊车控制</v>
      </c>
      <c r="B9" s="30"/>
      <c r="C9" s="16" t="str">
        <v>控制 PDC 雷达静音开关 - 关闭</v>
      </c>
      <c r="D9" s="16" t="str">
        <v>P1</v>
      </c>
      <c r="E9" s="16" t="str">
        <v>关闭 PDC 雷达静音开关</v>
      </c>
      <c r="F9" s="164" t="str">
        <v>NA（需求收缩，不需要了-0730）</v>
      </c>
      <c r="G9" s="256"/>
      <c r="H9" s="60"/>
      <c r="I9" s="216"/>
      <c r="J9" s="156"/>
      <c r="L9" s="190"/>
      <c r="S9" s="11" t="inlineStr">
        <is>
          <r>
            <t>@刘晓帝</t>
          </r>
        </is>
      </c>
    </row>
    <row r="10" spans="1:23">
      <c r="A10" s="16" t="str">
        <v>智驾行车控制</v>
      </c>
      <c r="B10" s="166" t="str">
        <v>智驾行车控制</v>
      </c>
      <c r="C10" s="16" t="str">
        <v>巡航速度调节</v>
      </c>
      <c r="D10" s="16" t="str">
        <v>P0</v>
      </c>
      <c r="E10" s="16" t="str">
        <v>巡航速度快点/慢点
巡航速度设置为XX
开快一点/开慢一点
车速设为60</v>
      </c>
      <c r="F10" s="164" t="str">
        <v>Y</v>
      </c>
      <c r="G10" s="200" t="str">
        <v>ACCDrvrSelTrgtSpd 
IAdsInterface
/**
ACC目标车速获取
PermissionRequest(permissions = { zone.permission.vehicle.DEVICE_GET })
@param result {@link IntResult#getResult()}
@return {@link ResultCode}
*/
@ResultCode
int getAccDrvrSelTrgtSpd(@NonNull FloatResult result);
AdsCallbackFlag.ACC_DRVR_SEL_TRGT_SPD
IAdsCallback
/**
ACC目标车速（Float结果）更新通知
*
@param result &lt;br&gt;{@link IntResult#getResult()} {@link AdsDrivingMode}&lt;br&gt;
返回结果码 {@link IntResult#getCode()} {@link com.zone.api.vehicle.common.result.ResultCode}
*/
default void onAccDrvrSelTrgtSpdChanged(FloatResult result) { // TODO: 21-4-19 logic will be implemented by client. }</v>
      </c>
      <c r="H10" s="60"/>
      <c r="I10" s="11" t="str">
        <v>车速控制</v>
      </c>
      <c r="J10" s="61" t="str">
        <v>【智驾行车0313】Vehicle_Platform1.0_IS4PR_Yu_Yin_Kong_Zhi_Yu_Yin_Kong_Zhi_Zhi_Jia_Xing_Che_Gong_Neng.pdf</v>
      </c>
      <c r="L10" s="11" t="str">
        <v>Y</v>
      </c>
      <c r="M10" s="11" t="str">
        <v>✅</v>
      </c>
      <c r="N10" s="11" t="str">
        <v>✅</v>
      </c>
      <c r="S10" s="11" t="inlineStr">
        <is>
          <r>
            <t>@刘晓帝</t>
          </r>
        </is>
      </c>
      <c r="W10" s="164" t="str">
        <v>ACCDrvrSelTrgtSpd 
IAdsInterface
/**
ACC目标车速获取
PermissionRequest(permissions = { zone.permission.vehicle.DEVICE_GET })
@param result {@link IntResult#getResult()}
@return {@link ResultCode}
*/
@ResultCode
int getAccDrvrSelTrgtSpd(@NonNull FloatResult result);
AdsCallbackFlag.ACC_DRVR_SEL_TRGT_SPD
IAdsCallback
/**
ACC目标车速（Float结果）更新通知
*
@param result &lt;br&gt;{@link IntResult#getResult()} {@link AdsDrivingMode}&lt;br&gt;
返回结果码 {@link IntResult#getCode()} {@link com.zone.api.vehicle.common.result.ResultCode}
*/
default void onAccDrvrSelTrgtSpdChanged(FloatResult result) { // TODO: 21-4-19 logic will be implemented by client. }</v>
      </c>
    </row>
    <row r="11" spans="1:23">
      <c r="A11" s="16" t="str">
        <v>智驾行车控制</v>
      </c>
      <c r="B11" s="168"/>
      <c r="C11" s="16" t="str">
        <v>跟车时距调节语音控制</v>
      </c>
      <c r="D11" s="16" t="str">
        <v>P0</v>
      </c>
      <c r="E11" s="16" t="str">
        <v>巡航时距远点/近点
巡航时距设置为XX
跟车远一点/跟车近一点
车距设为2档</v>
      </c>
      <c r="F11" s="164" t="str">
        <v>Y</v>
      </c>
      <c r="G11" s="200" t="str">
        <v>ACCSeldTrgtDistLvl
IAdsInterface
/**
ACC目标时距获取
PermissionRequest(permissions = { zone.permission.vehicle.DEVICE_GET })
@param result {@link IntResult#getResult()} &lt;br&gt; {0x0: "ACCDrvrSeldTrgtDistLvl_0_NoGapSet"&lt;br&gt; * 0x1: "ACCDrvrSeldTrgtDistLvl_1_DistanceLevel1_near"&lt;br&gt; * 0x2: "ACCDrvrSeldTrgtDistLvl_2_DistanceLevel2_middle"&lt;br&gt; * 0x3: "ACCDrvrSeldTrgtDistLvl_3_DistanceLevel3_far"}
@return {@link ResultCode}
*/
@ResultCode
int getAccDrvrSeldTrgtDistLvl(@NonNull IntResult result);
AdsCallbackFlag.ACC_DRVR_SELD_TRGT_DIST_LVL
IAdsCallback
/**
ACC目标时距变更更新通知
*
@param result &lt;br&gt; {@link IntResult#getResult()} &lt;br&gt; {0x0: "ACCDrvrSeldTrgtDistLvl_0_NoGapSet" * &lt;br&gt; 0x1: "ACCDrvrSeldTrgtDistLvl_1_DistanceLevel1_near" * &lt;br&gt; 0x2: "ACCDrvrSeldTrgtDistLvl_2_DistanceLevel2_middle" * &lt;br&gt; 0x3: "ACCDrvrSeldTrgtDistLvl_3_DistanceLevel3_far"}
&lt;br&gt;
返回结果码 {@link IntResult#getCode()} {@link com.zone.api.vehicle.common.result.ResultCode}
*/
default void onAccDrvrSeldTrgtDistLvlChanged(IntResult result) { // TODO: 21-4-19 logic will be implemented by client. }</v>
      </c>
      <c r="H11" s="60"/>
      <c r="I11" s="11" t="str">
        <v>巡航车距调节</v>
      </c>
      <c r="J11" s="139"/>
      <c r="L11" s="11" t="str">
        <v>Y</v>
      </c>
      <c r="M11" s="11" t="str">
        <v>✅</v>
      </c>
      <c r="N11" s="11" t="str">
        <v>✅</v>
      </c>
      <c r="S11" s="11" t="inlineStr">
        <is>
          <r>
            <t>@刘晓帝</t>
          </r>
        </is>
      </c>
      <c r="W11" s="164" t="str">
        <v>ACCSeldTrgtDistLvl
IAdsInterface
/**
ACC目标时距获取
PermissionRequest(permissions = { zone.permission.vehicle.DEVICE_GET })
@param result {@link IntResult#getResult()} &lt;br&gt; {0x0: "ACCDrvrSeldTrgtDistLvl_0_NoGapSet"&lt;br&gt; * 0x1: "ACCDrvrSeldTrgtDistLvl_1_DistanceLevel1_near"&lt;br&gt; * 0x2: "ACCDrvrSeldTrgtDistLvl_2_DistanceLevel2_middle"&lt;br&gt; * 0x3: "ACCDrvrSeldTrgtDistLvl_3_DistanceLevel3_far"}
@return {@link ResultCode}
*/
@ResultCode
int getAccDrvrSeldTrgtDistLvl(@NonNull IntResult result);
AdsCallbackFlag.ACC_DRVR_SELD_TRGT_DIST_LVL
IAdsCallback
/**
ACC目标时距变更更新通知
*
@param result &lt;br&gt; {@link IntResult#getResult()} &lt;br&gt; {0x0: "ACCDrvrSeldTrgtDistLvl_0_NoGapSet" * &lt;br&gt; 0x1: "ACCDrvrSeldTrgtDistLvl_1_DistanceLevel1_near" * &lt;br&gt; 0x2: "ACCDrvrSeldTrgtDistLvl_2_DistanceLevel2_middle" * &lt;br&gt; 0x3: "ACCDrvrSeldTrgtDistLvl_3_DistanceLevel3_far"}
&lt;br&gt;
返回结果码 {@link IntResult#getCode()} {@link com.zone.api.vehicle.common.result.ResultCode}
*/
default void onAccDrvrSeldTrgtDistLvlChanged(IntResult result) { // TODO: 21-4-19 logic will be implemented by client. }</v>
      </c>
    </row>
    <row r="12" spans="1:23">
      <c r="A12" s="16" t="str">
        <v>智驾行车控制</v>
      </c>
      <c r="B12" s="168"/>
      <c r="C12" s="16" t="str">
        <v>语音控制变道</v>
      </c>
      <c r="D12" s="16" t="str">
        <v>P0</v>
      </c>
      <c r="E12" s="16" t="str">
        <v>帮我向左变道/帮我向右变道
变道到左边车道/变道到右边车道
去左边车道/去右边车道</v>
      </c>
      <c r="F12" s="164" t="str">
        <v>Y</v>
      </c>
      <c r="G12" s="200" t="str">
        <v>SOP+
IAdsInterface
int setAutoLaneChngVcCmd(int value)
接口参数参照AutoLaneChngVcCmdType定义：
@IntDef({AutoLaneChngVcCmdType.AUTO_LANE_CHNG_LEFT,
            AutoLaneChngVcCmdType.AUTO_LANE_CHNG_RIGHT,
            AutoLaneChngVcCmdType.AUTO_LANE_CHNG_CANCELED,})
    @Target({ElementType.PARAMETER})
    @Retention(RetentionPolicy.SOURCE)
    public @interface AutoLaneChngVcCmdType {
        int AUTO_LANE_CHNG_LEFT = 0;
        int AUTO_LANE_CHNG_RIGHT = 1;
        int AUTO_LANE_CHNG_CANCELED = 2;
    }</v>
      </c>
      <c r="H12" s="60"/>
      <c r="I12" s="11" t="str">
        <v>车辆换道</v>
      </c>
      <c r="J12" s="139"/>
      <c r="L12" s="11" t="str">
        <v>N</v>
      </c>
      <c r="M12" s="11" t="str">
        <v>✅</v>
      </c>
      <c r="N12" s="11" t="str">
        <v>✅0603 需要在P基线进行测试，上汽侧不满足/0615用上汽P基线的车测也不通，需要上汽解决</v>
      </c>
      <c r="S12" s="11" t="inlineStr">
        <is>
          <r>
            <t>@刘晓帝</t>
          </r>
        </is>
      </c>
      <c r="W12" s="164" t="str">
        <v>IAdsInterface
int setAutoLaneChngVcCmd(int value)
接口参数参照AutoLaneChngVcCmdType定义：
@IntDef({AutoLaneChngVcCmdType.AUTO_LANE_CHNG_LEFT,
            AutoLaneChngVcCmdType.AUTO_LANE_CHNG_RIGHT,
            AutoLaneChngVcCmdType.AUTO_LANE_CHNG_CANCELED,})
    @Target({ElementType.PARAMETER})
    @Retention(RetentionPolicy.SOURCE)
    public @interface AutoLaneChngVcCmdType {
        int AUTO_LANE_CHNG_LEFT = 0;
        int AUTO_LANE_CHNG_RIGHT = 1;
        int AUTO_LANE_CHNG_CANCELED = 2;
    }</v>
      </c>
    </row>
    <row r="13" spans="1:23">
      <c r="A13" s="16" t="str">
        <v>智驾行车控制</v>
      </c>
      <c r="B13" s="30"/>
      <c r="C13" s="16" t="str">
        <v>辅助驾驶风格调节</v>
      </c>
      <c r="D13" s="16" t="str">
        <v>P0</v>
      </c>
      <c r="E13" s="16" t="str">
        <v>辅助驾驶/智能驾驶风格激进/运动一些
辅助驾驶/智能驾驶开稳当/保守一些
辅助驾驶风格调到舒适、标准、运动</v>
      </c>
      <c r="F13" s="164" t="str">
        <v>Y</v>
      </c>
      <c r="G13" s="200" t="str">
        <v>/**
     * 智驾风格设置
     * PermissionRequest(permissions = { zone.permission.vehicle.ADS_SET })
     * @param mode : 模式设置 {@link AiPilotDrvMdlSts}
     *
     * @return {@link ResultCode}
     */
    @ResultCode
    int setAiPilotDrvMdlS(@AiPilotDrvMdlSts int mode);
    /**
     * 智驾风格获取
     * PermissionRequest(permissions = { zone.permission.vehicle.DEVICE_GET })
     * @param result : 结果 {@link IntResult}{@link AiPilotDrvMdlSts}
     *
     * @return {@link ResultCode}
     */
    @ResultCode
    int getAiPilotDrvMdlS(@NonNull IntResult result);
@IntDef({AiPilotDrvMdlSts.SAFE_DRIVING_MODEL,
            AiPilotDrvMdlSts.STEADY_DRIVING_MODEL,
            AiPilotDrvMdlSts.RADICAL_DRIVING_MODEL,
            AiPilotDrvMdlSts.SELF_LEARNING_MODEL,})
    @Target({ElementType.PARAMETER})
    @Retention(RetentionPolicy.SOURCE)
    public @interface AiPilotDrvMdlSts {
        /** SAFE_DRIVING_MODEL = 0 : 柔和*/
        int SAFE_DRIVING_MODEL = 0;
        /** STEADY_DRIVING_MODEL = 1 : 标准*/
        int STEADY_DRIVING_MODEL = 1;
        /** RADICAL_DRIVING_MODEL = 2 : 高效敏捷*/
        int RADICAL_DRIVING_MODEL = 2;
        /** SELF_LEARNING_MODEL = 3 : for PP01 功能无*/
        int SELF_LEARNING_MODEL = 3;
    }</v>
      </c>
      <c r="H13" s="110"/>
      <c r="I13" s="11" t="str">
        <v>自动驾驶风格设置</v>
      </c>
      <c r="J13" s="156"/>
      <c r="L13" s="11" t="str">
        <v>Y</v>
      </c>
      <c r="M13" s="11" t="str">
        <v>✅</v>
      </c>
      <c r="N13" s="11" t="str">
        <v>✅</v>
      </c>
      <c r="S13" s="11" t="inlineStr">
        <is>
          <r>
            <t>@刘晓帝</t>
          </r>
        </is>
      </c>
      <c r="W13" s="164" t="str">
        <v>/**
     * 智驾风格设置
     * PermissionRequest(permissions = { zone.permission.vehicle.ADS_SET })
     * @param mode : 模式设置 {@link AiPilotDrvMdlSts}
     *
     * @return {@link ResultCode}
     */
    @ResultCode
    int setAiPilotDrvMdlS(@AiPilotDrvMdlSts int mode);
    /**
     * 智驾风格获取
     * PermissionRequest(permissions = { zone.permission.vehicle.DEVICE_GET })
     * @param result : 结果 {@link IntResult}{@link AiPilotDrvMdlSts}
     *
     * @return {@link ResultCode}
     */
    @ResultCode
    int getAiPilotDrvMdlS(@NonNull IntResult result);
@IntDef({AiPilotDrvMdlSts.SAFE_DRIVING_MODEL,
            AiPilotDrvMdlSts.STEADY_DRIVING_MODEL,
            AiPilotDrvMdlSts.RADICAL_DRIVING_MODEL,
            AiPilotDrvMdlSts.SELF_LEARNING_MODEL,})
    @Target({ElementType.PARAMETER})
    @Retention(RetentionPolicy.SOURCE)
    public @interface AiPilotDrvMdlSts {
        /** SAFE_DRIVING_MODEL = 0 : 柔和*/
        int SAFE_DRIVING_MODEL = 0;
        /** STEADY_DRIVING_MODEL = 1 : 标准*/
        int STEADY_DRIVING_MODEL = 1;
        /** RADICAL_DRIVING_MODEL = 2 : 高效敏捷*/
        int RADICAL_DRIVING_MODEL = 2;
        /** SELF_LEARNING_MODEL = 3 : for PP01 功能无*/
        int SELF_LEARNING_MODEL = 3;
    }</v>
      </c>
    </row>
    <row r="16" spans="3:6">
      <c r="C16" s="271" t="str">
        <v>上汽支持的接口</v>
      </c>
      <c r="E16" s="272" t="str">
        <v>字节确认是否满足（查缺补漏）</v>
      </c>
      <c r="F16" s="273" t="str">
        <v>缺少的接口</v>
      </c>
    </row>
    <row r="17" spans="1:6">
      <c r="A17" s="274" t="str">
        <v>语音控制自动泊车&amp;一键循迹&amp;一键贴边&amp;代客泊车</v>
      </c>
      <c r="B17" s="274" t="str">
        <v>语音控制自动泊车&amp;一键循迹&amp;一键贴边&amp;代客泊车</v>
      </c>
      <c r="C17" s="275" t="str">
        <v>APA是否在前台</v>
      </c>
      <c r="F17" s="2" t="str">
        <v>缺少是否支持自动泊车功能的接口</v>
      </c>
    </row>
    <row r="18" spans="2:6">
      <c r="B18" s="274"/>
      <c r="C18" s="275" t="str">
        <v>低功耗模式判断（评审时取消）</v>
      </c>
      <c r="F18" s="2" t="str">
        <v>缺少智驾是否开启的接口</v>
      </c>
    </row>
    <row r="19" spans="2:6">
      <c r="B19" s="274"/>
      <c r="C19" s="275" t="str">
        <v>APA泊车系统故障（评审时取消）</v>
      </c>
      <c r="F19" s="2" t="str">
        <v>缺少获取泊出状态的接口</v>
      </c>
    </row>
    <row r="20" spans="2:6">
      <c r="B20" s="274"/>
      <c r="C20" s="275" t="str">
        <v>打开自动泊入功能</v>
      </c>
      <c r="F20" s="2" t="str">
        <v>L3功能是否激活的接口</v>
      </c>
    </row>
    <row r="21" spans="2:3">
      <c r="B21" s="274"/>
      <c r="C21" s="275" t="str">
        <v>进入寻库界面</v>
      </c>
    </row>
    <row r="22" spans="2:3">
      <c r="B22" s="274"/>
      <c r="C22" s="275" t="str">
        <v>找车位中（未找到车位）</v>
      </c>
    </row>
    <row r="23" spans="2:3">
      <c r="B23" s="274"/>
      <c r="C23" s="275" t="str">
        <v>找车位中（已找到车位，但未停车）</v>
      </c>
    </row>
    <row r="24" spans="2:3">
      <c r="B24" s="274"/>
      <c r="C24" s="275" t="str">
        <v>泊入Ready（找到车位且停车）</v>
      </c>
    </row>
    <row r="25" spans="2:3">
      <c r="B25" s="274"/>
      <c r="C25" s="275" t="str">
        <v>当前最大可选车位数</v>
      </c>
    </row>
    <row r="26" spans="2:3">
      <c r="B26" s="274"/>
      <c r="C26" s="275" t="str">
        <v>开始泊入</v>
      </c>
    </row>
    <row r="27" spans="2:3">
      <c r="B27" s="274"/>
      <c r="C27" s="275" t="str">
        <v>选择的车位是否支持车头/车位泊入操作</v>
      </c>
    </row>
    <row r="28" spans="2:3">
      <c r="B28" s="274"/>
      <c r="C28" s="275" t="str">
        <v>选择的车位是否支持车头泊入操作</v>
      </c>
    </row>
    <row r="29" spans="2:3">
      <c r="B29" s="274"/>
      <c r="C29" s="275" t="str">
        <v>选择的车位是否支持尾泊入操作</v>
      </c>
    </row>
    <row r="30" spans="2:3">
      <c r="B30" s="274"/>
      <c r="C30" s="275" t="str">
        <v>界面显示出【自动泊入】按钮</v>
      </c>
    </row>
    <row r="31" spans="2:3">
      <c r="B31" s="274"/>
      <c r="C31" s="275" t="str">
        <v>界面没有【开始泊出】的按键</v>
      </c>
    </row>
    <row r="32" spans="2:3">
      <c r="B32" s="274"/>
      <c r="C32" s="275" t="str">
        <v>当前为泊入控车阶段</v>
      </c>
    </row>
    <row r="33" spans="2:3">
      <c r="B33" s="274"/>
      <c r="C33" s="275" t="str">
        <v>泊入激活后的暂停不可继续状态（界面没有【继续】按键）</v>
      </c>
    </row>
    <row r="34" spans="2:3">
      <c r="B34" s="274"/>
      <c r="C34" s="275" t="str">
        <v>泊入激活后的暂停可继续状态（界面有【继续】按键）</v>
      </c>
    </row>
    <row r="35" spans="2:3">
      <c r="B35" s="274"/>
      <c r="C35" s="275" t="str">
        <v>请求自动泊出</v>
      </c>
    </row>
    <row r="36" spans="2:6">
      <c r="B36" s="274"/>
      <c r="C36" s="275" t="str">
        <v>界面有泊出方向</v>
      </c>
      <c r="F36" s="2" t="str">
        <v>缺少选择泊出方向的api</v>
      </c>
    </row>
    <row r="37" spans="2:6">
      <c r="B37" s="274"/>
      <c r="C37" s="275" t="str">
        <v>界面没有泊出方向</v>
      </c>
      <c r="F37" s="2" t="str">
        <v>缺少获取泊入状态的接口</v>
      </c>
    </row>
    <row r="38" spans="2:3">
      <c r="B38" s="274"/>
      <c r="C38" s="275" t="str">
        <v>界面有【开始泊出】的按键</v>
      </c>
    </row>
    <row r="39" spans="2:3">
      <c r="B39" s="274"/>
      <c r="C39" s="275" t="str">
        <v>界面没有【开始泊出】的按键</v>
      </c>
    </row>
    <row r="40" spans="2:3">
      <c r="B40" s="274"/>
      <c r="C40" s="275" t="str">
        <v>泊出控车阶段</v>
      </c>
    </row>
    <row r="41" spans="2:3">
      <c r="B41" s="274"/>
      <c r="C41" s="275" t="str">
        <v>泊出激活后的暂停可继续状态（界面有【继续】泊出的按键）</v>
      </c>
    </row>
    <row r="42" spans="2:3">
      <c r="B42" s="274"/>
      <c r="C42" s="275" t="str">
        <v>一键循迹界面是否在前台</v>
      </c>
    </row>
    <row r="43" spans="2:3">
      <c r="B43" s="274"/>
      <c r="C43" s="275" t="str">
        <v>打开一键循迹</v>
      </c>
    </row>
    <row r="44" spans="2:3">
      <c r="B44" s="274"/>
      <c r="C44" s="275" t="str">
        <v>进入一键循迹预激活界面</v>
      </c>
    </row>
    <row r="45" spans="2:3">
      <c r="B45" s="274"/>
      <c r="C45" s="275" t="str">
        <v>一键循迹预激活界面是否在前台</v>
      </c>
    </row>
    <row r="46" spans="2:3">
      <c r="B46" s="274"/>
      <c r="C46" s="275" t="str">
        <v>一键贴边界面是否在前台</v>
      </c>
    </row>
    <row r="47" spans="2:3">
      <c r="B47" s="274"/>
      <c r="C47" s="275" t="str">
        <v>打开一键贴边</v>
      </c>
    </row>
    <row r="48" spans="2:3">
      <c r="B48" s="274"/>
      <c r="C48" s="275" t="str">
        <v>进入一键贴边预激活界面</v>
      </c>
    </row>
    <row r="49" spans="2:3">
      <c r="B49" s="274"/>
      <c r="C49" s="275" t="str">
        <v>一键贴边激活界面是否在前台</v>
      </c>
    </row>
    <row r="50" spans="2:3">
      <c r="B50" s="274"/>
      <c r="C50" s="275" t="str">
        <v>泊车系统是否在控车阶段</v>
      </c>
    </row>
    <row r="51" spans="2:3">
      <c r="B51" s="274"/>
      <c r="C51" s="275" t="str">
        <v>退出泊车（关闭APA应用）</v>
      </c>
    </row>
    <row r="52" spans="2:3">
      <c r="B52" s="274"/>
      <c r="C52" s="275" t="str">
        <v>是否满足代客泊车可用条件（关联条件：MemParkngBtnRcnm = 0x0
巡航不可用）</v>
      </c>
    </row>
    <row r="53" spans="2:3">
      <c r="B53" s="274"/>
      <c r="C53" s="275" t="str">
        <v>记忆泊车中，车辆不在功能可用范围内</v>
      </c>
    </row>
    <row r="54" spans="2:3">
      <c r="B54" s="274"/>
      <c r="C54" s="275" t="str">
        <v>记忆泊车时不符合建图条件（关联条件：AIParkngSts ！= 0x65 || 0x5D
）</v>
      </c>
    </row>
    <row r="55" spans="2:3">
      <c r="B55" s="274"/>
      <c r="C55" s="275" t="str">
        <v>进入记忆泊车功能使用范围说明界面</v>
      </c>
    </row>
    <row r="56" spans="2:3">
      <c r="B56" s="274"/>
      <c r="C56" s="275" t="str">
        <v>反馈记忆泊车功能使用范围说明的界面状态</v>
      </c>
    </row>
    <row r="57" spans="2:3">
      <c r="B57" s="274"/>
      <c r="C57" s="275" t="str">
        <v>记忆泊车时符合建图条件（关联条件：AIParkngSts == 0x65 || 0x5D
）</v>
      </c>
    </row>
    <row r="58" spans="2:3">
      <c r="B58" s="274"/>
      <c r="C58" s="275" t="str">
        <v>进入路线管理界面</v>
      </c>
    </row>
    <row r="59" spans="2:6">
      <c r="B59" s="274"/>
      <c r="C59" s="275" t="str">
        <v>反馈记忆泊车路线管理界面</v>
      </c>
      <c r="F59" s="2" t="str">
        <v>缺少当前位置是否有地图的api</v>
      </c>
    </row>
    <row r="60" spans="2:3">
      <c r="B60" s="274"/>
      <c r="C60" s="275" t="str">
        <v>当前收藏车位数量是否 &gt; 1</v>
      </c>
    </row>
    <row r="61" spans="2:3">
      <c r="B61" s="274"/>
      <c r="C61" s="275" t="str">
        <v>激活自动巡航</v>
      </c>
    </row>
    <row r="62" spans="2:3">
      <c r="B62" s="274"/>
      <c r="C62" s="275" t="str">
        <v>传递用户选择车位的编号给AVP</v>
      </c>
    </row>
    <row r="63" spans="2:3">
      <c r="B63" s="274"/>
      <c r="C63" s="275" t="str">
        <v>收藏车位的最大数量</v>
      </c>
    </row>
  </sheetData>
  <mergeCells count="12">
    <mergeCell ref="J2:J9"/>
    <mergeCell ref="L2:L3"/>
    <mergeCell ref="H2:H13"/>
    <mergeCell ref="G2:G6"/>
    <mergeCell ref="B2:B9"/>
    <mergeCell ref="N4:N5"/>
    <mergeCell ref="L8:L9"/>
    <mergeCell ref="I8:I9"/>
    <mergeCell ref="G8:G9"/>
    <mergeCell ref="J10:J13"/>
    <mergeCell ref="B10:B13"/>
    <mergeCell ref="B17:B63"/>
  </mergeCells>
  <hyperlinks>
    <hyperlink ref="J2" r:id="rId1"/>
    <hyperlink ref="J10" r:id="rId2"/>
  </hyperlink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6.857142857142858" style="1" customWidth="1"/>
    <col min="2" max="2" width="16.96428581273981" style="1" customWidth="1"/>
    <col min="3" max="3" width="20.321428571428562" style="1" customWidth="1"/>
    <col min="4" max="4" width="27.928571428571413" style="1" customWidth="1"/>
    <col min="5" max="5" width="4.571428571428571" style="1" customWidth="1"/>
    <col min="6" max="6" width="26.142857142857142" style="1" customWidth="1"/>
    <col min="7" max="8" width="19.428571428571427" style="1" customWidth="1"/>
    <col min="9" max="9" width="25.00510192960064" style="1" customWidth="1"/>
    <col min="10" max="11" width="26.857142857142858" style="1" customWidth="1"/>
    <col min="12" max="12" width="25.571428571428573" style="1" customWidth="1"/>
    <col min="13" max="13" width="35.714285714285715" style="1" customWidth="1"/>
    <col min="14" max="14" width="15" style="1" customWidth="1"/>
    <col min="15" max="15" width="19.428571428571427" style="1" customWidth="1"/>
    <col min="16" max="16" width="15" style="1" customWidth="1"/>
    <col min="17" max="17" width="86.17857142857201" style="1" customWidth="1"/>
    <col min="18" max="28" width="15" style="1" customWidth="1"/>
    <col min="29" max="29" width="18.869050051890294" style="1" customWidth="1"/>
    <col min="30" max="32" width="18.857142857142858" style="1" customWidth="1"/>
    <col min="33" max="40" width="15" style="1" customWidth="1"/>
  </cols>
  <sheetData>
    <row r="1" spans="1:36">
      <c r="A1" s="163" t="str">
        <v>功能不支持已托底</v>
      </c>
      <c r="B1" s="163" t="str">
        <v>功能不支持已托底</v>
      </c>
      <c r="C1" s="163" t="str">
        <v>二级功能名称</v>
      </c>
      <c r="D1" s="163" t="str">
        <v>三级功能名称</v>
      </c>
      <c r="E1" s="163" t="str">
        <v>优先级</v>
      </c>
      <c r="F1" s="163" t="str">
        <v>语音指令示例</v>
      </c>
      <c r="G1" s="276" t="str">
        <v>3.20接口反馈</v>
      </c>
      <c r="H1" s="163" t="inlineStr">
        <is>
          <r>
            <t>上汽接口是否支持</t>
          </r>
          <r>
            <t>@周怀君</t>
          </r>
        </is>
      </c>
      <c r="I1" s="163" t="str">
        <v>zoneApi接口</v>
      </c>
      <c r="J1" s="163" t="inlineStr">
        <is>
          <r>
            <t>EP实车状态</t>
          </r>
          <r>
            <t>@方令平</t>
          </r>
        </is>
      </c>
      <c r="K1" s="163" t="inlineStr">
        <is>
          <r>
            <t>PPV1实车状态</t>
          </r>
          <r>
            <t>@方令平</t>
          </r>
        </is>
      </c>
      <c r="L1" s="163" t="inlineStr">
        <is>
          <r>
            <t>FC函数</t>
          </r>
          <r>
            <t>@韩天亮</t>
          </r>
        </is>
      </c>
      <c r="M1" s="163" t="inlineStr">
        <is>
          <r>
            <t xml:space="preserve">控制PRD </t>
          </r>
          <r>
            <t>@韩天亮</t>
          </r>
        </is>
      </c>
      <c r="N1" s="163" t="inlineStr">
        <is>
          <r>
            <t xml:space="preserve">端状态PRD </t>
          </r>
          <r>
            <t>@陈西钺</t>
          </r>
        </is>
      </c>
      <c r="O1" s="163" t="inlineStr">
        <is>
          <r>
            <t>接口识别</t>
          </r>
          <r>
            <t>@汪帅</t>
          </r>
        </is>
      </c>
      <c r="P1" s="163" t="inlineStr">
        <is>
          <r>
            <t>研发进展</t>
          </r>
          <r>
            <t>@汪帅</t>
          </r>
        </is>
      </c>
      <c r="Q1" s="163" t="str">
        <v>研发备注@汪帅</v>
      </c>
      <c r="R1" s="163" t="inlineStr">
        <is>
          <r>
            <t xml:space="preserve">测试用例 </t>
          </r>
          <r>
            <t>@赵晓健</t>
          </r>
        </is>
      </c>
      <c r="S1" s="163" t="inlineStr">
        <is>
          <r>
            <t>测试进展</t>
          </r>
          <r>
            <t>@赵晓健</t>
          </r>
        </is>
      </c>
      <c r="T1" s="163" t="str">
        <v>0427测试结果</v>
      </c>
      <c r="U1" s="163" t="str">
        <v>0519测试结果</v>
      </c>
      <c r="V1" s="163" t="str">
        <v>0605测试结果</v>
      </c>
      <c r="W1" s="163" t="str">
        <v>0612测试结果</v>
      </c>
      <c r="X1" s="163" t="str">
        <v>0627测试结果</v>
      </c>
      <c r="Y1" s="163" t="str">
        <v>0710测试结果</v>
      </c>
      <c r="Z1" s="163" t="str">
        <v>0717测试结果</v>
      </c>
      <c r="AA1" s="163" t="str">
        <v>是否必过集</v>
      </c>
      <c r="AB1" s="163" t="str">
        <v>测试QA</v>
      </c>
      <c r="AC1" s="163" t="str">
        <v>产品走查进展 </v>
      </c>
      <c r="AD1" s="163" t="str">
        <v>产品走查备注</v>
      </c>
      <c r="AE1" s="11" t="str">
        <v>0602_logid</v>
      </c>
      <c r="AF1" s="11" t="str">
        <v>问题描述</v>
      </c>
      <c r="AG1" s="11" t="str">
        <v>meego单</v>
      </c>
      <c r="AH1" s="165" t="str">
        <v>当前责任方</v>
      </c>
      <c r="AI1" s="165" t="str">
        <v>当前责任人</v>
      </c>
      <c r="AJ1" s="165" t="str">
        <v>问题分类</v>
      </c>
    </row>
    <row r="2" spans="1:28">
      <c r="A2" s="277" t="str">
        <v>通用控制</v>
      </c>
      <c r="B2" s="278" t="str">
        <v>通用控制</v>
      </c>
      <c r="C2" s="278" t="str">
        <v>播控控制</v>
      </c>
      <c r="D2" s="277" t="str">
        <v>播放/暂停/上一首/下一首</v>
      </c>
      <c r="E2" s="277" t="str">
        <v>P0</v>
      </c>
      <c r="F2" s="14" t="str">
        <v>播放、暂停、上一首、下一个</v>
      </c>
      <c r="G2" s="276" t="str">
        <v>已支持</v>
      </c>
      <c r="H2" s="150" t="str">
        <v>✅</v>
      </c>
      <c r="I2" s="228" t="str">
        <v>多媒体生态接口_0313.rar 
多媒体生态zoneapi接口_0319.zip:https://bytedance.larkoffice.com/file/Ru61bhAqaoypyXx4JFZcOqmlnkh 
多媒体生态zoneapi接口_0320.zip:https://bytedance.larkoffice.com/file/RLYrbJnEnoGJ5LxzgTHcJd5kn7g 
多媒体修改bug更新了sdk，上汽侧代码今天0709晚上提交，明天0710的db可以验证6.0.2版本.zip:https://internal-api-drive-stream.larkoffice.com/space/api/box/stream/download/preview/BonUb1J6goQlxyxuKcycu5A9nCd?mount_point=docx_file&amp;preview_type=16</v>
      </c>
      <c r="J2" s="150" t="str">
        <v>✅</v>
      </c>
      <c r="K2" s="227" t="str">
        <v>✅</v>
      </c>
      <c r="L2" s="11" t="str">
        <v>播放状态设置
播放切换</v>
      </c>
      <c r="M2" s="61" t="str">
        <v>语音控制多媒体_Flow_Chart_V3.0.pdf
Vehicle_Platform1.0_IS4PR_Yu_Yin_Kong_Zhi_IS4PR_Yu_Yin_Kong_Zhi_Duo_Mei_Ti__Shuo_Ming_Xin_Xi_Tong_Bu.pdf:https://internal-api-drive-stream.larkoffice.com/space/api/box/stream/download/preview/TvJ3bdlhqo42dfxKif7cEas1nTd?mount_point=docx_file&amp;preview_type=16
Vehicle_Platform1.0_IS4PR_Yu_Yin_Kong_Zhi_IS4PR_Yu_Yin_Kong_Zhi_Duo_Mei_Ti__Shuo_Ming_Xin_Xi_Tong_Bu.pdf:https://internal-api-drive-stream.larkoffice.com/space/api/box/stream/download/preview/C7Itbi0smoGJVjx6EC5caO0Jngb?mount_point=docx_file&amp;preview_type=16
【多媒体_V4.0】Vehicle_Platform1.0_IS4PR_Yu_Yin_Kong_Zhi_IS4PR_Yu_Yin_Kong_Zhi_Duo_Mei_Ti__Shuo_Ming_Xin_Xi_Tong_Bu.pdf:https://internal-api-drive-stream.larkoffice.com/space/api/box/stream/download/preview/LXEEbHoZloDZUtx7dJpcdfkQnJf?mount_point=docx_file&amp;preview_type=16</v>
      </c>
      <c r="N2" s="61" t="str">
        <v>DNA1.0：场景感知状态信号库v2.5 </v>
      </c>
      <c r="P2" s="150" t="str">
        <v>✅</v>
      </c>
      <c r="Q2" s="189" t="str">
        <v>action[暂停、续播、重播]
target[音乐、有声、电台、视频、空]</v>
      </c>
      <c r="S2" s="150" t="str">
        <v>✅</v>
      </c>
      <c r="T2" s="150" t="str">
        <v>❌</v>
      </c>
      <c r="U2" s="150" t="str">
        <v>✅</v>
      </c>
      <c r="V2" s="150" t="str">
        <v>✅</v>
      </c>
      <c r="W2" s="150" t="str">
        <v>✅</v>
      </c>
      <c r="Z2" s="150" t="str">
        <v>✅</v>
      </c>
      <c r="AA2" s="11" t="str">
        <v>是</v>
      </c>
      <c r="AB2" s="11" t="inlineStr">
        <is>
          <r>
            <t>@刘晓帝</t>
          </r>
        </is>
      </c>
    </row>
    <row r="3" spans="1:28">
      <c r="A3" s="277" t="str">
        <v>通用控制</v>
      </c>
      <c r="B3" s="279"/>
      <c r="C3" s="280"/>
      <c r="D3" s="277" t="str">
        <v>上一首&lt;媒体类别&gt;/下一首&lt;媒体类别&gt;</v>
      </c>
      <c r="E3" s="277" t="str">
        <v>P0</v>
      </c>
      <c r="F3" s="14" t="str">
        <v>下一首歌、下一个视频</v>
      </c>
      <c r="G3" s="276" t="str">
        <v>已支持</v>
      </c>
      <c r="H3" s="150" t="str">
        <v>✅</v>
      </c>
      <c r="I3" s="77"/>
      <c r="J3" s="150" t="str">
        <v>✅</v>
      </c>
      <c r="K3" s="229"/>
      <c r="L3" s="16" t="str">
        <v>播放切换</v>
      </c>
      <c r="M3" s="139"/>
      <c r="N3" s="139"/>
      <c r="P3" s="150" t="str">
        <v>✅</v>
      </c>
      <c r="Q3" s="189" t="str">
        <v>value[上一个,下一个,空]
target[音乐,歌单,有声,电台,视频,新闻,空,其他]</v>
      </c>
      <c r="S3" s="150" t="str">
        <v>✅</v>
      </c>
      <c r="T3" s="11" t="str">
        <v>❌</v>
      </c>
      <c r="U3" s="150" t="str">
        <v>✅</v>
      </c>
      <c r="V3" s="150" t="str">
        <v>✅</v>
      </c>
      <c r="W3" s="150" t="str">
        <v>✅</v>
      </c>
      <c r="Z3" s="150" t="str">
        <v>✅</v>
      </c>
      <c r="AA3" s="11" t="str">
        <v>是</v>
      </c>
      <c r="AB3" s="11" t="inlineStr">
        <is>
          <r>
            <t>@刘晓帝</t>
          </r>
        </is>
      </c>
    </row>
    <row r="4" spans="1:28">
      <c r="A4" s="277" t="str">
        <v>通用控制</v>
      </c>
      <c r="B4" s="279"/>
      <c r="C4" s="281" t="str">
        <v>收藏</v>
      </c>
      <c r="D4" s="277" t="str">
        <v>收藏意图</v>
      </c>
      <c r="E4" s="277" t="str">
        <v>P0</v>
      </c>
      <c r="F4" s="14" t="str">
        <v>收藏、加入收藏夹、添加收藏</v>
      </c>
      <c r="H4" s="150" t="str">
        <v>✅</v>
      </c>
      <c r="I4" s="77"/>
      <c r="J4" s="150" t="str">
        <v>✅</v>
      </c>
      <c r="K4" s="229"/>
      <c r="L4" s="11" t="str">
        <v>媒体收藏</v>
      </c>
      <c r="M4" s="139"/>
      <c r="N4" s="139"/>
      <c r="P4" s="150" t="str">
        <v>✅</v>
      </c>
      <c r="Q4" s="189" t="str">
        <v>action[收藏,取消收藏]
target[音乐,歌单,有声,电台,视频,新闻,空,其他]</v>
      </c>
      <c r="S4" s="150" t="str">
        <v>✅</v>
      </c>
      <c r="T4" s="150" t="str">
        <v>✅</v>
      </c>
      <c r="U4" s="150" t="str">
        <v>✅</v>
      </c>
      <c r="V4" s="150" t="str">
        <v>✅</v>
      </c>
      <c r="W4" s="150" t="str">
        <v>✅</v>
      </c>
      <c r="AA4" s="11" t="str">
        <v>是</v>
      </c>
      <c r="AB4" s="11" t="inlineStr">
        <is>
          <r>
            <t>@刘晓帝</t>
          </r>
        </is>
      </c>
    </row>
    <row r="5" spans="1:28">
      <c r="A5" s="277" t="str">
        <v>通用控制</v>
      </c>
      <c r="B5" s="279"/>
      <c r="C5" s="282"/>
      <c r="D5" s="277" t="str">
        <v>取消收藏意图</v>
      </c>
      <c r="E5" s="277" t="str">
        <v>P0</v>
      </c>
      <c r="F5" s="14" t="str">
        <v>取消收藏</v>
      </c>
      <c r="H5" s="150" t="str">
        <v>✅</v>
      </c>
      <c r="I5" s="77"/>
      <c r="J5" s="150" t="str">
        <v>✅</v>
      </c>
      <c r="K5" s="229"/>
      <c r="L5" s="11" t="str">
        <v>媒体收藏</v>
      </c>
      <c r="M5" s="139"/>
      <c r="N5" s="139"/>
      <c r="P5" s="150" t="str">
        <v>✅</v>
      </c>
      <c r="Q5" s="189" t="str">
        <v>action[收藏,取消收藏]
target[音乐,歌单,有声,电台,视频,新闻,空,其他]</v>
      </c>
      <c r="S5" s="150" t="str">
        <v>✅</v>
      </c>
      <c r="T5" s="150" t="str">
        <v>✅</v>
      </c>
      <c r="U5" s="150" t="str">
        <v>✅</v>
      </c>
      <c r="V5" s="150" t="str">
        <v>✅</v>
      </c>
      <c r="W5" s="150" t="str">
        <v>✅</v>
      </c>
      <c r="AA5" s="11" t="str">
        <v>是</v>
      </c>
      <c r="AB5" s="11" t="inlineStr">
        <is>
          <r>
            <t>@刘晓帝</t>
          </r>
        </is>
      </c>
    </row>
    <row r="6" spans="1:28">
      <c r="A6" s="277" t="str">
        <v>通用控制</v>
      </c>
      <c r="B6" s="279"/>
      <c r="C6" s="281" t="str">
        <v>列表操作</v>
      </c>
      <c r="D6" s="277" t="str">
        <v>打开播放列表</v>
      </c>
      <c r="E6" s="277" t="str">
        <v>P0</v>
      </c>
      <c r="F6" s="277" t="str">
        <v>打开播放列表</v>
      </c>
      <c r="H6" s="150" t="str">
        <v>✅</v>
      </c>
      <c r="I6" s="77"/>
      <c r="J6" s="150" t="str">
        <v>✅</v>
      </c>
      <c r="K6" s="229"/>
      <c r="L6" s="11" t="str">
        <v>播放列表开关</v>
      </c>
      <c r="M6" s="139"/>
      <c r="N6" s="139"/>
      <c r="P6" s="150" t="str">
        <v>✅</v>
      </c>
      <c r="Q6" s="16" t="inlineStr">
        <is>
          <r>
            <rPr>
              <sz val="10"/>
              <color rgb="FF000000"/>
              <rFont val="Arial"/>
            </rPr>
            <t xml:space="preserve">action打开,关闭
</t>
          </r>
          <r>
            <rPr>
              <sz val="10"/>
              <color rgb="FF1F2329"/>
              <rFont val="Arial"/>
            </rPr>
            <t>position</t>
          </r>
          <r>
            <rPr>
              <sz val="10"/>
              <color rgb="FF000000"/>
              <rFont val="Arial"/>
            </rPr>
            <t>主驾,副驾,仪表,前排,后排,所有,PAD,车机,语音屏,空</t>
          </r>
        </is>
      </c>
      <c r="S6" s="150" t="str">
        <v>✅</v>
      </c>
      <c r="T6" s="11" t="str">
        <v>❌</v>
      </c>
      <c r="U6" s="150" t="str">
        <v>✅</v>
      </c>
      <c r="V6" s="150" t="str">
        <v>✅</v>
      </c>
      <c r="W6" s="150" t="str">
        <v>✅</v>
      </c>
      <c r="Z6" s="150" t="str">
        <v>✅</v>
      </c>
      <c r="AA6" s="11" t="str">
        <v>是</v>
      </c>
      <c r="AB6" s="11" t="inlineStr">
        <is>
          <r>
            <t>@刘晓帝</t>
          </r>
        </is>
      </c>
    </row>
    <row r="7" spans="1:28">
      <c r="A7" s="277" t="str">
        <v>通用控制</v>
      </c>
      <c r="B7" s="279"/>
      <c r="C7" s="283"/>
      <c r="D7" s="277" t="str">
        <v>关闭播放列表</v>
      </c>
      <c r="E7" s="277" t="str">
        <v>P0</v>
      </c>
      <c r="F7" s="277" t="str">
        <v>关闭播放列表</v>
      </c>
      <c r="H7" s="150" t="str">
        <v>✅</v>
      </c>
      <c r="I7" s="77"/>
      <c r="J7" s="150" t="str">
        <v>✅</v>
      </c>
      <c r="K7" s="229"/>
      <c r="L7" s="11" t="str">
        <v>播放列表开关</v>
      </c>
      <c r="M7" s="139"/>
      <c r="N7" s="139"/>
      <c r="P7" s="150" t="str">
        <v>✅</v>
      </c>
      <c r="Q7" s="16" t="str">
        <v>action打开,关闭
position主驾,副驾,仪表,前排,后排,所有,PAD,车机,语音屏,空</v>
      </c>
      <c r="S7" s="150" t="str">
        <v>✅</v>
      </c>
      <c r="T7" s="11" t="str">
        <v>❌</v>
      </c>
      <c r="U7" s="150" t="str">
        <v>✅</v>
      </c>
      <c r="V7" s="150" t="str">
        <v>✅</v>
      </c>
      <c r="W7" s="150" t="str">
        <v>✅</v>
      </c>
      <c r="Z7" s="150" t="str">
        <v>✅</v>
      </c>
      <c r="AA7" s="11" t="str">
        <v>是</v>
      </c>
      <c r="AB7" s="11" t="inlineStr">
        <is>
          <r>
            <t>@刘晓帝</t>
          </r>
        </is>
      </c>
    </row>
    <row r="8" spans="1:28">
      <c r="A8" s="277" t="str">
        <v>通用控制</v>
      </c>
      <c r="B8" s="279"/>
      <c r="C8" s="283"/>
      <c r="D8" s="277" t="str">
        <v>打开收藏列表</v>
      </c>
      <c r="E8" s="277" t="str">
        <v>P0</v>
      </c>
      <c r="F8" s="277" t="str">
        <v>打开收藏列表</v>
      </c>
      <c r="H8" s="150" t="str">
        <v>✅</v>
      </c>
      <c r="I8" s="77"/>
      <c r="J8" s="150" t="str">
        <v>✅</v>
      </c>
      <c r="K8" s="229"/>
      <c r="L8" s="11" t="str">
        <v>媒体列表开关</v>
      </c>
      <c r="M8" s="139"/>
      <c r="N8" s="139"/>
      <c r="P8" s="150" t="str">
        <v>✅</v>
      </c>
      <c r="Q8" s="16" t="str">
        <v>action打开,关闭
position主驾,副驾,仪表,前排,后排,所有,PAD,车机,语音屏,空</v>
      </c>
      <c r="S8" s="150" t="str">
        <v>✅</v>
      </c>
      <c r="T8" s="11" t="str">
        <v>❌</v>
      </c>
      <c r="U8" s="150" t="str">
        <v>✅</v>
      </c>
      <c r="V8" s="150" t="str">
        <v>✅</v>
      </c>
      <c r="W8" s="150" t="str">
        <v>✅</v>
      </c>
      <c r="Z8" s="150" t="str">
        <v>✅</v>
      </c>
      <c r="AA8" s="11" t="str">
        <v>是</v>
      </c>
      <c r="AB8" s="11" t="inlineStr">
        <is>
          <r>
            <t>@刘晓帝</t>
          </r>
        </is>
      </c>
    </row>
    <row r="9" spans="1:28">
      <c r="A9" s="277" t="str">
        <v>通用控制</v>
      </c>
      <c r="B9" s="279"/>
      <c r="C9" s="283"/>
      <c r="D9" s="277" t="str">
        <v>关闭收藏列表</v>
      </c>
      <c r="E9" s="277" t="str">
        <v>P0</v>
      </c>
      <c r="F9" s="277" t="str">
        <v>关闭收藏列表</v>
      </c>
      <c r="H9" s="150" t="str">
        <v>✅</v>
      </c>
      <c r="I9" s="77"/>
      <c r="J9" s="150" t="str">
        <v>✅</v>
      </c>
      <c r="K9" s="229"/>
      <c r="L9" s="11" t="str">
        <v>媒体列表开关</v>
      </c>
      <c r="M9" s="139"/>
      <c r="N9" s="139"/>
      <c r="P9" s="150" t="str">
        <v>✅</v>
      </c>
      <c r="Q9" s="16" t="str">
        <v>action打开,关闭
position主驾,副驾,仪表,前排,后排,所有,PAD,车机,语音屏,空</v>
      </c>
      <c r="S9" s="150" t="str">
        <v>✅</v>
      </c>
      <c r="T9" s="150" t="str">
        <v>✅</v>
      </c>
      <c r="U9" s="150" t="str">
        <v>✅</v>
      </c>
      <c r="V9" s="150" t="str">
        <v>✅</v>
      </c>
      <c r="W9" s="150" t="str">
        <v>✅</v>
      </c>
      <c r="AA9" s="11" t="str">
        <v>是</v>
      </c>
      <c r="AB9" s="11" t="inlineStr">
        <is>
          <r>
            <t>@刘晓帝</t>
          </r>
        </is>
      </c>
    </row>
    <row r="10" spans="1:28">
      <c r="A10" s="277" t="str">
        <v>通用控制</v>
      </c>
      <c r="B10" s="279"/>
      <c r="C10" s="282"/>
      <c r="D10" s="277" t="str">
        <v>播放收藏列表</v>
      </c>
      <c r="E10" s="277" t="str">
        <v>P0</v>
      </c>
      <c r="F10" s="277" t="str">
        <v>播放收藏列表</v>
      </c>
      <c r="H10" s="150" t="str">
        <v>✅</v>
      </c>
      <c r="I10" s="77"/>
      <c r="J10" s="150" t="str">
        <v>✅</v>
      </c>
      <c r="K10" s="229"/>
      <c r="L10" s="11" t="str">
        <v>媒体列表播放</v>
      </c>
      <c r="M10" s="139"/>
      <c r="N10" s="139"/>
      <c r="P10" s="150" t="str">
        <v>✅</v>
      </c>
      <c r="Q10" s="16" t="str">
        <v>media_type 音乐,歌单,有声,电台,视频,空
list_type 历史,收藏,推荐,下载,空
media_source蓝牙音乐,U盘音乐,QQ音乐,网易云音乐,酷我音乐,千千静听,咪咕音乐,喜马拉雅,蜻蜓FM,芒果动听,花城FM,小宇宙,懒人听书,爱奇艺,优酷视频,哔哩哔哩,腾讯视频,芒果视频,华为视频,咪咕视频,小米视频,本地,网络,空,其他</v>
      </c>
      <c r="S10" s="150" t="str">
        <v>✅</v>
      </c>
      <c r="T10" s="150" t="str">
        <v>✅</v>
      </c>
      <c r="U10" s="150" t="str">
        <v>✅</v>
      </c>
      <c r="V10" s="150" t="str">
        <v>✅</v>
      </c>
      <c r="W10" s="150" t="str">
        <v>✅</v>
      </c>
      <c r="AA10" s="11" t="str">
        <v>是</v>
      </c>
      <c r="AB10" s="11" t="inlineStr">
        <is>
          <r>
            <t>@刘晓帝</t>
          </r>
        </is>
      </c>
    </row>
    <row r="11" spans="1:28">
      <c r="A11" s="277" t="str">
        <v>通用控制</v>
      </c>
      <c r="B11" s="279"/>
      <c r="C11" s="281" t="str">
        <v>播放模式</v>
      </c>
      <c r="D11" s="277" t="str">
        <v>切换模式意图</v>
      </c>
      <c r="E11" s="277" t="str">
        <v>P0</v>
      </c>
      <c r="F11" s="14" t="str">
        <v>切换播放模式、bo式</v>
      </c>
      <c r="H11" s="150" t="str">
        <v>✅</v>
      </c>
      <c r="I11" s="77"/>
      <c r="J11" s="150" t="str">
        <v>✅</v>
      </c>
      <c r="K11" s="229"/>
      <c r="L11" s="11" t="str">
        <v>播放模式设置</v>
      </c>
      <c r="M11" s="139"/>
      <c r="N11" s="139"/>
      <c r="P11" s="150" t="str">
        <v>✅</v>
      </c>
      <c r="Q11" s="16" t="str">
        <v>value列表播放,单曲循环,随机播放,列表循环,空
target音乐,有声,电台,视频,空
media_source网易云音乐,酷我音乐,多媒体,爱奇艺,火山车娱,抖音,西瓜视频,头条新闻,哔哩哔哩,央视影音,蓝牙音乐,U盘,凯叔讲故事,爱趣听,宝宝巴士儿歌,口袋故事,樊登读书6、每日英语听力,阿基米德,阿哈路书,腾讯自选股,小宁静,私人定律,凤凰FM,澎湃新闻,荔枝播客,QQ音乐,网络,空,其他</v>
      </c>
      <c r="S11" s="150" t="str">
        <v>✅</v>
      </c>
      <c r="T11" s="150" t="str">
        <v>✅</v>
      </c>
      <c r="U11" s="150" t="str">
        <v>✅</v>
      </c>
      <c r="V11" s="150" t="str">
        <v>✅</v>
      </c>
      <c r="W11" s="150" t="str">
        <v>✅</v>
      </c>
      <c r="AA11" s="11" t="str">
        <v>是</v>
      </c>
      <c r="AB11" s="11" t="inlineStr">
        <is>
          <r>
            <t>@刘晓帝</t>
          </r>
        </is>
      </c>
    </row>
    <row r="12" spans="1:28">
      <c r="A12" s="277" t="str">
        <v>通用控制</v>
      </c>
      <c r="B12" s="279"/>
      <c r="C12" s="282"/>
      <c r="D12" s="277" t="str">
        <v>切换具体播放模式</v>
      </c>
      <c r="E12" s="277" t="str">
        <v>P0</v>
      </c>
      <c r="F12" s="14" t="str">
        <v>切换为单曲循环、改为随机播放、播放模式切换成顺序播放</v>
      </c>
      <c r="H12" s="150" t="str">
        <v>✅</v>
      </c>
      <c r="I12" s="77"/>
      <c r="J12" s="150" t="str">
        <v>✅</v>
      </c>
      <c r="K12" s="229"/>
      <c r="L12" s="11" t="str">
        <v>播放模式设置</v>
      </c>
      <c r="M12" s="139"/>
      <c r="N12" s="139"/>
      <c r="P12" s="150" t="str">
        <v>✅</v>
      </c>
      <c r="Q12" s="16" t="str">
        <v>value列表播放,单曲循环,随机播放,列表循环,空
target音乐,有声,电台,视频,空
media_source网易云音乐,酷我音乐,多媒体,爱奇艺,火山车娱,抖音,西瓜视频,头条新闻,哔哩哔哩,央视影音,蓝牙音乐,U盘,凯叔讲故事,爱趣听,宝宝巴士儿歌,口袋故事,樊登读书6、每日英语听力,阿基米德,阿哈路书,腾讯自选股,小宁静,私人定律,凤凰FM,澎湃新闻,荔枝播客,QQ音乐,网络,空,其他</v>
      </c>
      <c r="S12" s="150" t="str">
        <v>✅</v>
      </c>
      <c r="T12" s="150" t="str">
        <v>✅</v>
      </c>
      <c r="U12" s="150" t="str">
        <v>✅</v>
      </c>
      <c r="V12" s="150" t="str">
        <v>✅</v>
      </c>
      <c r="W12" s="150" t="str">
        <v>✅</v>
      </c>
      <c r="AA12" s="11" t="str">
        <v>是</v>
      </c>
      <c r="AB12" s="11" t="inlineStr">
        <is>
          <r>
            <t>@刘晓帝</t>
          </r>
        </is>
      </c>
    </row>
    <row r="13" spans="1:32">
      <c r="A13" s="277" t="str">
        <v>通用控制</v>
      </c>
      <c r="B13" s="279"/>
      <c r="C13" s="284" t="str">
        <v>播放进度调节</v>
      </c>
      <c r="D13" s="277" t="str">
        <v>调节播放进度意图（快进/快退）</v>
      </c>
      <c r="E13" s="277" t="str">
        <v>P0</v>
      </c>
      <c r="F13" s="14" t="str">
        <v>快进、快退</v>
      </c>
      <c r="H13" s="150" t="str">
        <v>✅</v>
      </c>
      <c r="I13" s="77"/>
      <c r="J13" s="150" t="str">
        <v>✅</v>
      </c>
      <c r="K13" s="229"/>
      <c r="L13" s="11" t="str">
        <v>播放进度快进退</v>
      </c>
      <c r="M13" s="139"/>
      <c r="N13" s="139"/>
      <c r="O13" s="81" t="str">
        <v>目前只支持视频</v>
      </c>
      <c r="P13" s="150" t="str">
        <v>✅</v>
      </c>
      <c r="Q13" s="12" t="inlineStr">
        <is>
          <r>
            <rPr>
              <sz val="10"/>
              <color rgb="FF1F2329"/>
              <rFont val="Arial"/>
            </rPr>
            <t xml:space="preserve">time 01:01:00  +00:00:05  -00:00:05
time mid,max,min
target</t>
          </r>
          <r>
            <rPr>
              <sz val="10"/>
              <color rgb="FFF54A45"/>
              <rFont val="Arial"/>
            </rPr>
            <t>音乐,有声,电台,</t>
          </r>
          <r>
            <rPr>
              <sz val="10"/>
              <color rgb="FF1F2329"/>
              <rFont val="Arial"/>
            </rPr>
            <t>视频</t>
          </r>
          <r>
            <rPr>
              <sz val="10"/>
              <color rgb="FFF54A45"/>
              <rFont val="Arial"/>
            </rPr>
            <t>,空</t>
          </r>
        </is>
      </c>
      <c r="S13" s="11" t="str">
        <v>✅</v>
      </c>
      <c r="T13" s="11" t="str">
        <v>❌</v>
      </c>
      <c r="U13" s="11" t="str">
        <v>❌</v>
      </c>
      <c r="V13" s="11" t="str">
        <v>❌</v>
      </c>
      <c r="W13" s="11" t="str">
        <v>❌</v>
      </c>
      <c r="Y13" s="11" t="str">
        <v>✅</v>
      </c>
      <c r="Z13" s="150" t="str">
        <v>✅</v>
      </c>
      <c r="AA13" s="11" t="str">
        <v>是</v>
      </c>
      <c r="AB13" s="11" t="inlineStr">
        <is>
          <r>
            <t>@刘晓帝</t>
          </r>
        </is>
      </c>
      <c r="AE13" s="11" t="str">
        <v>20260603150013EB1F6B9A521BD523A556</v>
      </c>
      <c r="AF13" s="11" t="str">
        <v>快进执行快退</v>
      </c>
    </row>
    <row r="14" spans="1:28">
      <c r="A14" s="277" t="str">
        <v>通用控制</v>
      </c>
      <c r="B14" s="279"/>
      <c r="C14" s="285"/>
      <c r="D14" s="277" t="str">
        <v>调节指定播放进度</v>
      </c>
      <c r="E14" s="277" t="str">
        <v>P0</v>
      </c>
      <c r="F14" s="14" t="str">
        <v>快进到4分15秒</v>
      </c>
      <c r="H14" s="150" t="str">
        <v>✅</v>
      </c>
      <c r="I14" s="77"/>
      <c r="J14" s="14" t="str">
        <v>❌</v>
      </c>
      <c r="K14" s="229"/>
      <c r="L14" s="11" t="str">
        <v>播放进度快进退</v>
      </c>
      <c r="M14" s="139"/>
      <c r="N14" s="139"/>
      <c r="O14" s="81" t="str">
        <v>目前只支持视频</v>
      </c>
      <c r="P14" s="150" t="str">
        <v>✅</v>
      </c>
      <c r="Q14" s="12" t="inlineStr">
        <is>
          <r>
            <rPr>
              <sz val="10"/>
              <color rgb="FF1F2329"/>
              <rFont val="Arial"/>
            </rPr>
            <t xml:space="preserve">time 01:01:00  +00:00:05  -00:00:05
time mid,max,min
target</t>
          </r>
          <r>
            <rPr>
              <sz val="10"/>
              <color rgb="FFF54A45"/>
              <rFont val="Arial"/>
            </rPr>
            <t>音乐,有声,电台,</t>
          </r>
          <r>
            <rPr>
              <sz val="10"/>
              <color rgb="FF1F2329"/>
              <rFont val="Arial"/>
            </rPr>
            <t>视频</t>
          </r>
          <r>
            <rPr>
              <sz val="10"/>
              <color rgb="FFF54A45"/>
              <rFont val="Arial"/>
            </rPr>
            <t>,空</t>
          </r>
        </is>
      </c>
      <c r="S14" s="11" t="str">
        <v>✅</v>
      </c>
      <c r="T14" s="11" t="str">
        <v>❌</v>
      </c>
      <c r="U14" s="11" t="str">
        <v>❌</v>
      </c>
      <c r="V14" s="11" t="str">
        <v>✅</v>
      </c>
      <c r="W14" s="11" t="str">
        <v>❌</v>
      </c>
      <c r="Y14" s="11" t="str">
        <v>✅</v>
      </c>
      <c r="Z14" s="150" t="str">
        <v>✅</v>
      </c>
      <c r="AA14" s="11" t="str">
        <v>是</v>
      </c>
      <c r="AB14" s="11" t="inlineStr">
        <is>
          <r>
            <t>@刘晓帝</t>
          </r>
        </is>
      </c>
    </row>
    <row r="15" spans="1:28">
      <c r="A15" s="277" t="str">
        <v>通用控制</v>
      </c>
      <c r="B15" s="279"/>
      <c r="C15" s="285"/>
      <c r="D15" s="277" t="str">
        <v>播放进度增加n/n减少n</v>
      </c>
      <c r="E15" s="277" t="str">
        <v>P0</v>
      </c>
      <c r="F15" s="14" t="str">
        <v>快进4分15秒</v>
      </c>
      <c r="H15" s="150" t="str">
        <v>✅</v>
      </c>
      <c r="I15" s="77"/>
      <c r="J15" s="14" t="str">
        <v>❌</v>
      </c>
      <c r="K15" s="229"/>
      <c r="L15" s="11" t="str">
        <v>播放进度快进退</v>
      </c>
      <c r="M15" s="139"/>
      <c r="N15" s="139"/>
      <c r="O15" s="81" t="str">
        <v>目前只支持视频</v>
      </c>
      <c r="P15" s="150" t="str">
        <v>✅</v>
      </c>
      <c r="Q15" s="12" t="inlineStr">
        <is>
          <r>
            <rPr>
              <sz val="10"/>
              <color rgb="FF1F2329"/>
              <rFont val="Arial"/>
            </rPr>
            <t xml:space="preserve">time 01:01:00  +00:00:05  -00:00:05
time mid,max,min
target</t>
          </r>
          <r>
            <rPr>
              <sz val="10"/>
              <color rgb="FFF54A45"/>
              <rFont val="Arial"/>
            </rPr>
            <t>音乐,有声,电台,</t>
          </r>
          <r>
            <rPr>
              <sz val="10"/>
              <color rgb="FF1F2329"/>
              <rFont val="Arial"/>
            </rPr>
            <t>视频</t>
          </r>
          <r>
            <rPr>
              <sz val="10"/>
              <color rgb="FFF54A45"/>
              <rFont val="Arial"/>
            </rPr>
            <t>,空</t>
          </r>
        </is>
      </c>
      <c r="S15" s="11" t="str">
        <v>✅</v>
      </c>
      <c r="T15" s="11" t="str">
        <v>❌</v>
      </c>
      <c r="U15" s="11" t="str">
        <v>❌</v>
      </c>
      <c r="V15" s="11" t="str">
        <v>✅</v>
      </c>
      <c r="W15" s="11" t="str">
        <v>❌</v>
      </c>
      <c r="Y15" s="11" t="str">
        <v>✅</v>
      </c>
      <c r="Z15" s="150" t="str">
        <v>✅</v>
      </c>
      <c r="AA15" s="11" t="str">
        <v>是</v>
      </c>
      <c r="AB15" s="11" t="inlineStr">
        <is>
          <r>
            <t>@刘晓帝</t>
          </r>
        </is>
      </c>
    </row>
    <row r="16" spans="1:28">
      <c r="A16" s="277" t="str">
        <v>通用控制</v>
      </c>
      <c r="B16" s="279"/>
      <c r="C16" s="285"/>
      <c r="D16" s="277" t="str">
        <v>播放进度调到极值</v>
      </c>
      <c r="E16" s="277" t="str">
        <v>P0</v>
      </c>
      <c r="F16" s="14" t="str">
        <v>播放进度调到最前/最后</v>
      </c>
      <c r="H16" s="150" t="str">
        <v>✅</v>
      </c>
      <c r="I16" s="77"/>
      <c r="J16" s="150" t="str">
        <v>✅</v>
      </c>
      <c r="K16" s="229"/>
      <c r="L16" s="11" t="str">
        <v>播放进度快进退</v>
      </c>
      <c r="M16" s="139"/>
      <c r="N16" s="139"/>
      <c r="O16" s="81" t="str">
        <v>目前只支持视频</v>
      </c>
      <c r="P16" s="150" t="str">
        <v>✅</v>
      </c>
      <c r="Q16" s="12" t="inlineStr">
        <is>
          <r>
            <rPr>
              <sz val="10"/>
              <color rgb="FF1F2329"/>
              <rFont val="Arial"/>
            </rPr>
            <t xml:space="preserve">time 01:01:00  +00:00:05  -00:00:05
time mid,max,min
target</t>
          </r>
          <r>
            <rPr>
              <sz val="10"/>
              <color rgb="FFF54A45"/>
              <rFont val="Arial"/>
            </rPr>
            <t>音乐,有声,电台</t>
          </r>
          <r>
            <rPr>
              <sz val="10"/>
              <color rgb="FF1F2329"/>
              <rFont val="Arial"/>
            </rPr>
            <t>,视频</t>
          </r>
          <r>
            <rPr>
              <sz val="10"/>
              <color rgb="FFF54A45"/>
              <rFont val="Arial"/>
            </rPr>
            <t>,空</t>
          </r>
        </is>
      </c>
      <c r="S16" s="11" t="str">
        <v>✅</v>
      </c>
      <c r="T16" s="11" t="str">
        <v>❌</v>
      </c>
      <c r="U16" s="11" t="str">
        <v>❌</v>
      </c>
      <c r="V16" s="11" t="str">
        <v>✅</v>
      </c>
      <c r="W16" s="11" t="str">
        <v>❌</v>
      </c>
      <c r="Y16" s="11" t="str">
        <v>✅</v>
      </c>
      <c r="Z16" s="150" t="str">
        <v>✅</v>
      </c>
      <c r="AA16" s="11" t="str">
        <v>是</v>
      </c>
      <c r="AB16" s="11" t="inlineStr">
        <is>
          <r>
            <t>@刘晓帝</t>
          </r>
        </is>
      </c>
    </row>
    <row r="17" spans="1:32">
      <c r="A17" s="277" t="str">
        <v>通用控制</v>
      </c>
      <c r="B17" s="279"/>
      <c r="C17" s="286"/>
      <c r="D17" s="12" t="str">
        <v>重新播放</v>
      </c>
      <c r="E17" s="277" t="str">
        <v>P0</v>
      </c>
      <c r="F17" s="277" t="str">
        <v>重新播放</v>
      </c>
      <c r="H17" s="150" t="str">
        <v>✅</v>
      </c>
      <c r="I17" s="77"/>
      <c r="J17" s="14" t="str">
        <v>❌</v>
      </c>
      <c r="K17" s="229"/>
      <c r="L17" s="11" t="str">
        <v>播放状态设置</v>
      </c>
      <c r="M17" s="139"/>
      <c r="N17" s="139"/>
      <c r="O17" s="81" t="str">
        <v>罗工说没有这个语义
已兜底提示</v>
      </c>
      <c r="P17" s="150" t="str">
        <v>✅</v>
      </c>
      <c r="Q17" s="12" t="str">
        <v>action[暂停、续播、重播]
target[音乐、有声、电台、视频、空]</v>
      </c>
      <c r="S17" s="11" t="str">
        <v>❌</v>
      </c>
      <c r="T17" s="11" t="str">
        <v>❌</v>
      </c>
      <c r="U17" s="11" t="str">
        <v>❌</v>
      </c>
      <c r="V17" s="11" t="str">
        <v>✅</v>
      </c>
      <c r="W17" s="11" t="str">
        <v>❌</v>
      </c>
      <c r="Y17" s="11" t="str">
        <v>❌</v>
      </c>
      <c r="Z17" s="11" t="str">
        <v>❌</v>
      </c>
      <c r="AA17" s="11" t="str">
        <v>是</v>
      </c>
      <c r="AB17" s="11" t="inlineStr">
        <is>
          <r>
            <t>@刘晓帝</t>
          </r>
        </is>
      </c>
      <c r="AE17" s="11" t="str">
        <v>202606121830400EE0BD4ADE38A74D2F53</v>
      </c>
      <c r="AF17" s="11" t="str">
        <v>没有走兜底逻辑</v>
      </c>
    </row>
    <row r="18" spans="1:28">
      <c r="A18" s="277" t="str">
        <v>通用控制</v>
      </c>
      <c r="B18" s="279"/>
      <c r="C18" s="284" t="str">
        <v>音质调节</v>
      </c>
      <c r="D18" s="277" t="str">
        <v>切换音质意图</v>
      </c>
      <c r="E18" s="277" t="str">
        <v>P1</v>
      </c>
      <c r="F18" s="14" t="str">
        <v>切换音质</v>
      </c>
      <c r="H18" s="150" t="str">
        <v>✅</v>
      </c>
      <c r="I18" s="77"/>
      <c r="J18" s="150" t="str">
        <v>✅</v>
      </c>
      <c r="K18" s="229"/>
      <c r="L18" s="11" t="str">
        <v>音质设置</v>
      </c>
      <c r="M18" s="139"/>
      <c r="N18" s="139"/>
      <c r="O18" s="11" t="str">
        <v>目前不支持 兜底提示</v>
      </c>
      <c r="P18" s="150" t="str">
        <v>✅</v>
      </c>
      <c r="Q18" s="16" t="str">
        <v>value 标准,HQ,SQ,HIRES,臻品2.0,极高,杜比音效,空
value high,mid,low,max,min
value 第2档、+ -
target音乐,有声,电台,视频,空</v>
      </c>
      <c r="S18" s="11" t="str">
        <v>✅</v>
      </c>
      <c r="U18" s="11" t="str">
        <v>❌</v>
      </c>
      <c r="V18" s="11" t="str">
        <v>✅</v>
      </c>
      <c r="W18" s="11" t="str">
        <v>✅</v>
      </c>
      <c r="AB18" s="11" t="inlineStr">
        <is>
          <r>
            <t>@刘晓帝</t>
          </r>
        </is>
      </c>
    </row>
    <row r="19" spans="1:28">
      <c r="A19" s="277" t="str">
        <v>通用控制</v>
      </c>
      <c r="B19" s="279"/>
      <c r="C19" s="285"/>
      <c r="D19" s="277" t="str">
        <v>切换到指定音质</v>
      </c>
      <c r="E19" s="277" t="str">
        <v>P1</v>
      </c>
      <c r="F19" s="14" t="str">
        <v>切换到高品质音质</v>
      </c>
      <c r="H19" s="150" t="str">
        <v>✅</v>
      </c>
      <c r="I19" s="77"/>
      <c r="J19" s="150" t="str">
        <v>✅</v>
      </c>
      <c r="K19" s="229"/>
      <c r="L19" s="11" t="str">
        <v>音质设置</v>
      </c>
      <c r="M19" s="139"/>
      <c r="N19" s="139"/>
      <c r="O19" s="11" t="str">
        <v>目前不支持 兜底提示</v>
      </c>
      <c r="P19" s="150" t="str">
        <v>✅</v>
      </c>
      <c r="Q19" s="16" t="str">
        <v>value 标准,HQ,SQ,HIRES,臻品2.0,极高,杜比音效,空
value high,mid,low,max,min
value 第2档、+ -
target音乐,有声,电台,视频,空</v>
      </c>
      <c r="S19" s="11" t="str">
        <v>✅</v>
      </c>
      <c r="U19" s="11" t="str">
        <v>❌</v>
      </c>
      <c r="V19" s="11" t="str">
        <v>✅</v>
      </c>
      <c r="W19" s="11" t="str">
        <v>✅</v>
      </c>
      <c r="AB19" s="11" t="inlineStr">
        <is>
          <r>
            <t>@刘晓帝</t>
          </r>
        </is>
      </c>
    </row>
    <row r="20" spans="1:28">
      <c r="A20" s="277" t="str">
        <v>通用控制</v>
      </c>
      <c r="B20" s="279"/>
      <c r="C20" s="285"/>
      <c r="D20" s="277" t="str">
        <v>音质调高/调低</v>
      </c>
      <c r="E20" s="277" t="str">
        <v>P1</v>
      </c>
      <c r="F20" s="14" t="str">
        <v>音质调高点</v>
      </c>
      <c r="H20" s="150" t="str">
        <v>✅</v>
      </c>
      <c r="I20" s="77"/>
      <c r="J20" s="150" t="str">
        <v>✅</v>
      </c>
      <c r="K20" s="229"/>
      <c r="L20" s="11" t="str">
        <v>音质设置</v>
      </c>
      <c r="M20" s="139"/>
      <c r="N20" s="139"/>
      <c r="O20" s="11" t="str">
        <v>目前不支持 兜底提示</v>
      </c>
      <c r="P20" s="150" t="str">
        <v>✅</v>
      </c>
      <c r="Q20" s="16" t="str">
        <v>value 标准,HQ,SQ,HIRES,臻品2.0,极高,杜比音效,空
value high,mid,low,max,min
value 第2档、+ -
target音乐,有声,电台,视频,空</v>
      </c>
      <c r="S20" s="11" t="str">
        <v>✅</v>
      </c>
      <c r="U20" s="11" t="str">
        <v>❌</v>
      </c>
      <c r="V20" s="11" t="str">
        <v>✅</v>
      </c>
      <c r="W20" s="11" t="str">
        <v>✅</v>
      </c>
      <c r="AB20" s="11" t="inlineStr">
        <is>
          <r>
            <t>@刘晓帝</t>
          </r>
        </is>
      </c>
    </row>
    <row r="21" spans="1:28">
      <c r="A21" s="277" t="str">
        <v>通用控制</v>
      </c>
      <c r="B21" s="279"/>
      <c r="C21" s="286"/>
      <c r="D21" s="277" t="str">
        <v>音质调到极值</v>
      </c>
      <c r="E21" s="277" t="str">
        <v>P1</v>
      </c>
      <c r="F21" s="14" t="str">
        <v>音质调到最高</v>
      </c>
      <c r="H21" s="150" t="str">
        <v>✅</v>
      </c>
      <c r="I21" s="77"/>
      <c r="J21" s="150" t="str">
        <v>✅</v>
      </c>
      <c r="K21" s="229"/>
      <c r="L21" s="11" t="str">
        <v>音质设置</v>
      </c>
      <c r="M21" s="139"/>
      <c r="N21" s="139"/>
      <c r="O21" s="11" t="str">
        <v>目前不支持 兜底提示</v>
      </c>
      <c r="P21" s="150" t="str">
        <v>✅</v>
      </c>
      <c r="Q21" s="16" t="str">
        <v>value 标准,HQ,SQ,HIRES,臻品2.0,极高,杜比音效,空
value high,mid,low,max,min
value 第2档、+ -
target音乐,有声,电台,视频,空</v>
      </c>
      <c r="S21" s="11" t="str">
        <v>✅</v>
      </c>
      <c r="U21" s="11" t="str">
        <v>❌</v>
      </c>
      <c r="V21" s="11" t="str">
        <v>✅</v>
      </c>
      <c r="W21" s="11" t="str">
        <v>✅</v>
      </c>
      <c r="AB21" s="11" t="inlineStr">
        <is>
          <r>
            <t>@刘晓帝</t>
          </r>
        </is>
      </c>
    </row>
    <row r="22" spans="1:28">
      <c r="A22" s="277" t="str">
        <v>通用控制</v>
      </c>
      <c r="B22" s="279"/>
      <c r="C22" s="284" t="str">
        <v>倍速调节</v>
      </c>
      <c r="D22" s="277" t="str">
        <v>调节倍速意图</v>
      </c>
      <c r="E22" s="277" t="str">
        <v>P1</v>
      </c>
      <c r="F22" s="14" t="str">
        <v>切换播放速度</v>
      </c>
      <c r="H22" s="150" t="str">
        <v>✅</v>
      </c>
      <c r="I22" s="77"/>
      <c r="J22" s="150" t="str">
        <v>✅</v>
      </c>
      <c r="K22" s="229"/>
      <c r="L22" s="11" t="str">
        <v>播放速度设置</v>
      </c>
      <c r="M22" s="139"/>
      <c r="N22" s="139"/>
      <c r="O22" s="81" t="str">
        <v>目前只支持视频</v>
      </c>
      <c r="P22" s="150" t="str">
        <v>✅</v>
      </c>
      <c r="Q22" s="16" t="inlineStr">
        <is>
          <r>
            <rPr>
              <sz val="10"/>
              <color rgb="FF000000"/>
              <rFont val="Arial"/>
            </rPr>
            <t xml:space="preserve">value 0.5,0.75, 1,1.25,1.5,1.75,2,2,25,2.25,2.5, 2.75,3,3.25,3.5,3.75,4,4.25,4.5,4.75, 4.75,5
value high,mid,low,max,min
value  + -
</t>
          </r>
          <r>
            <rPr>
              <sz val="10"/>
              <color rgb="FFF54A45"/>
              <rFont val="Arial"/>
            </rPr>
            <t>target 音乐,有声,电台,</t>
          </r>
          <r>
            <rPr>
              <sz val="10"/>
              <color rgb="FF1F2329"/>
              <rFont val="Arial"/>
            </rPr>
            <t>视频</t>
          </r>
          <r>
            <rPr>
              <sz val="10"/>
              <color rgb="FFF54A45"/>
              <rFont val="Arial"/>
            </rPr>
            <t>,空</t>
          </r>
        </is>
      </c>
      <c r="S22" s="11" t="str">
        <v>❌</v>
      </c>
      <c r="U22" s="11" t="str">
        <v>✅</v>
      </c>
      <c r="V22" s="11" t="str">
        <v>✅</v>
      </c>
      <c r="W22" s="11" t="str">
        <v>❌</v>
      </c>
      <c r="Y22" s="11" t="str">
        <v>❌</v>
      </c>
      <c r="AA22" s="11" t="str">
        <v>是</v>
      </c>
      <c r="AB22" s="11" t="inlineStr">
        <is>
          <r>
            <t>@刘晓帝</t>
          </r>
        </is>
      </c>
    </row>
    <row r="23" spans="1:28">
      <c r="A23" s="277" t="str">
        <v>通用控制</v>
      </c>
      <c r="B23" s="279"/>
      <c r="C23" s="285"/>
      <c r="D23" s="277" t="str">
        <v>具体倍速调节</v>
      </c>
      <c r="E23" s="277" t="str">
        <v>P1</v>
      </c>
      <c r="F23" s="14" t="str">
        <v>1.5倍速播放</v>
      </c>
      <c r="H23" s="150" t="str">
        <v>✅</v>
      </c>
      <c r="I23" s="77"/>
      <c r="J23" s="150" t="str">
        <v>✅</v>
      </c>
      <c r="K23" s="229"/>
      <c r="L23" s="11" t="str">
        <v>播放速度设置</v>
      </c>
      <c r="M23" s="139"/>
      <c r="N23" s="139"/>
      <c r="O23" s="81" t="str">
        <v>目前只支持视频</v>
      </c>
      <c r="P23" s="150" t="str">
        <v>✅</v>
      </c>
      <c r="Q23" s="16" t="inlineStr">
        <is>
          <r>
            <rPr>
              <sz val="10"/>
              <color rgb="FF000000"/>
              <rFont val="Arial"/>
            </rPr>
            <t xml:space="preserve">value 0.5,0.75, 1,1.25,1.5,1.75,2,2,25,2.25,2.5, 2.75,3,3.25,3.5,3.75,4,4.25,4.5,4.75, 4.75,5
value high,mid,low,max,min
value  + -
</t>
          </r>
          <r>
            <rPr>
              <sz val="10"/>
              <color rgb="FFF54A45"/>
              <rFont val="Arial"/>
            </rPr>
            <t>target 音乐,有声,电台,</t>
          </r>
          <r>
            <rPr>
              <sz val="10"/>
              <color rgb="FF1F2329"/>
              <rFont val="Arial"/>
            </rPr>
            <t>视频</t>
          </r>
          <r>
            <rPr>
              <sz val="10"/>
              <color rgb="FFF54A45"/>
              <rFont val="Arial"/>
            </rPr>
            <t>,空</t>
          </r>
        </is>
      </c>
      <c r="S23" s="11" t="str">
        <v>✅</v>
      </c>
      <c r="U23" s="11" t="str">
        <v>❌</v>
      </c>
      <c r="V23" s="11" t="str">
        <v>✅</v>
      </c>
      <c r="W23" s="11" t="str">
        <v>❌</v>
      </c>
      <c r="Y23" s="11" t="str">
        <v>✅</v>
      </c>
      <c r="AA23" s="11" t="str">
        <v>是</v>
      </c>
      <c r="AB23" s="11" t="inlineStr">
        <is>
          <r>
            <t>@刘晓帝</t>
          </r>
        </is>
      </c>
    </row>
    <row r="24" spans="1:28">
      <c r="A24" s="277" t="str">
        <v>通用控制</v>
      </c>
      <c r="B24" s="279"/>
      <c r="C24" s="285"/>
      <c r="D24" s="277" t="str">
        <v>倍速调大/调小</v>
      </c>
      <c r="E24" s="277" t="str">
        <v>P1</v>
      </c>
      <c r="F24" s="14" t="str">
        <v>倍速调大点</v>
      </c>
      <c r="H24" s="150" t="str">
        <v>✅</v>
      </c>
      <c r="I24" s="77"/>
      <c r="J24" s="150" t="str">
        <v>✅</v>
      </c>
      <c r="K24" s="229"/>
      <c r="L24" s="11" t="str">
        <v>播放速度设置</v>
      </c>
      <c r="M24" s="139"/>
      <c r="N24" s="139"/>
      <c r="O24" s="81" t="str">
        <v>目前只支持视频</v>
      </c>
      <c r="P24" s="150" t="str">
        <v>✅</v>
      </c>
      <c r="Q24" s="16" t="inlineStr">
        <is>
          <r>
            <rPr>
              <sz val="10"/>
              <color rgb="FF000000"/>
              <rFont val="Arial"/>
            </rPr>
            <t xml:space="preserve">value 0.5,0.75, 1,1.25,1.5,1.75,2,2,25,2.25,2.5, 2.75,3,3.25,3.5,3.75,4,4.25,4.5,4.75, 4.75,5
value high,mid,low,max,min
value  + -
</t>
          </r>
          <r>
            <rPr>
              <sz val="10"/>
              <color rgb="FFF54A45"/>
              <rFont val="Arial"/>
            </rPr>
            <t>target 音乐,有声,电台,</t>
          </r>
          <r>
            <rPr>
              <sz val="10"/>
              <color rgb="FF1F2329"/>
              <rFont val="Arial"/>
            </rPr>
            <t>视频</t>
          </r>
          <r>
            <rPr>
              <sz val="10"/>
              <color rgb="FFF54A45"/>
              <rFont val="Arial"/>
            </rPr>
            <t>,空</t>
          </r>
        </is>
      </c>
      <c r="S24" s="11" t="str">
        <v>✅</v>
      </c>
      <c r="U24" s="11" t="str">
        <v>❌</v>
      </c>
      <c r="V24" s="11" t="str">
        <v>✅</v>
      </c>
      <c r="W24" s="11" t="str">
        <v>❌</v>
      </c>
      <c r="Y24" s="11" t="str">
        <v>✅</v>
      </c>
      <c r="AA24" s="11" t="str">
        <v>是</v>
      </c>
      <c r="AB24" s="11" t="inlineStr">
        <is>
          <r>
            <t>@刘晓帝</t>
          </r>
        </is>
      </c>
    </row>
    <row r="25" spans="1:28">
      <c r="A25" s="277" t="str">
        <v>通用控制</v>
      </c>
      <c r="B25" s="279"/>
      <c r="C25" s="285"/>
      <c r="D25" s="277" t="str">
        <v>倍速调到极值</v>
      </c>
      <c r="E25" s="277" t="str">
        <v>P1</v>
      </c>
      <c r="F25" s="14" t="str">
        <v>倍速调到最大</v>
      </c>
      <c r="H25" s="150" t="str">
        <v>✅</v>
      </c>
      <c r="I25" s="77"/>
      <c r="J25" s="150" t="str">
        <v>✅</v>
      </c>
      <c r="K25" s="229"/>
      <c r="L25" s="11" t="str">
        <v>播放速度设置</v>
      </c>
      <c r="M25" s="139"/>
      <c r="N25" s="139"/>
      <c r="O25" s="81" t="str">
        <v>目前只支持视频</v>
      </c>
      <c r="P25" s="150" t="str">
        <v>✅</v>
      </c>
      <c r="Q25" s="16" t="inlineStr">
        <is>
          <r>
            <rPr>
              <sz val="10"/>
              <color rgb="FF000000"/>
              <rFont val="Arial"/>
            </rPr>
            <t xml:space="preserve">value 0.5,0.75, 1,1.25,1.5,1.75,2,2,25,2.25,2.5, 2.75,3,3.25,3.5,3.75,4,4.25,4.5,4.75, 4.75,5
value high,mid,low,max,min
value  + -
</t>
          </r>
          <r>
            <rPr>
              <sz val="10"/>
              <color rgb="FFF54A45"/>
              <rFont val="Arial"/>
            </rPr>
            <t>target 音乐,有声,电台,</t>
          </r>
          <r>
            <rPr>
              <sz val="10"/>
              <color rgb="FF1F2329"/>
              <rFont val="Arial"/>
            </rPr>
            <t>视频</t>
          </r>
          <r>
            <rPr>
              <sz val="10"/>
              <color rgb="FFF54A45"/>
              <rFont val="Arial"/>
            </rPr>
            <t>,空</t>
          </r>
        </is>
      </c>
      <c r="S25" s="11" t="str">
        <v>✅</v>
      </c>
      <c r="U25" s="11" t="str">
        <v>❌</v>
      </c>
      <c r="V25" s="11" t="str">
        <v>✅</v>
      </c>
      <c r="W25" s="11" t="str">
        <v>❌</v>
      </c>
      <c r="Y25" s="11" t="str">
        <v>✅</v>
      </c>
      <c r="AA25" s="11" t="str">
        <v>是</v>
      </c>
      <c r="AB25" s="11" t="inlineStr">
        <is>
          <r>
            <t>@刘晓帝</t>
          </r>
        </is>
      </c>
    </row>
    <row r="26" spans="1:28">
      <c r="A26" s="277" t="str">
        <v>通用控制</v>
      </c>
      <c r="B26" s="279"/>
      <c r="C26" s="286"/>
      <c r="D26" s="277" t="str">
        <v>倍速调节上下文</v>
      </c>
      <c r="E26" s="277" t="str">
        <v>P1</v>
      </c>
      <c r="F26" s="14" t="str">
        <v>再快点、再慢点</v>
      </c>
      <c r="H26" s="150" t="str">
        <v>✅</v>
      </c>
      <c r="I26" s="77"/>
      <c r="J26" s="150" t="str">
        <v>✅</v>
      </c>
      <c r="K26" s="229"/>
      <c r="L26" s="11" t="str">
        <v>播放速度设置</v>
      </c>
      <c r="M26" s="139"/>
      <c r="N26" s="139"/>
      <c r="O26" s="81" t="str">
        <v>目前只支持视频</v>
      </c>
      <c r="P26" s="150" t="str">
        <v>✅</v>
      </c>
      <c r="Q26" s="16" t="inlineStr">
        <is>
          <r>
            <rPr>
              <sz val="10"/>
              <color rgb="FF000000"/>
              <rFont val="Arial"/>
            </rPr>
            <t xml:space="preserve">value 0.5,0.75, 1,1.25,1.5,1.75,2,2,25,2.25,2.5, 2.75,3,3.25,3.5,3.75,4,4.25,4.5,4.75, 4.75,5
value high,mid,low,max,min
value  + -
</t>
          </r>
          <r>
            <rPr>
              <sz val="10"/>
              <color rgb="FFF54A45"/>
              <rFont val="Arial"/>
            </rPr>
            <t>target 音乐,有声,电台,</t>
          </r>
          <r>
            <rPr>
              <sz val="10"/>
              <color rgb="FF1F2329"/>
              <rFont val="Arial"/>
            </rPr>
            <t>视频</t>
          </r>
          <r>
            <rPr>
              <sz val="10"/>
              <color rgb="FFF54A45"/>
              <rFont val="Arial"/>
            </rPr>
            <t>,空</t>
          </r>
        </is>
      </c>
      <c r="S26" s="11" t="str">
        <v>✅</v>
      </c>
      <c r="U26" s="11" t="str">
        <v>❌</v>
      </c>
      <c r="V26" s="11" t="str">
        <v>✅</v>
      </c>
      <c r="W26" s="11" t="str">
        <v>❌</v>
      </c>
      <c r="Y26" s="11" t="str">
        <v>✅</v>
      </c>
      <c r="AA26" s="11" t="str">
        <v>是</v>
      </c>
      <c r="AB26" s="11" t="inlineStr">
        <is>
          <r>
            <t>@刘晓帝</t>
          </r>
        </is>
      </c>
    </row>
    <row r="27" spans="1:28">
      <c r="A27" s="277" t="str">
        <v>通用控制</v>
      </c>
      <c r="B27" s="279"/>
      <c r="C27" s="277" t="str">
        <v>查询播放内容</v>
      </c>
      <c r="E27" s="277" t="str">
        <v>P0</v>
      </c>
      <c r="F27" s="115" t="str">
        <v>当前播放的是什么歌曲</v>
      </c>
      <c r="G27" s="287">
        <v>46101</v>
      </c>
      <c r="H27" s="150" t="str">
        <v>✅</v>
      </c>
      <c r="I27" s="77"/>
      <c r="J27" s="150" t="str">
        <v>✅</v>
      </c>
      <c r="K27" s="229"/>
      <c r="L27" s="81" t="str">
        <v>依赖端状态上传</v>
      </c>
      <c r="M27" s="139"/>
      <c r="N27" s="139"/>
      <c r="O27" s="81" t="str">
        <v>目前已实现两边标Y的</v>
      </c>
      <c r="P27" s="150" t="str">
        <v>✅</v>
      </c>
      <c r="S27" s="150" t="str">
        <v>✅</v>
      </c>
      <c r="U27" s="150" t="str">
        <v>✅</v>
      </c>
      <c r="V27" s="150" t="str">
        <v>✅</v>
      </c>
      <c r="W27" s="150" t="str">
        <v>✅</v>
      </c>
      <c r="AA27" s="11" t="str">
        <v>是</v>
      </c>
      <c r="AB27" s="11" t="inlineStr">
        <is>
          <r>
            <t>@刘晓帝</t>
          </r>
        </is>
      </c>
    </row>
    <row r="28" spans="1:28">
      <c r="A28" s="277" t="str">
        <v>通用控制</v>
      </c>
      <c r="B28" s="280"/>
      <c r="C28" s="288" t="str">
        <v>AI语音手机融合需求</v>
      </c>
      <c r="E28" s="277" t="str">
        <v>P1</v>
      </c>
      <c r="F28" s="14" t="str">
        <v>播放手机音乐</v>
      </c>
      <c r="H28" s="150" t="str">
        <v>✅</v>
      </c>
      <c r="I28" s="77"/>
      <c r="J28" s="14" t="str">
        <v>❌</v>
      </c>
      <c r="K28" s="229"/>
      <c r="L28" s="81" t="str">
        <v>手机控制意图、主线不支持，项目pe实现</v>
      </c>
      <c r="M28" s="139"/>
      <c r="N28" s="139"/>
      <c r="O28" s="81" t="str">
        <v>反馈无该需求</v>
      </c>
      <c r="Q28" s="81" t="str">
        <v>左晨反馈“用手机控制的 先都hold，方案换了。”
0708 与令平确认，与手车互联一起pending到9月5号</v>
      </c>
      <c r="S28" s="11" t="str">
        <v>block</v>
      </c>
      <c r="U28" s="11" t="str">
        <v>❌</v>
      </c>
      <c r="W28" s="11" t="str">
        <v>block</v>
      </c>
      <c r="AB28" s="11" t="inlineStr">
        <is>
          <r>
            <t>@刘晓帝</t>
          </r>
        </is>
      </c>
    </row>
    <row r="29" spans="1:28">
      <c r="A29" s="277" t="str">
        <v>语音控制音乐</v>
      </c>
      <c r="B29" s="278" t="str">
        <v>语音控制音乐</v>
      </c>
      <c r="C29" s="278" t="str">
        <v>播放音乐</v>
      </c>
      <c r="D29" s="277" t="str">
        <v>播放音乐意图</v>
      </c>
      <c r="E29" s="277" t="str">
        <v>P0</v>
      </c>
      <c r="F29" s="14" t="str">
        <v>我要听音乐</v>
      </c>
      <c r="G29" s="289">
        <v>46101</v>
      </c>
      <c r="H29" s="150" t="str">
        <v>✅</v>
      </c>
      <c r="I29" s="77"/>
      <c r="J29" s="150" t="str">
        <v>✅</v>
      </c>
      <c r="K29" s="229"/>
      <c r="L29" s="11" t="str">
        <v>音乐歌曲播放</v>
      </c>
      <c r="M29" s="139"/>
      <c r="N29" s="139"/>
      <c r="P29" s="150" t="str">
        <v>✅</v>
      </c>
      <c r="Q29" s="16" t="inlineStr">
        <is>
          <r>
            <rPr>
              <sz val="10"/>
              <color rgb="FF4E83FD"/>
              <rFont val="Arial"/>
            </rPr>
            <t>song</t>
          </r>
          <r>
            <rPr>
              <sz val="10"/>
              <color rgb="FF000000"/>
              <rFont val="Arial"/>
            </rPr>
            <t xml:space="preserve"> 表示歌曲名
</t>
          </r>
          <r>
            <rPr>
              <sz val="10"/>
              <color rgb="FF4E83FD"/>
              <rFont val="Arial"/>
            </rPr>
            <t>index</t>
          </r>
          <r>
            <rPr>
              <sz val="10"/>
              <color rgb="FF000000"/>
              <rFont val="Arial"/>
            </rPr>
            <t xml:space="preserve"> 表示用户想听第几首
</t>
          </r>
          <r>
            <rPr>
              <sz val="10"/>
              <color rgb="FF4E83FD"/>
              <rFont val="Arial"/>
            </rPr>
            <t>artist</t>
          </r>
          <r>
            <rPr>
              <sz val="10"/>
              <color rgb="FF000000"/>
              <rFont val="Arial"/>
            </rPr>
            <t xml:space="preserve"> 表示歌手名。当用户要求多个歌手的歌曲,用","分割多个歌手名,如"汪苏泷,单思纯"。若未提及可
输出空。
</t>
          </r>
          <r>
            <rPr>
              <sz val="10"/>
              <color rgb="FF4E83FD"/>
              <rFont val="Arial"/>
            </rPr>
            <t>album</t>
          </r>
          <r>
            <rPr>
              <sz val="10"/>
              <color rgb="FF000000"/>
              <rFont val="Arial"/>
            </rPr>
            <t xml:space="preserve"> 表示专辑名。当用户没有提到专辑名时,可以输出"空"
</t>
          </r>
          <r>
            <rPr>
              <sz val="10"/>
              <color rgb="FF4E83FD"/>
              <rFont val="Arial"/>
            </rPr>
            <t xml:space="preserve">media_source </t>
          </r>
          <r>
            <rPr>
              <sz val="10"/>
              <color rgb="FF000000"/>
              <rFont val="Arial"/>
            </rPr>
            <t xml:space="preserve"> U盘,蓝牙,在线,本地,qq音乐,网易云音乐,酷狗,酷我,
千千静听,咪咕音乐,空,其他
</t>
          </r>
          <r>
            <rPr>
              <sz val="10"/>
              <color rgb="FF4E83FD"/>
              <rFont val="Arial"/>
            </rPr>
            <t xml:space="preserve">lyric </t>
          </r>
          <r>
            <rPr>
              <sz val="10"/>
              <color rgb="FF000000"/>
              <rFont val="Arial"/>
            </rPr>
            <t xml:space="preserve"> 表示歌词,当用户想要播放包含某些歌词的歌曲时,使用这个参数,并通过你的知识推理出歌曲名
在参数song里。如果用户没有提到歌词,可以输出"空"。
</t>
          </r>
          <r>
            <rPr>
              <sz val="10"/>
              <color rgb="FF4E83FD"/>
              <rFont val="Arial"/>
            </rPr>
            <t xml:space="preserve">rank_name </t>
          </r>
          <r>
            <rPr>
              <sz val="10"/>
              <color rgb="FF000000"/>
              <rFont val="Arial"/>
            </rPr>
            <t xml:space="preserve">表示榜单名,当用户想要播放某个榜单时,如新歌榜、热歌榜等,可以使用此参数,如果用户没有提到榜单,可以输出"空"
</t>
          </r>
          <r>
            <rPr>
              <sz val="10"/>
              <color rgb="FF4E83FD"/>
              <rFont val="Arial"/>
            </rPr>
            <t>song_tag</t>
          </r>
          <r>
            <rPr>
              <sz val="10"/>
              <color rgb="FF000000"/>
              <rFont val="Arial"/>
            </rPr>
            <t xml:space="preserve">表示歌曲标签,当用户想要根据某种标签来筛选歌曲时,可以用此参数。歌曲标签一般包含:
语言:中文,华语,日语,法语,韩语,英语,西班牙语,粤语语,俄语
-场景:夜店,学习工作,咖啡馆,运动,睡前,旅行,跳舞,派派对,婚礼,约会,校园,开车,学
习,清晨,亲热,咖啡店,散步,工作,婚礼,广场舞
-心情:如伤感,放松,励志,开心,甜蜜,兴奋,安静,寂寞,思念,快乐,安静,宣泄
-目标人群:老人,儿童,宝宝,男人,女人
-主题:KTV金曲,网络歌曲,背景音乐,经典老歌,情歌,儿欢,ACG,影视,综艺,游戏,乐
器,城市,戏曲,DJ神曲,MC喊麦,佛教音乐,厂牌专区,人气音乐节,怀旧,古风,网红,佛
乐,器乐,KTV,喊麦,抖音,3D,店铺专用,纯音乐,国风
奖项:格莱美奖,金曲奖,全美音乐奖,公告牌音乐奖,音乐录像带奖,朱诺大奖,钻石奖,蒙特
卡罗世界音乐奖,水星音乐奖,流行音乐奖,亚洲音乐大奖,世界界音乐大奖,台湾金曲奖
地区:内地,中国香港,中国台湾,港台,欧洲,欧美,&lt;国家名称&gt;,&lt;城市名称&gt;
-曲风:流行,摇滚,民谣,电子,舞曲,说唱,轻音乐,爵士,乡村,R&amp;B,古典,民族,英伦,
金属,雷鬼,拉丁,乡村,古风,嘻哈,后摇,hip-hop,民歌,蓝调
-年代:90年代,80年代,00年代,70年代
一年份:2008年,2024年
-性别:男,女,合唱,组合
-版本:现场,翻唱,合唱,伴奏,原唱
-乐器:吉他,钢琴,二胡,电子琴,贝斯,口琴,竖琴,小提琴,大提琴,中提琴,长笛,短笛,
单簧管,双簧管,古筝,琵琶,葫芦丝,手风琴
-资费:全部资费,免费,VIP,付费
-品质:高品质,无损,普通
当用户的表达里包含多个标签,用","分割多个标签,如"英英语,80年代"。
</t>
          </r>
          <r>
            <rPr>
              <sz val="10"/>
              <color rgb="FF4E83FD"/>
              <rFont val="Arial"/>
            </rPr>
            <t xml:space="preserve">media_type </t>
          </r>
          <r>
            <rPr>
              <sz val="10"/>
              <color rgb="FF1F2329"/>
              <rFont val="Arial"/>
            </rPr>
            <t>歌曲,专辑,榜单,空</t>
          </r>
        </is>
      </c>
      <c r="S29" s="11" t="str">
        <v>✅</v>
      </c>
      <c r="T29" s="11" t="str">
        <v>❌</v>
      </c>
      <c r="U29" s="11" t="str">
        <v>✅</v>
      </c>
      <c r="V29" s="11" t="str">
        <v>✅</v>
      </c>
      <c r="W29" s="11" t="str">
        <v>✅</v>
      </c>
      <c r="Z29" s="11" t="str">
        <v>✅</v>
      </c>
      <c r="AA29" s="11" t="str">
        <v>是</v>
      </c>
      <c r="AB29" s="11" t="inlineStr">
        <is>
          <r>
            <t>@刘晓帝</t>
          </r>
        </is>
      </c>
    </row>
    <row r="30" spans="1:28">
      <c r="A30" s="277" t="str">
        <v>语音控制音乐</v>
      </c>
      <c r="B30" s="279"/>
      <c r="C30" s="279"/>
      <c r="D30" s="277" t="str">
        <v>指定&lt;音乐音效&gt;播放音乐</v>
      </c>
      <c r="E30" s="277" t="str">
        <v>P0</v>
      </c>
      <c r="F30" s="115" t="str">
        <v>开始播放u盘音乐、继续播放蓝牙音乐、播放网易云音乐</v>
      </c>
      <c r="G30" s="289">
        <v>46101</v>
      </c>
      <c r="H30" s="150" t="str">
        <v>✅</v>
      </c>
      <c r="I30" s="77"/>
      <c r="J30" s="150" t="str">
        <v>✅</v>
      </c>
      <c r="K30" s="229"/>
      <c r="L30" s="16" t="str">
        <v>音乐歌曲播放</v>
      </c>
      <c r="M30" s="139"/>
      <c r="N30" s="139"/>
      <c r="P30" s="150" t="str">
        <v>✅</v>
      </c>
      <c r="S30" s="11" t="str">
        <v>block</v>
      </c>
      <c r="T30" s="11" t="str">
        <v>无U盘</v>
      </c>
      <c r="U30" s="11" t="str">
        <v>无U盘</v>
      </c>
      <c r="V30" s="11" t="str">
        <v>无U盘</v>
      </c>
      <c r="W30" s="11" t="str">
        <v>block</v>
      </c>
      <c r="AB30" s="11" t="inlineStr">
        <is>
          <r>
            <t>@刘晓帝</t>
          </r>
        </is>
      </c>
    </row>
    <row r="31" spans="1:32">
      <c r="A31" s="277" t="str">
        <v>语音控制音乐</v>
      </c>
      <c r="B31" s="279"/>
      <c r="C31" s="279"/>
      <c r="D31" s="277" t="str">
        <v>基于条件播放音乐</v>
      </c>
      <c r="E31" s="277" t="str">
        <v>P0</v>
      </c>
      <c r="F31" s="14" t="inlineStr">
        <is>
          <r>
            <rPr>
              <sz val="10"/>
              <rFont val="Arial"/>
            </rPr>
            <t>播放王菲的歌、播放假如爱有天意、</t>
          </r>
          <r>
            <rPr>
              <sz val="10"/>
              <color rgb="FFF54A45"/>
              <rFont val="Arial"/>
            </rPr>
            <t>收听专辑范特西</t>
          </r>
        </is>
      </c>
      <c r="G31" s="289">
        <v>46101</v>
      </c>
      <c r="H31" s="150" t="str">
        <v>✅</v>
      </c>
      <c r="I31" s="77"/>
      <c r="J31" s="150" t="str">
        <v>✅</v>
      </c>
      <c r="K31" s="229"/>
      <c r="L31" s="16" t="str">
        <v>音乐歌曲播放</v>
      </c>
      <c r="M31" s="139"/>
      <c r="N31" s="139"/>
      <c r="P31" s="150" t="str">
        <v>✅</v>
      </c>
      <c r="S31" s="11" t="str">
        <v>✅</v>
      </c>
      <c r="T31" s="11" t="str">
        <v>❌</v>
      </c>
      <c r="U31" s="11" t="str">
        <v>❌</v>
      </c>
      <c r="V31" s="11" t="str">
        <v>✅</v>
      </c>
      <c r="W31" s="11" t="str">
        <v>✅</v>
      </c>
      <c r="Z31" s="11" t="str">
        <v>✅</v>
      </c>
      <c r="AA31" s="11" t="str">
        <v>是</v>
      </c>
      <c r="AB31" s="11" t="inlineStr">
        <is>
          <r>
            <t>@刘晓帝</t>
          </r>
        </is>
      </c>
      <c r="AE31" s="16" t="str">
        <v>20260526104252FC0829252FD4D9BDD202</v>
      </c>
      <c r="AF31" s="11" t="str">
        <v>播放王菲的歌 音乐画布无歌曲选择选项</v>
      </c>
    </row>
    <row r="32" spans="1:28">
      <c r="A32" s="277" t="str">
        <v>语音控制音乐</v>
      </c>
      <c r="B32" s="279"/>
      <c r="C32" s="279"/>
      <c r="D32" s="277" t="str">
        <v>指定&lt;音乐音效&gt;播放基于条件的音乐</v>
      </c>
      <c r="E32" s="277" t="str">
        <v>P0</v>
      </c>
      <c r="F32" s="14" t="inlineStr">
        <is>
          <r>
            <rPr>
              <sz val="10"/>
              <rFont val="Arial"/>
            </rPr>
            <t>用</t>
          </r>
          <r>
            <rPr>
              <sz val="10"/>
              <color rgb="FFF54A45"/>
              <rFont val="Arial"/>
            </rPr>
            <t>网易云</t>
          </r>
          <r>
            <rPr>
              <sz val="10"/>
              <rFont val="Arial"/>
            </rPr>
            <t>音乐播放周杰伦的歌、用</t>
          </r>
          <r>
            <rPr>
              <sz val="10"/>
              <color rgb="FFF54A45"/>
              <rFont val="Arial"/>
            </rPr>
            <t>QQ音乐</t>
          </r>
          <r>
            <rPr>
              <sz val="10"/>
              <rFont val="Arial"/>
            </rPr>
            <t>播放周杰伦的青花瓷</t>
          </r>
        </is>
      </c>
      <c r="G32" s="289">
        <v>46101</v>
      </c>
      <c r="H32" s="150" t="str">
        <v>✅</v>
      </c>
      <c r="I32" s="77"/>
      <c r="J32" s="150" t="str">
        <v>✅</v>
      </c>
      <c r="K32" s="229"/>
      <c r="L32" s="16" t="str">
        <v>音乐歌曲播放</v>
      </c>
      <c r="M32" s="139"/>
      <c r="N32" s="139"/>
      <c r="P32" s="150" t="str">
        <v>✅</v>
      </c>
      <c r="S32" s="11" t="str">
        <v>✅</v>
      </c>
      <c r="T32" s="11" t="str">
        <v>✅</v>
      </c>
      <c r="U32" s="11" t="str">
        <v>✅</v>
      </c>
      <c r="V32" s="11" t="str">
        <v>✅</v>
      </c>
      <c r="W32" s="11" t="str">
        <v>❌</v>
      </c>
      <c r="Y32" s="11" t="str">
        <v>✅</v>
      </c>
      <c r="AA32" s="11" t="str">
        <v>是</v>
      </c>
      <c r="AB32" s="11" t="inlineStr">
        <is>
          <r>
            <t>@刘晓帝</t>
          </r>
        </is>
      </c>
    </row>
    <row r="33" spans="1:28">
      <c r="A33" s="277" t="str">
        <v>语音控制音乐</v>
      </c>
      <c r="B33" s="279"/>
      <c r="C33" s="279"/>
      <c r="D33" s="290" t="str">
        <v>播放已下载的音乐</v>
      </c>
      <c r="E33" s="290" t="str">
        <v>P1</v>
      </c>
      <c r="F33" s="196" t="str">
        <v>我要听下载的音乐</v>
      </c>
      <c r="G33" s="179" t="str">
        <v>NA</v>
      </c>
      <c r="I33" s="77"/>
      <c r="K33" s="229"/>
      <c r="L33" s="179" t="str">
        <v>音乐歌曲播放</v>
      </c>
      <c r="M33" s="139"/>
      <c r="N33" s="139"/>
      <c r="O33" s="179" t="str">
        <v>已拖底展示</v>
      </c>
      <c r="P33" s="150" t="str">
        <v>✅</v>
      </c>
      <c r="S33" s="196" t="str">
        <v>block</v>
      </c>
      <c r="U33" s="196" t="str">
        <v>B</v>
      </c>
      <c r="V33" s="196" t="str">
        <v>B</v>
      </c>
      <c r="AB33" s="11" t="inlineStr">
        <is>
          <r>
            <t>@刘晓帝</t>
          </r>
        </is>
      </c>
    </row>
    <row r="34" spans="1:28">
      <c r="A34" s="277" t="str">
        <v>语音控制音乐</v>
      </c>
      <c r="B34" s="279"/>
      <c r="C34" s="279"/>
      <c r="D34" s="290" t="str">
        <v>播放最近播放列表</v>
      </c>
      <c r="E34" s="277" t="str">
        <v>P0</v>
      </c>
      <c r="F34" s="196" t="str">
        <v>播放最近播放的歌曲、收听最近的播放列表</v>
      </c>
      <c r="G34" s="179" t="str">
        <v>NA</v>
      </c>
      <c r="I34" s="77"/>
      <c r="K34" s="229"/>
      <c r="L34" s="196" t="str">
        <v>媒体列表播放</v>
      </c>
      <c r="M34" s="139"/>
      <c r="N34" s="139"/>
      <c r="P34" s="150" t="str">
        <v>✅</v>
      </c>
      <c r="Q34" s="179"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34" s="196" t="str">
        <v>block</v>
      </c>
      <c r="U34" s="196" t="str">
        <v>B</v>
      </c>
      <c r="V34" s="196" t="str">
        <v>B</v>
      </c>
      <c r="AA34" s="11" t="str">
        <v>是</v>
      </c>
      <c r="AB34" s="11" t="inlineStr">
        <is>
          <r>
            <t>@刘晓帝</t>
          </r>
        </is>
      </c>
    </row>
    <row r="35" spans="1:28">
      <c r="A35" s="277" t="str">
        <v>语音控制音乐</v>
      </c>
      <c r="B35" s="279"/>
      <c r="C35" s="280"/>
      <c r="D35" s="277" t="str">
        <v>播放这个歌手其他歌曲</v>
      </c>
      <c r="E35" s="277" t="str">
        <v>P0</v>
      </c>
      <c r="F35" s="14" t="str">
        <v>播放这个歌手的其他歌曲</v>
      </c>
      <c r="G35" s="289">
        <v>46101</v>
      </c>
      <c r="H35" s="150" t="str">
        <v>✅</v>
      </c>
      <c r="I35" s="77"/>
      <c r="J35" s="150" t="str">
        <v>✅</v>
      </c>
      <c r="K35" s="229"/>
      <c r="L35" s="16" t="inlineStr">
        <is>
          <r>
            <rPr>
              <sz val="10"/>
              <color rgb="FF000000"/>
              <rFont val="Arial"/>
            </rPr>
            <t>音乐歌曲播放（</t>
          </r>
          <r>
            <rPr>
              <sz val="10"/>
              <color rgb="FFF54A45"/>
              <rFont val="Arial"/>
            </rPr>
            <t>依赖端状态或carinfo上传</t>
          </r>
          <r>
            <rPr>
              <sz val="10"/>
              <color rgb="FF000000"/>
              <rFont val="Arial"/>
            </rPr>
            <t>）</t>
          </r>
        </is>
      </c>
      <c r="M35" s="139"/>
      <c r="N35" s="139"/>
      <c r="P35" s="150" t="str">
        <v>✅</v>
      </c>
      <c r="S35" s="150" t="str">
        <v>✅</v>
      </c>
      <c r="T35" s="11" t="str">
        <v>❌</v>
      </c>
      <c r="U35" s="150" t="str">
        <v>✅</v>
      </c>
      <c r="V35" s="150" t="str">
        <v>✅</v>
      </c>
      <c r="W35" s="150" t="str">
        <v>✅</v>
      </c>
      <c r="Z35" s="11" t="str">
        <v>✅</v>
      </c>
      <c r="AA35" s="11" t="str">
        <v>是</v>
      </c>
      <c r="AB35" s="11" t="inlineStr">
        <is>
          <r>
            <t>@刘晓帝</t>
          </r>
        </is>
      </c>
    </row>
    <row r="36" spans="1:28">
      <c r="A36" s="277" t="str">
        <v>语音控制音乐</v>
      </c>
      <c r="B36" s="279"/>
      <c r="C36" s="278" t="str">
        <v>歌词</v>
      </c>
      <c r="D36" s="277" t="str">
        <v>打开歌词</v>
      </c>
      <c r="E36" s="277" t="str">
        <v>P0</v>
      </c>
      <c r="F36" s="291" t="str">
        <v>打开歌词、显示歌词</v>
      </c>
      <c r="G36" s="289">
        <v>46101</v>
      </c>
      <c r="H36" s="150" t="str">
        <v>✅</v>
      </c>
      <c r="I36" s="77"/>
      <c r="J36" s="150" t="str">
        <v>✅</v>
      </c>
      <c r="K36" s="229"/>
      <c r="L36" s="11" t="str">
        <v>歌词开关</v>
      </c>
      <c r="M36" s="139"/>
      <c r="N36" s="139"/>
      <c r="P36" s="150" t="str">
        <v>✅</v>
      </c>
      <c r="Q36" s="16" t="inlineStr">
        <is>
          <r>
            <rPr>
              <sz val="10"/>
              <color rgb="FF000000"/>
              <rFont val="Arial"/>
            </rPr>
            <t xml:space="preserve">action打开,关闭
</t>
          </r>
          <r>
            <rPr>
              <sz val="10"/>
              <color rgb="FFF54A45"/>
              <rFont val="Arial"/>
            </rPr>
            <t>screen</t>
          </r>
          <r>
            <rPr>
              <sz val="10"/>
              <color rgb="FF000000"/>
              <rFont val="Arial"/>
            </rPr>
            <t>中控屏、副驾屏、仪表、后排屏、左后屏、右后屏、前排屏、全部屏、PAD、语音屏、后排吸顶屏、其他、空</t>
          </r>
        </is>
      </c>
      <c r="S36" s="150" t="str">
        <v>✅</v>
      </c>
      <c r="T36" s="150" t="str">
        <v>✅</v>
      </c>
      <c r="U36" s="150" t="str">
        <v>✅</v>
      </c>
      <c r="V36" s="150" t="str">
        <v>✅</v>
      </c>
      <c r="W36" s="150" t="str">
        <v>✅</v>
      </c>
      <c r="AA36" s="11" t="str">
        <v>是</v>
      </c>
      <c r="AB36" s="11" t="inlineStr">
        <is>
          <r>
            <t>@刘晓帝</t>
          </r>
        </is>
      </c>
    </row>
    <row r="37" spans="1:28">
      <c r="A37" s="277" t="str">
        <v>语音控制音乐</v>
      </c>
      <c r="B37" s="279"/>
      <c r="C37" s="280"/>
      <c r="D37" s="277" t="str">
        <v>关闭歌词</v>
      </c>
      <c r="E37" s="277" t="str">
        <v>P0</v>
      </c>
      <c r="F37" s="291" t="str">
        <v>关闭歌词、把歌词关掉</v>
      </c>
      <c r="G37" s="289">
        <v>46101</v>
      </c>
      <c r="H37" s="150" t="str">
        <v>✅</v>
      </c>
      <c r="I37" s="77"/>
      <c r="J37" s="150" t="str">
        <v>✅</v>
      </c>
      <c r="K37" s="229"/>
      <c r="L37" s="11" t="str">
        <v>歌词开关</v>
      </c>
      <c r="M37" s="139"/>
      <c r="N37" s="139"/>
      <c r="P37" s="150" t="str">
        <v>✅</v>
      </c>
      <c r="Q37" s="16" t="inlineStr">
        <is>
          <r>
            <rPr>
              <sz val="10"/>
              <color rgb="FF000000"/>
              <rFont val="Arial"/>
            </rPr>
            <t xml:space="preserve">action打开,关闭
</t>
          </r>
          <r>
            <rPr>
              <sz val="10"/>
              <color rgb="FFF54A45"/>
              <rFont val="Arial"/>
            </rPr>
            <t>screen</t>
          </r>
          <r>
            <rPr>
              <sz val="10"/>
              <color rgb="FF000000"/>
              <rFont val="Arial"/>
            </rPr>
            <t>中控屏、副驾屏、仪表、后排屏、左后屏、右后屏、前排屏、全部屏、PAD、语音屏、后排吸顶屏、其他、空</t>
          </r>
        </is>
      </c>
      <c r="S37" s="150" t="str">
        <v>✅</v>
      </c>
      <c r="T37" s="150" t="str">
        <v>✅</v>
      </c>
      <c r="U37" s="150" t="str">
        <v>✅</v>
      </c>
      <c r="V37" s="150" t="str">
        <v>✅</v>
      </c>
      <c r="W37" s="150" t="str">
        <v>✅</v>
      </c>
      <c r="AA37" s="11" t="str">
        <v>是</v>
      </c>
      <c r="AB37" s="11" t="inlineStr">
        <is>
          <r>
            <t>@刘晓帝</t>
          </r>
        </is>
      </c>
    </row>
    <row r="38" spans="1:28">
      <c r="A38" s="277" t="str">
        <v>语音控制音乐</v>
      </c>
      <c r="B38" s="279"/>
      <c r="C38" s="278" t="str">
        <v>播放歌单</v>
      </c>
      <c r="D38" s="277" t="str">
        <v>播放歌单</v>
      </c>
      <c r="E38" s="277" t="str">
        <v>P0</v>
      </c>
      <c r="F38" s="14" t="str">
        <v>播放我的歌单</v>
      </c>
      <c r="G38" s="276" t="str">
        <v>3/20开发完毕，只支持QQ音乐和网易云</v>
      </c>
      <c r="H38" s="150" t="str">
        <v>✅</v>
      </c>
      <c r="I38" s="77"/>
      <c r="J38" s="150" t="str">
        <v>✅</v>
      </c>
      <c r="K38" s="229"/>
      <c r="L38" s="11" t="str">
        <v>音乐歌单播放</v>
      </c>
      <c r="M38" s="139"/>
      <c r="N38" s="139"/>
      <c r="P38" s="150" t="str">
        <v>✅</v>
      </c>
      <c r="Q38" s="16" t="str">
        <v>list_name表示歌单名,当用户想要播放某个歌单时,可以使用此参数。如果用户没有提到歌单,可以输
出"空"
list_type我的,订阅,喜欢收藏,每日推荐,猜你喜欢,为你推荐,新歌 
推荐,华语私人订制,时光雷达,宝藏雷达,私人雷达,空
media sourceU盘,蓝牙,在线,本地,qq音乐,网易云音乐,酷狗,酷我,
千千静听,咪咕音乐,空,其他</v>
      </c>
      <c r="S38" s="150" t="str">
        <v>✅</v>
      </c>
      <c r="T38" s="150" t="str">
        <v>✅</v>
      </c>
      <c r="U38" s="150" t="str">
        <v>✅</v>
      </c>
      <c r="V38" s="150" t="str">
        <v>✅</v>
      </c>
      <c r="W38" s="150" t="str">
        <v>✅</v>
      </c>
      <c r="AA38" s="11" t="str">
        <v>是</v>
      </c>
      <c r="AB38" s="11" t="inlineStr">
        <is>
          <r>
            <t>@刘晓帝</t>
          </r>
        </is>
      </c>
    </row>
    <row r="39" spans="1:28">
      <c r="A39" s="277" t="str">
        <v>语音控制音乐</v>
      </c>
      <c r="B39" s="279"/>
      <c r="C39" s="279"/>
      <c r="D39" s="277" t="str">
        <v>播放收藏的音乐</v>
      </c>
      <c r="E39" s="277" t="str">
        <v>P0</v>
      </c>
      <c r="F39" s="14" t="str">
        <v>播放收藏的音乐</v>
      </c>
      <c r="G39" s="287">
        <v>46101</v>
      </c>
      <c r="H39" s="150" t="str">
        <v>✅</v>
      </c>
      <c r="I39" s="77"/>
      <c r="J39" s="150" t="str">
        <v>✅</v>
      </c>
      <c r="K39" s="229"/>
      <c r="L39" s="11" t="str">
        <v>媒体列表播放</v>
      </c>
      <c r="M39" s="139"/>
      <c r="N39" s="139"/>
      <c r="P39" s="150" t="str">
        <v>✅</v>
      </c>
      <c r="Q39" s="16"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39" s="150" t="str">
        <v>✅</v>
      </c>
      <c r="T39" s="150" t="str">
        <v>✅</v>
      </c>
      <c r="U39" s="150" t="str">
        <v>✅</v>
      </c>
      <c r="V39" s="150" t="str">
        <v>✅</v>
      </c>
      <c r="W39" s="150" t="str">
        <v>✅</v>
      </c>
      <c r="AA39" s="11" t="str">
        <v>是</v>
      </c>
      <c r="AB39" s="11" t="inlineStr">
        <is>
          <r>
            <t>@刘晓帝</t>
          </r>
        </is>
      </c>
    </row>
    <row r="40" spans="1:32">
      <c r="A40" s="277" t="str">
        <v>语音控制音乐</v>
      </c>
      <c r="B40" s="279"/>
      <c r="C40" s="279"/>
      <c r="D40" s="277" t="str">
        <v>播放每日推荐的音乐</v>
      </c>
      <c r="E40" s="277" t="str">
        <v>P0</v>
      </c>
      <c r="F40" s="14" t="str">
        <v>播放每日推荐的音乐</v>
      </c>
      <c r="G40" s="287">
        <v>46101</v>
      </c>
      <c r="H40" s="150" t="str">
        <v>✅</v>
      </c>
      <c r="I40" s="77"/>
      <c r="J40" s="150" t="str">
        <v>✅</v>
      </c>
      <c r="K40" s="229"/>
      <c r="L40" s="11" t="str">
        <v>音乐歌单播放</v>
      </c>
      <c r="M40" s="139"/>
      <c r="N40" s="139"/>
      <c r="P40" s="150" t="str">
        <v>✅</v>
      </c>
      <c r="Q40" s="16" t="str">
        <v>list_name表示歌单名,当用户想要播放某个歌单时,可以使用此参数。如果用户没有提到歌单,可以输
出"空"
list_type我的,订阅,喜欢收藏,每日推荐,猜你喜欢,为你推荐,新歌 
推荐,华语私人订制,时光雷达,宝藏雷达,私人雷达,空
media sourceU盘,蓝牙,在线,本地,qq音乐,网易云音乐,酷狗,酷我,
千千静听,咪咕音乐,空,其他</v>
      </c>
      <c r="S40" s="11" t="str">
        <v>✅</v>
      </c>
      <c r="T40" s="150" t="str">
        <v>✅</v>
      </c>
      <c r="U40" s="150" t="str">
        <v>✅</v>
      </c>
      <c r="V40" s="150" t="str">
        <v>✅</v>
      </c>
      <c r="W40" s="150" t="str">
        <v>❌</v>
      </c>
      <c r="Y40" s="11" t="str">
        <v>✅</v>
      </c>
      <c r="AA40" s="11" t="str">
        <v>是</v>
      </c>
      <c r="AB40" s="11" t="inlineStr">
        <is>
          <r>
            <t>@刘晓帝</t>
          </r>
        </is>
      </c>
      <c r="AE40" s="11" t="str">
        <v>20260612183939A6B90D57568C1205834E</v>
      </c>
      <c r="AF40" s="11" t="str">
        <v>没有播放每日推荐的歌曲</v>
      </c>
    </row>
    <row r="41" spans="1:28">
      <c r="A41" s="277" t="str">
        <v>语音控制音乐</v>
      </c>
      <c r="B41" s="279"/>
      <c r="C41" s="280"/>
      <c r="D41" s="277" t="str">
        <v>播放首页歌单</v>
      </c>
      <c r="E41" s="277" t="str">
        <v>P1</v>
      </c>
      <c r="F41" s="14" t="str">
        <v>播放猜你喜欢</v>
      </c>
      <c r="G41" s="276" t="str">
        <v>3/20开发完毕，只支持QQ音乐和网易云</v>
      </c>
      <c r="H41" s="150" t="str">
        <v>✅</v>
      </c>
      <c r="I41" s="77"/>
      <c r="J41" s="150" t="str">
        <v>✅</v>
      </c>
      <c r="K41" s="229"/>
      <c r="L41" s="11" t="str">
        <v>音乐歌单播放</v>
      </c>
      <c r="M41" s="139"/>
      <c r="N41" s="139"/>
      <c r="P41" s="150" t="str">
        <v>✅</v>
      </c>
      <c r="Q41" s="16" t="str">
        <v>list_name表示歌单名,当用户想要播放某个歌单时,可以使用此参数。如果用户没有提到歌单,可以输
出"空"
list_type我的,订阅,喜欢收藏,每日推荐,猜你喜欢,为你推荐,新歌 
推荐,华语私人订制,时光雷达,宝藏雷达,私人雷达,空
media sourceU盘,蓝牙,在线,本地,qq音乐,网易云音乐,酷狗,酷我,
千千静听,咪咕音乐,空,其他</v>
      </c>
      <c r="S41" s="150" t="str">
        <v>✅</v>
      </c>
      <c r="T41" s="150" t="str">
        <v>✅</v>
      </c>
      <c r="U41" s="150" t="str">
        <v>✅</v>
      </c>
      <c r="V41" s="150" t="str">
        <v>✅</v>
      </c>
      <c r="W41" s="150" t="str">
        <v>✅</v>
      </c>
      <c r="AA41" s="16" t="str">
        <v>是</v>
      </c>
      <c r="AB41" s="11" t="inlineStr">
        <is>
          <r>
            <t>@刘晓帝</t>
          </r>
        </is>
      </c>
    </row>
    <row r="42" ht="163" customHeight="1" spans="1:32">
      <c r="A42" s="277" t="str">
        <v>语音控制音乐</v>
      </c>
      <c r="B42" s="279"/>
      <c r="C42" s="281" t="str">
        <v>MV操作</v>
      </c>
      <c r="D42" s="277" t="str">
        <v>打开MV</v>
      </c>
      <c r="E42" s="277" t="str">
        <v>P1</v>
      </c>
      <c r="F42" s="14" t="str">
        <v>打开MV、播放这首歌的MV</v>
      </c>
      <c r="H42" s="150" t="str">
        <v>NA</v>
      </c>
      <c r="I42" s="77"/>
      <c r="J42" s="14" t="str">
        <v>❌</v>
      </c>
      <c r="K42" s="229"/>
      <c r="L42" s="174" t="str">
        <v>音乐MV开关</v>
      </c>
      <c r="M42" s="139"/>
      <c r="N42" s="139"/>
      <c r="O42" s="46" t="str">
        <v>0721邹泽文反馈次功能不实施</v>
      </c>
      <c r="P42" s="150" t="str">
        <v>✅</v>
      </c>
      <c r="Q42" s="122"/>
      <c r="S42" s="11" t="str">
        <v>NA</v>
      </c>
      <c r="T42" s="11" t="str">
        <v>❌</v>
      </c>
      <c r="U42" s="11" t="str">
        <v>❌</v>
      </c>
      <c r="V42" s="11" t="str">
        <v>❌</v>
      </c>
      <c r="W42" s="11" t="str">
        <v>❌</v>
      </c>
      <c r="Y42" s="11" t="str">
        <v>NA</v>
      </c>
      <c r="Z42" s="11" t="str">
        <v>NA</v>
      </c>
      <c r="AB42" s="11" t="inlineStr">
        <is>
          <r>
            <t>@刘晓帝</t>
          </r>
        </is>
      </c>
      <c r="AE42" s="184" t="str">
        <v>20260612184315D64BAD407A737960F9F1</v>
      </c>
      <c r="AF42" s="11" t="str">
        <v>走了腾讯视频</v>
      </c>
    </row>
    <row r="43" spans="1:28">
      <c r="A43" s="277" t="str">
        <v>语音控制音乐</v>
      </c>
      <c r="B43" s="279"/>
      <c r="C43" s="283"/>
      <c r="D43" s="277" t="str">
        <v>关闭MV</v>
      </c>
      <c r="E43" s="277" t="str">
        <v>P1</v>
      </c>
      <c r="F43" s="14" t="str">
        <v>关闭MV、退出这首歌的MV</v>
      </c>
      <c r="H43" s="150" t="str">
        <v>NA</v>
      </c>
      <c r="I43" s="77"/>
      <c r="J43" s="14" t="str">
        <v>❌</v>
      </c>
      <c r="K43" s="229"/>
      <c r="L43" s="175"/>
      <c r="M43" s="139"/>
      <c r="N43" s="139"/>
      <c r="O43" s="60"/>
      <c r="P43" s="150" t="str">
        <v>✅</v>
      </c>
      <c r="Q43" s="194"/>
      <c r="S43" s="11" t="str">
        <v>NA</v>
      </c>
      <c r="T43" s="11" t="str">
        <v>❌</v>
      </c>
      <c r="U43" s="11" t="str">
        <v>❌</v>
      </c>
      <c r="V43" s="11" t="str">
        <v>❌</v>
      </c>
      <c r="W43" s="11" t="str">
        <v>❌</v>
      </c>
      <c r="Y43" s="11" t="str">
        <v>NA</v>
      </c>
      <c r="Z43" s="11" t="str">
        <v>NA</v>
      </c>
      <c r="AB43" s="11" t="inlineStr">
        <is>
          <r>
            <t>@刘晓帝</t>
          </r>
        </is>
      </c>
    </row>
    <row r="44" spans="1:28">
      <c r="A44" s="277" t="str">
        <v>语音控制音乐</v>
      </c>
      <c r="B44" s="279"/>
      <c r="C44" s="282"/>
      <c r="D44" s="277" t="str">
        <v>播放基于条件的指定MV</v>
      </c>
      <c r="E44" s="277" t="str">
        <v>P1</v>
      </c>
      <c r="F44" s="14" t="str">
        <v>播放周杰伦的稻香MV</v>
      </c>
      <c r="H44" s="150" t="str">
        <v>NA</v>
      </c>
      <c r="I44" s="77"/>
      <c r="J44" s="14" t="str">
        <v>❌</v>
      </c>
      <c r="K44" s="229"/>
      <c r="L44" s="218" t="str">
        <v>音乐MV播放</v>
      </c>
      <c r="M44" s="139"/>
      <c r="N44" s="139"/>
      <c r="O44" s="110"/>
      <c r="P44" s="150" t="str">
        <v>✅</v>
      </c>
      <c r="Q44" s="190"/>
      <c r="S44" s="11" t="str">
        <v>NA</v>
      </c>
      <c r="T44" s="11" t="str">
        <v>❌</v>
      </c>
      <c r="U44" s="11" t="str">
        <v>❌</v>
      </c>
      <c r="V44" s="11" t="str">
        <v>❌</v>
      </c>
      <c r="W44" s="11" t="str">
        <v>❌</v>
      </c>
      <c r="Y44" s="11" t="str">
        <v>NA</v>
      </c>
      <c r="Z44" s="11" t="str">
        <v>NA</v>
      </c>
      <c r="AB44" s="11" t="inlineStr">
        <is>
          <r>
            <t>@刘晓帝</t>
          </r>
        </is>
      </c>
    </row>
    <row r="45" spans="1:28">
      <c r="A45" s="277" t="str">
        <v>语音控制音乐</v>
      </c>
      <c r="B45" s="279"/>
      <c r="C45" s="278" t="str">
        <v>列表操作</v>
      </c>
      <c r="D45" s="277" t="str">
        <v>打开歌单列表</v>
      </c>
      <c r="E45" s="277" t="str">
        <v>P0</v>
      </c>
      <c r="F45" s="291" t="str">
        <v>打开我的歌单</v>
      </c>
      <c r="G45" s="287">
        <v>46101</v>
      </c>
      <c r="H45" s="150" t="str">
        <v>✅</v>
      </c>
      <c r="I45" s="77"/>
      <c r="J45" s="150" t="str">
        <v>✅</v>
      </c>
      <c r="K45" s="229"/>
      <c r="L45" s="11" t="str">
        <v>音乐歌单开关</v>
      </c>
      <c r="M45" s="139"/>
      <c r="N45" s="139"/>
      <c r="P45" s="150" t="str">
        <v>✅</v>
      </c>
      <c r="Q45" s="16" t="str">
        <v>action打开,关闭
list_name表示要对哪个歌单名进行操作,如果用户没有提到歌单,可以输出空
list_type我的,喜欢收藏,每日推荐,猜你喜欢,新歌推荐,空
media_sourceU盘,蓝牙,在线,本地,qq音乐,网易云音乐,酷狗,酷我,
千千静听,咪咕音乐,空,其他</v>
      </c>
      <c r="S45" s="150" t="str">
        <v>✅</v>
      </c>
      <c r="T45" s="150" t="str">
        <v>✅</v>
      </c>
      <c r="U45" s="150" t="str">
        <v>✅</v>
      </c>
      <c r="V45" s="150" t="str">
        <v>✅</v>
      </c>
      <c r="W45" s="150" t="str">
        <v>✅</v>
      </c>
      <c r="AA45" s="11" t="str">
        <v>是</v>
      </c>
      <c r="AB45" s="11" t="inlineStr">
        <is>
          <r>
            <t>@刘晓帝</t>
          </r>
        </is>
      </c>
    </row>
    <row r="46" spans="1:32">
      <c r="A46" s="277" t="str">
        <v>语音控制音乐</v>
      </c>
      <c r="B46" s="280"/>
      <c r="C46" s="280"/>
      <c r="D46" s="277" t="str">
        <v>关闭歌单列表</v>
      </c>
      <c r="E46" s="277" t="str">
        <v>P0</v>
      </c>
      <c r="F46" s="291" t="str">
        <v>关闭歌单列表</v>
      </c>
      <c r="G46" s="287">
        <v>46101</v>
      </c>
      <c r="H46" s="150" t="str">
        <v>✅</v>
      </c>
      <c r="I46" s="77"/>
      <c r="J46" s="150" t="str">
        <v>✅</v>
      </c>
      <c r="K46" s="226"/>
      <c r="L46" s="11" t="str">
        <v>音乐歌单开关</v>
      </c>
      <c r="M46" s="139"/>
      <c r="N46" s="139"/>
      <c r="P46" s="150" t="str">
        <v>✅</v>
      </c>
      <c r="Q46" s="16" t="str">
        <v>action打开,关闭
list_name表示要对哪个歌单名进行操作,如果用户没有提到歌单,可以输出空
list_type我的,喜欢收藏,每日推荐,猜你喜欢,新歌推荐,空
media_sourceU盘,蓝牙,在线,本地,qq音乐,网易云音乐,酷狗,酷我,
千千静听,咪咕音乐,空,其他</v>
      </c>
      <c r="S46" s="11" t="str">
        <v>✅</v>
      </c>
      <c r="T46" s="150" t="str">
        <v>✅</v>
      </c>
      <c r="U46" s="150" t="str">
        <v>❌</v>
      </c>
      <c r="V46" s="150" t="str">
        <v>✅</v>
      </c>
      <c r="W46" s="150" t="str">
        <v>❌</v>
      </c>
      <c r="Y46" s="11" t="str">
        <v>✅</v>
      </c>
      <c r="AA46" s="11" t="str">
        <v>是</v>
      </c>
      <c r="AB46" s="11" t="inlineStr">
        <is>
          <r>
            <t>@刘晓帝</t>
          </r>
        </is>
      </c>
      <c r="AE46" s="184" t="str">
        <v>202606121844191BA7E853163A4554E631</v>
      </c>
      <c r="AF46" s="11" t="str">
        <v>没有关闭歌单列表</v>
      </c>
    </row>
    <row r="47" spans="1:28">
      <c r="A47" s="288" t="str">
        <v>语音控制本地电台</v>
      </c>
      <c r="B47" s="281" t="str">
        <v>语音控制本地电台</v>
      </c>
      <c r="C47" s="278" t="str">
        <v>播放本地电台</v>
      </c>
      <c r="D47" s="277" t="str">
        <v>播放本地电台意图</v>
      </c>
      <c r="E47" s="277" t="str">
        <v>P0</v>
      </c>
      <c r="F47" s="14" t="inlineStr">
        <is>
          <r>
            <rPr>
              <sz val="10"/>
              <rFont val="Arial"/>
            </rPr>
            <t>我要听</t>
          </r>
          <r>
            <rPr>
              <sz val="10"/>
              <color rgb="FFF54A45"/>
              <rFont val="Arial"/>
            </rPr>
            <t>FM</t>
          </r>
          <r>
            <rPr>
              <sz val="10"/>
              <rFont val="Arial"/>
            </rPr>
            <t>、我要听本地电台</t>
          </r>
        </is>
      </c>
      <c r="H47" s="150" t="str">
        <v>✅</v>
      </c>
      <c r="I47" s="77"/>
      <c r="J47" s="150" t="str">
        <v>✅</v>
      </c>
      <c r="K47" s="227" t="str">
        <v>✅</v>
      </c>
      <c r="L47" s="11" t="str">
        <v>本地电台播放</v>
      </c>
      <c r="M47" s="139"/>
      <c r="N47" s="139"/>
      <c r="P47" s="150" t="str">
        <v>✅</v>
      </c>
      <c r="Q47" s="16" t="str">
        <v>modeAM,FM,空
channel 表示要播放的电台频道,输出数值,如101.5、102.3等。老吉未提及可输出空
media source本地电台,收音机,空</v>
      </c>
      <c r="S47" s="150" t="str">
        <v>✅</v>
      </c>
      <c r="U47" s="11" t="str">
        <v>❌</v>
      </c>
      <c r="V47" s="150" t="str">
        <v>✅</v>
      </c>
      <c r="W47" s="150" t="str">
        <v>✅</v>
      </c>
      <c r="AA47" s="11" t="str">
        <v>是</v>
      </c>
      <c r="AB47" s="11" t="inlineStr">
        <is>
          <r>
            <t>@刘晓帝</t>
          </r>
        </is>
      </c>
    </row>
    <row r="48" spans="1:28">
      <c r="A48" s="288" t="str">
        <v>语音控制本地电台</v>
      </c>
      <c r="B48" s="283"/>
      <c r="C48" s="279"/>
      <c r="D48" s="277" t="str">
        <v>本地电台调频选择</v>
      </c>
      <c r="E48" s="277" t="str">
        <v>P0</v>
      </c>
      <c r="F48" s="14" t="str">
        <v>调频87.5、播放FM87.5</v>
      </c>
      <c r="H48" s="150" t="str">
        <v>✅</v>
      </c>
      <c r="I48" s="77"/>
      <c r="J48" s="150" t="str">
        <v>✅</v>
      </c>
      <c r="K48" s="229"/>
      <c r="L48" s="11" t="str">
        <v>本地电台播放</v>
      </c>
      <c r="M48" s="139"/>
      <c r="N48" s="156"/>
      <c r="P48" s="150" t="str">
        <v>✅</v>
      </c>
      <c r="Q48" s="16" t="str">
        <v>modeAM,FM,空
channel 表示要播放的电台频道,输出数值,如101.5、102.3等。老吉未提及可输出空
media source本地电台,收音机,空</v>
      </c>
      <c r="S48" s="150" t="str">
        <v>✅</v>
      </c>
      <c r="T48" s="150" t="str">
        <v>✅</v>
      </c>
      <c r="U48" s="11" t="str">
        <v>❌</v>
      </c>
      <c r="V48" s="150" t="str">
        <v>✅</v>
      </c>
      <c r="W48" s="150" t="str">
        <v>✅</v>
      </c>
      <c r="AA48" s="11" t="str">
        <v>是</v>
      </c>
      <c r="AB48" s="11" t="inlineStr">
        <is>
          <r>
            <t>@刘晓帝</t>
          </r>
        </is>
      </c>
    </row>
    <row r="49" spans="1:28">
      <c r="A49" s="288" t="str">
        <v>语音控制本地电台</v>
      </c>
      <c r="B49" s="283"/>
      <c r="C49" s="280"/>
      <c r="D49" s="277" t="str">
        <v>播放收藏的本地电台</v>
      </c>
      <c r="E49" s="277" t="str">
        <v>P1</v>
      </c>
      <c r="F49" s="14" t="str">
        <v>播放收藏的本地电台</v>
      </c>
      <c r="H49" s="150" t="str">
        <v>✅</v>
      </c>
      <c r="I49" s="77"/>
      <c r="J49" s="150" t="str">
        <v>✅</v>
      </c>
      <c r="K49" s="229"/>
      <c r="L49" s="11" t="str">
        <v>媒体列表播放</v>
      </c>
      <c r="M49" s="139"/>
      <c r="O49" s="11" t="str">
        <v>缺接口 兜底提示</v>
      </c>
      <c r="P49" s="150" t="str">
        <v>✅</v>
      </c>
      <c r="Q49" s="16"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49" s="150" t="str">
        <v>✅</v>
      </c>
      <c r="T49" s="11" t="str">
        <v>❌</v>
      </c>
      <c r="U49" s="11" t="str">
        <v>❌</v>
      </c>
      <c r="V49" s="150" t="str">
        <v>✅</v>
      </c>
      <c r="W49" s="150" t="str">
        <v>✅</v>
      </c>
      <c r="AB49" s="11" t="inlineStr">
        <is>
          <r>
            <t>@刘晓帝</t>
          </r>
        </is>
      </c>
    </row>
    <row r="50" spans="1:28">
      <c r="A50" s="288" t="str">
        <v>语音控制本地电台</v>
      </c>
      <c r="B50" s="283"/>
      <c r="C50" s="278" t="str">
        <v>扫频</v>
      </c>
      <c r="D50" s="277" t="str">
        <v>全频道扫频</v>
      </c>
      <c r="E50" s="277" t="str">
        <v>P1</v>
      </c>
      <c r="F50" s="14" t="str">
        <v>扫描电台、扫描有效台</v>
      </c>
      <c r="H50" s="150" t="str">
        <v>✅</v>
      </c>
      <c r="I50" s="77"/>
      <c r="J50" s="150" t="str">
        <v>✅</v>
      </c>
      <c r="K50" s="229"/>
      <c r="L50" s="11" t="str">
        <v>收音机频率扫描</v>
      </c>
      <c r="M50" s="139"/>
      <c r="P50" s="150" t="str">
        <v>✅</v>
      </c>
      <c r="Q50" s="16" t="str">
        <v>action打开,关闭</v>
      </c>
      <c r="S50" s="150" t="str">
        <v>✅</v>
      </c>
      <c r="T50" s="11" t="str">
        <v>❌</v>
      </c>
      <c r="U50" s="11" t="str">
        <v>❌</v>
      </c>
      <c r="V50" s="150" t="str">
        <v>✅</v>
      </c>
      <c r="W50" s="150" t="str">
        <v>✅</v>
      </c>
      <c r="AB50" s="11" t="inlineStr">
        <is>
          <r>
            <t>@刘晓帝</t>
          </r>
        </is>
      </c>
    </row>
    <row r="51" spans="1:28">
      <c r="A51" s="288" t="str">
        <v>语音控制本地电台</v>
      </c>
      <c r="B51" s="282"/>
      <c r="C51" s="280"/>
      <c r="D51" s="277" t="str">
        <v>停止全频段扫描</v>
      </c>
      <c r="E51" s="277" t="str">
        <v>P1</v>
      </c>
      <c r="F51" s="14" t="str">
        <v>停止扫描、停止搜索电台</v>
      </c>
      <c r="H51" s="150" t="str">
        <v>✅</v>
      </c>
      <c r="I51" s="77"/>
      <c r="J51" s="150" t="str">
        <v>✅</v>
      </c>
      <c r="K51" s="226"/>
      <c r="L51" s="11" t="str">
        <v>收音机频率扫描</v>
      </c>
      <c r="M51" s="139"/>
      <c r="P51" s="150" t="str">
        <v>✅</v>
      </c>
      <c r="Q51" s="16" t="str">
        <v>action打开,关闭</v>
      </c>
      <c r="S51" s="150" t="str">
        <v>✅</v>
      </c>
      <c r="T51" s="11" t="str">
        <v>❌</v>
      </c>
      <c r="U51" s="11" t="str">
        <v>❌</v>
      </c>
      <c r="V51" s="150" t="str">
        <v>✅</v>
      </c>
      <c r="W51" s="150" t="str">
        <v>✅</v>
      </c>
      <c r="AB51" s="11" t="inlineStr">
        <is>
          <r>
            <t>@刘晓帝</t>
          </r>
        </is>
      </c>
    </row>
    <row r="52" spans="1:32">
      <c r="A52" s="288" t="str">
        <v>语音控制在线广播</v>
      </c>
      <c r="B52" s="281" t="str">
        <v>语音控制在线广播</v>
      </c>
      <c r="C52" s="278" t="str">
        <v>播放在线广播</v>
      </c>
      <c r="D52" s="277" t="str">
        <v>播放在线广播意图</v>
      </c>
      <c r="E52" s="277" t="str">
        <v>P1</v>
      </c>
      <c r="F52" s="14" t="str">
        <v>我要听在线广播、播放在线广播</v>
      </c>
      <c r="H52" s="150" t="str">
        <v>✅</v>
      </c>
      <c r="I52" s="77"/>
      <c r="J52" s="150" t="str">
        <v>✅</v>
      </c>
      <c r="K52" s="227" t="str">
        <v>✅</v>
      </c>
      <c r="L52" s="11" t="str">
        <v>网络电台播放</v>
      </c>
      <c r="M52" s="139"/>
      <c r="P52" s="150" t="str">
        <v>✅</v>
      </c>
      <c r="Q52" s="16" t="inlineStr">
        <is>
          <r>
            <rPr>
              <sz val="10"/>
              <color rgb="FF4E83FD"/>
              <rFont val="Arial"/>
            </rPr>
            <t>channel_name</t>
          </r>
          <r>
            <rPr>
              <sz val="10"/>
              <color rgb="FF000000"/>
              <rFont val="Arial"/>
            </rPr>
            <t xml:space="preserve">表示要播放的电台名字。如动感101、诗歌之声、中央人民广播电台等。若未提及可输出空
</t>
          </r>
          <r>
            <rPr>
              <sz val="10"/>
              <color rgb="FF4E83FD"/>
              <rFont val="Arial"/>
            </rPr>
            <t>channel_type</t>
          </r>
          <r>
            <rPr>
              <sz val="10"/>
              <color rgb="FF000000"/>
              <rFont val="Arial"/>
            </rPr>
            <t xml:space="preserve">新闻台,音乐台,交通台,体育台,经济台,文艺台,曲艺台,综合台,方言台,外语台,生活台,都市台,旅游台,其他,空
</t>
          </r>
          <r>
            <rPr>
              <sz val="10"/>
              <color rgb="FF4E83FD"/>
              <rFont val="Arial"/>
            </rPr>
            <t>time</t>
          </r>
          <r>
            <rPr>
              <sz val="10"/>
              <color rgb="FF000000"/>
              <rFont val="Arial"/>
            </rPr>
            <t xml:space="preserve">表示要播放的电台对应的时间,例如:早晨,夜间,8:00-9:00,若用户未提及可输出为空
</t>
          </r>
          <r>
            <rPr>
              <sz val="10"/>
              <color rgb="FF4E83FD"/>
              <rFont val="Arial"/>
            </rPr>
            <t>district</t>
          </r>
          <r>
            <rPr>
              <sz val="10"/>
              <color rgb="FF000000"/>
              <rFont val="Arial"/>
            </rPr>
            <t xml:space="preserve">表示用户想要选择的广播地区,例如上海
</t>
          </r>
          <r>
            <rPr>
              <sz val="10"/>
              <color rgb="FF4E83FD"/>
              <rFont val="Arial"/>
            </rPr>
            <t>radio_tag</t>
          </r>
          <r>
            <rPr>
              <sz val="10"/>
              <color rgb="FF000000"/>
              <rFont val="Arial"/>
            </rPr>
            <t xml:space="preserve">表示用户想要播放的电台标签,当用户想要用某种标签来筛选视频时,使用此参数。例如:最新
最热,最好评
</t>
          </r>
          <r>
            <rPr>
              <sz val="10"/>
              <color rgb="FF4E83FD"/>
              <rFont val="Arial"/>
            </rPr>
            <t>media source</t>
          </r>
          <r>
            <rPr>
              <sz val="10"/>
              <color rgb="FF000000"/>
              <rFont val="Arial"/>
            </rPr>
            <t>喜马拉雅,凤凰FM,懒人听书,云听,阿基米德,芒果动听,口袋故事,宝宝巴士,钱儿频道,宝宝巴士汉字,贝乐虎儿歌,儿歌多多,凯叔讲故事,小红书,微博,腾讯新闻,新浪新闻,网易新闻,搜狐新闻,华尔街见闻,今日头条,央视影音,樊登登读书,每日英语听力,阿哈路书,腾讯自选股,小宁静,私人定定律,澎湃新闻,荔枝播客,网络电台,空,其他</t>
          </r>
        </is>
      </c>
      <c r="S52" s="11" t="str">
        <v>❌</v>
      </c>
      <c r="U52" s="11" t="str">
        <v>❌</v>
      </c>
      <c r="V52" s="11" t="str">
        <v>❌</v>
      </c>
      <c r="W52" s="11" t="str">
        <v>❌</v>
      </c>
      <c r="Y52" s="11" t="str">
        <v>❌</v>
      </c>
      <c r="AA52" s="16" t="str">
        <v>是</v>
      </c>
      <c r="AB52" s="11" t="inlineStr">
        <is>
          <r>
            <t>@刘晓帝</t>
          </r>
        </is>
      </c>
      <c r="AE52" s="11" t="str">
        <v>20260612184822FAA885529FA1DDFB5F06</v>
      </c>
      <c r="AF52" s="11" t="str">
        <v>无法打开</v>
      </c>
    </row>
    <row r="53" spans="1:28">
      <c r="A53" s="288" t="str">
        <v>语音控制在线广播</v>
      </c>
      <c r="B53" s="283"/>
      <c r="C53" s="279"/>
      <c r="D53" s="277" t="str">
        <v>基于电台名播放在线广播</v>
      </c>
      <c r="E53" s="277" t="str">
        <v>P1</v>
      </c>
      <c r="F53" s="14" t="str">
        <v>我想听上海动感101、听一听中国之声</v>
      </c>
      <c r="H53" s="150" t="str">
        <v>✅</v>
      </c>
      <c r="I53" s="77"/>
      <c r="J53" s="150" t="str">
        <v>✅</v>
      </c>
      <c r="K53" s="229"/>
      <c r="L53" s="11" t="str">
        <v>网络电台播放</v>
      </c>
      <c r="M53" s="139"/>
      <c r="P53" s="150" t="str">
        <v>✅</v>
      </c>
      <c r="Q53" s="16" t="inlineStr">
        <is>
          <r>
            <rPr>
              <sz val="10"/>
              <color rgb="FF4E83FD"/>
              <rFont val="Arial"/>
            </rPr>
            <t>channel_name</t>
          </r>
          <r>
            <rPr>
              <sz val="10"/>
              <color rgb="FF000000"/>
              <rFont val="Arial"/>
            </rPr>
            <t xml:space="preserve">表示要播放的电台名字。如动感101、诗歌之声、中央人民广播电台等。若未提及可输出空
</t>
          </r>
          <r>
            <rPr>
              <sz val="10"/>
              <color rgb="FF4E83FD"/>
              <rFont val="Arial"/>
            </rPr>
            <t>channel_type</t>
          </r>
          <r>
            <rPr>
              <sz val="10"/>
              <color rgb="FF000000"/>
              <rFont val="Arial"/>
            </rPr>
            <t xml:space="preserve">新闻台,音乐台,交通台,体育台,经济台,文艺台,曲艺台,综合台,方言台,外语台,生活台,都市台,旅游台,其他,空
</t>
          </r>
          <r>
            <rPr>
              <sz val="10"/>
              <color rgb="FF4E83FD"/>
              <rFont val="Arial"/>
            </rPr>
            <t>time</t>
          </r>
          <r>
            <rPr>
              <sz val="10"/>
              <color rgb="FF000000"/>
              <rFont val="Arial"/>
            </rPr>
            <t xml:space="preserve">表示要播放的电台对应的时间,例如:早晨,夜间,8:00-9:00,若用户未提及可输出为空
</t>
          </r>
          <r>
            <rPr>
              <sz val="10"/>
              <color rgb="FF4E83FD"/>
              <rFont val="Arial"/>
            </rPr>
            <t>district</t>
          </r>
          <r>
            <rPr>
              <sz val="10"/>
              <color rgb="FF000000"/>
              <rFont val="Arial"/>
            </rPr>
            <t xml:space="preserve">表示用户想要选择的广播地区,例如上海
</t>
          </r>
          <r>
            <rPr>
              <sz val="10"/>
              <color rgb="FF4E83FD"/>
              <rFont val="Arial"/>
            </rPr>
            <t>radio_tag</t>
          </r>
          <r>
            <rPr>
              <sz val="10"/>
              <color rgb="FF000000"/>
              <rFont val="Arial"/>
            </rPr>
            <t xml:space="preserve">表示用户想要播放的电台标签,当用户想要用某种标签来筛选视频时,使用此参数。例如:最新
最热,最好评
</t>
          </r>
          <r>
            <rPr>
              <sz val="10"/>
              <color rgb="FF4E83FD"/>
              <rFont val="Arial"/>
            </rPr>
            <t>media source</t>
          </r>
          <r>
            <rPr>
              <sz val="10"/>
              <color rgb="FF000000"/>
              <rFont val="Arial"/>
            </rPr>
            <t>喜马拉雅,凤凰FM,懒人听书,云听,阿基米德,芒果动听,口袋故事,宝宝巴士,钱儿频道,宝宝巴士汉字,贝乐虎儿歌,儿歌多多,凯叔讲故事,小红书,微博,腾讯新闻,新浪新闻,网易新闻,搜狐新闻,华尔街见闻,今日头条,央视影音,樊登登读书,每日英语听力,阿哈路书,腾讯自选股,小宁静,私人定定律,澎湃新闻,荔枝播客,网络电台,空,其他</t>
          </r>
        </is>
      </c>
      <c r="S53" s="11" t="str">
        <v>❌</v>
      </c>
      <c r="U53" s="11" t="str">
        <v>❌</v>
      </c>
      <c r="V53" s="150" t="str">
        <v>✅</v>
      </c>
      <c r="W53" s="11" t="str">
        <v>❌</v>
      </c>
      <c r="Y53" s="11" t="str">
        <v>❌</v>
      </c>
      <c r="AB53" s="11" t="inlineStr">
        <is>
          <r>
            <t>@刘晓帝</t>
          </r>
        </is>
      </c>
    </row>
    <row r="54" spans="1:28">
      <c r="A54" s="288" t="str">
        <v>语音控制在线广播</v>
      </c>
      <c r="B54" s="283"/>
      <c r="C54" s="279"/>
      <c r="D54" s="277" t="str">
        <v>播放每日推荐的在线广播</v>
      </c>
      <c r="E54" s="277" t="str">
        <v>P1</v>
      </c>
      <c r="F54" s="14" t="inlineStr">
        <is>
          <r>
            <rPr>
              <sz val="10"/>
              <rFont val="Arial"/>
            </rPr>
            <t>播放每日推荐的在线广播、</t>
          </r>
          <r>
            <rPr>
              <sz val="10"/>
              <color rgb="FFF54A45"/>
              <rFont val="Arial"/>
            </rPr>
            <t>播放每日推荐网络电台</t>
          </r>
        </is>
      </c>
      <c r="H54" s="150" t="str">
        <v>✅</v>
      </c>
      <c r="I54" s="77"/>
      <c r="J54" s="150" t="str">
        <v>✅</v>
      </c>
      <c r="K54" s="229"/>
      <c r="L54" s="11" t="str">
        <v>媒体列表播放</v>
      </c>
      <c r="M54" s="139"/>
      <c r="O54" s="11" t="str">
        <v>sdk兜底提示</v>
      </c>
      <c r="P54" s="150" t="str">
        <v>✅</v>
      </c>
      <c r="Q54" s="16"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54" s="150" t="str">
        <v>✅</v>
      </c>
      <c r="T54" s="11" t="str">
        <v>❌</v>
      </c>
      <c r="U54" s="11" t="str">
        <v>❌</v>
      </c>
      <c r="V54" s="150" t="str">
        <v>✅</v>
      </c>
      <c r="W54" s="150" t="str">
        <v>✅</v>
      </c>
      <c r="AB54" s="11" t="inlineStr">
        <is>
          <r>
            <t>@刘晓帝</t>
          </r>
        </is>
      </c>
    </row>
    <row r="55" spans="1:28">
      <c r="A55" s="288" t="str">
        <v>语音控制在线广播</v>
      </c>
      <c r="B55" s="282"/>
      <c r="C55" s="280"/>
      <c r="D55" s="277" t="str">
        <v>播放收藏的在线广播</v>
      </c>
      <c r="E55" s="277" t="str">
        <v>P1</v>
      </c>
      <c r="F55" s="277" t="str">
        <v>播放收藏的在线广播</v>
      </c>
      <c r="H55" s="150" t="str">
        <v>✅</v>
      </c>
      <c r="I55" s="77"/>
      <c r="J55" s="150" t="str">
        <v>✅</v>
      </c>
      <c r="K55" s="226"/>
      <c r="L55" s="11" t="str">
        <v>媒体列表播放</v>
      </c>
      <c r="M55" s="139"/>
      <c r="O55" s="11" t="str">
        <v>sdk兜底提示</v>
      </c>
      <c r="P55" s="150" t="str">
        <v>✅</v>
      </c>
      <c r="Q55" s="16"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55" s="150" t="str">
        <v>✅</v>
      </c>
      <c r="T55" s="11" t="str">
        <v>❌</v>
      </c>
      <c r="U55" s="11" t="str">
        <v>❌</v>
      </c>
      <c r="V55" s="11" t="str">
        <v>❌</v>
      </c>
      <c r="W55" s="150" t="str">
        <v>✅</v>
      </c>
      <c r="AB55" s="11" t="inlineStr">
        <is>
          <r>
            <t>@刘晓帝</t>
          </r>
        </is>
      </c>
    </row>
    <row r="56" spans="1:32">
      <c r="A56" s="288" t="str">
        <v>语音控制网络节目</v>
      </c>
      <c r="B56" s="281" t="str">
        <v>语音控制网络节目</v>
      </c>
      <c r="C56" s="278" t="str">
        <v>播放网络节目</v>
      </c>
      <c r="D56" s="277" t="str">
        <v>播放网络节目/播放&lt;网络节目音源&gt;</v>
      </c>
      <c r="E56" s="277" t="str">
        <v>P1</v>
      </c>
      <c r="F56" s="14" t="str">
        <v>播放网络节目、播放喜马拉雅</v>
      </c>
      <c r="H56" s="150" t="str">
        <v>✅</v>
      </c>
      <c r="I56" s="77"/>
      <c r="J56" s="150" t="str">
        <v>✅</v>
      </c>
      <c r="K56" s="227" t="str">
        <v>✅</v>
      </c>
      <c r="L56" s="11" t="str">
        <v>有声音频播放</v>
      </c>
      <c r="M56" s="139"/>
      <c r="P56" s="150" t="str">
        <v>✅</v>
      </c>
      <c r="Q56" s="16" t="inlineStr">
        <is>
          <r>
            <rPr>
              <sz val="10"/>
              <color rgb="FF4E83FD"/>
              <rFont val="Arial"/>
            </rPr>
            <t>program_name</t>
          </r>
          <r>
            <rPr>
              <sz val="10"/>
              <color rgb="FF000000"/>
              <rFont val="Arial"/>
            </rPr>
            <t xml:space="preserve">表示要播放的节目名,如米小圈上学记、盗墓笔记等。若未提及可输出空
</t>
          </r>
          <r>
            <rPr>
              <sz val="10"/>
              <color rgb="FF4E83FD"/>
              <rFont val="Arial"/>
            </rPr>
            <t>artist</t>
          </r>
          <r>
            <rPr>
              <sz val="10"/>
              <color rgb="FF000000"/>
              <rFont val="Arial"/>
            </rPr>
            <t xml:space="preserve">表示主讲人的名字,如易中天、郭德纲。如果用户要求多个主讲进入的有声音频,用",分割多个人
名。如"易中天,曾仕强"。若未提及可输出空。
</t>
          </r>
          <r>
            <rPr>
              <sz val="10"/>
              <color rgb="FF4E83FD"/>
              <rFont val="Arial"/>
            </rPr>
            <t>program_type</t>
          </r>
          <r>
            <rPr>
              <sz val="10"/>
              <color rgb="FF000000"/>
              <rFont val="Arial"/>
            </rPr>
            <t xml:space="preserve">有声书,相声,脱口秀,小说,广播剧,评书,故事,小品,健康养生,演讲,讲座,戏曲,公开课,人文,历史,诗歌,儿童,旅游,科技,外语,娱乐,情感生活,播客,空
</t>
          </r>
          <r>
            <rPr>
              <strike/>
              <sz val="10"/>
              <color rgb="FF4E83FD"/>
              <rFont val="Arial"/>
            </rPr>
            <t>media_source</t>
          </r>
          <r>
            <rPr>
              <strike/>
              <sz val="10"/>
              <color rgb="FF000000"/>
              <rFont val="Arial"/>
            </rPr>
            <t xml:space="preserve">喜马拉雅,央视影音,凯叔讲故事,宝宝巴士,口袋故事,樊登读书,每日英语听力,阿基米德,阿哈路书,腾讯自选股,小宁静,私人定律,澎湃新闻,荔枝播客,凤凰FM,懒人听书,云听,芒果动听,钱儿频道,宝宝巴士汉字,贝乐虎儿歌,儿歌多多,小红书,微博,空,其他
</t>
          </r>
          <r>
            <rPr>
              <strike/>
              <sz val="10"/>
              <color rgb="FF4E83FD"/>
              <rFont val="Arial"/>
            </rPr>
            <t xml:space="preserve">episode
</t>
          </r>
          <r>
            <rPr>
              <strike/>
              <sz val="10"/>
              <color rgb="FF000000"/>
              <rFont val="Arial"/>
            </rPr>
            <t xml:space="preserve">表示想要播放的节目集数,输出数值,最小值为1。若未提及可输出空。
</t>
          </r>
          <r>
            <rPr>
              <strike/>
              <sz val="10"/>
              <color rgb="FF4E83FD"/>
              <rFont val="Arial"/>
            </rPr>
            <t xml:space="preserve">episode_name
</t>
          </r>
          <r>
            <rPr>
              <strike/>
              <sz val="10"/>
              <color rgb="FF000000"/>
              <rFont val="Arial"/>
            </rPr>
            <t>表示想要播放的节目集数的名称,如奥特曼老师、保姆杀手等。若未提及可输出空。</t>
          </r>
        </is>
      </c>
      <c r="S56" s="150" t="str">
        <v>✅</v>
      </c>
      <c r="U56" s="11" t="str">
        <v>❌</v>
      </c>
      <c r="V56" s="150" t="str">
        <v>✅</v>
      </c>
      <c r="W56" s="11" t="str">
        <v>❌</v>
      </c>
      <c r="Y56" s="150" t="str">
        <v>✅</v>
      </c>
      <c r="AA56" s="16" t="str">
        <v>是</v>
      </c>
      <c r="AB56" s="11" t="inlineStr">
        <is>
          <r>
            <t>@刘晓帝</t>
          </r>
        </is>
      </c>
      <c r="AE56" s="11" t="str">
        <v>2026061218501603B9A6D261B6E0C752D4</v>
      </c>
      <c r="AF56" s="11" t="str">
        <v>回复不支持</v>
      </c>
    </row>
    <row r="57" spans="1:28">
      <c r="A57" s="288" t="str">
        <v>语音控制网络节目</v>
      </c>
      <c r="B57" s="283"/>
      <c r="C57" s="279"/>
      <c r="D57" s="277" t="str">
        <v>基于条件播放网络节目</v>
      </c>
      <c r="E57" s="277" t="str">
        <v>P1</v>
      </c>
      <c r="F57" s="14" t="inlineStr">
        <is>
          <r>
            <rPr>
              <sz val="10"/>
              <rFont val="Arial"/>
            </rPr>
            <t>播放郭德纲、</t>
          </r>
          <r>
            <rPr>
              <sz val="10"/>
              <color rgb="FFF54A45"/>
              <rFont val="Arial"/>
            </rPr>
            <t>播放赵本山的办公室风波</t>
          </r>
        </is>
      </c>
      <c r="H57" s="150" t="str">
        <v>✅</v>
      </c>
      <c r="I57" s="77"/>
      <c r="J57" s="150" t="str">
        <v>✅</v>
      </c>
      <c r="K57" s="229"/>
      <c r="L57" s="11" t="inlineStr">
        <is>
          <r>
            <rPr>
              <sz val="10"/>
              <rFont val="Arial"/>
            </rPr>
            <t>有声音频播放、</t>
          </r>
          <r>
            <rPr>
              <sz val="10"/>
              <color rgb="FFF54A45"/>
              <rFont val="Arial"/>
            </rPr>
            <t>抖音短视频</t>
          </r>
        </is>
      </c>
      <c r="M57" s="139"/>
      <c r="P57" s="150" t="str">
        <v>✅</v>
      </c>
      <c r="Q57" s="16" t="inlineStr">
        <is>
          <r>
            <rPr>
              <sz val="10"/>
              <color rgb="FF4E83FD"/>
              <rFont val="Arial"/>
            </rPr>
            <t>program_name</t>
          </r>
          <r>
            <rPr>
              <sz val="10"/>
              <color rgb="FF000000"/>
              <rFont val="Arial"/>
            </rPr>
            <t xml:space="preserve">表示要播放的节目名,如米小圈上学记、盗墓笔记等。若未提及可输出空
</t>
          </r>
          <r>
            <rPr>
              <sz val="10"/>
              <color rgb="FF4E83FD"/>
              <rFont val="Arial"/>
            </rPr>
            <t>artist</t>
          </r>
          <r>
            <rPr>
              <sz val="10"/>
              <color rgb="FF000000"/>
              <rFont val="Arial"/>
            </rPr>
            <t xml:space="preserve">表示主讲人的名字,如易中天、郭德纲。如果用户要求多个主讲进入的有声音频,用",分割多个人
名。如"易中天,曾仕强"。若未提及可输出空。
</t>
          </r>
          <r>
            <rPr>
              <sz val="10"/>
              <color rgb="FF4E83FD"/>
              <rFont val="Arial"/>
            </rPr>
            <t>program_type</t>
          </r>
          <r>
            <rPr>
              <sz val="10"/>
              <color rgb="FF000000"/>
              <rFont val="Arial"/>
            </rPr>
            <t xml:space="preserve">有声书,相声,脱口秀,小说,广播剧,评书,故事,小品,健康养生,演讲,讲座,戏曲,公开课,人文,历史,诗歌,儿童,旅游,科技,外语,娱乐,情感生活,播客,空
</t>
          </r>
          <r>
            <rPr>
              <sz val="10"/>
              <color rgb="FF4E83FD"/>
              <rFont val="Arial"/>
            </rPr>
            <t>media_source</t>
          </r>
          <r>
            <rPr>
              <sz val="10"/>
              <color rgb="FF000000"/>
              <rFont val="Arial"/>
            </rPr>
            <t xml:space="preserve">喜马拉雅,央视影音,凯叔讲故事,宝宝巴士,口袋故事,樊登读书,每日英语听力,阿基米德,阿哈路书,腾讯自选股,小宁静,私人定律,澎湃新闻,荔枝播客,凤凰FM,懒人听书,云听,芒果动听,钱儿频道,宝宝巴士汉字,贝乐虎儿歌,儿歌多多,小红书,微博,空,其他
</t>
          </r>
          <r>
            <rPr>
              <sz val="10"/>
              <color rgb="FF4E83FD"/>
              <rFont val="Arial"/>
            </rPr>
            <t xml:space="preserve">episode
</t>
          </r>
          <r>
            <rPr>
              <sz val="10"/>
              <color rgb="FF000000"/>
              <rFont val="Arial"/>
            </rPr>
            <t xml:space="preserve">表示想要播放的节目集数,输出数值,最小值为1。若未提及可输出空。
</t>
          </r>
          <r>
            <rPr>
              <sz val="10"/>
              <color rgb="FF4E83FD"/>
              <rFont val="Arial"/>
            </rPr>
            <t xml:space="preserve">episode_name
</t>
          </r>
          <r>
            <rPr>
              <sz val="10"/>
              <color rgb="FF000000"/>
              <rFont val="Arial"/>
            </rPr>
            <t>表示想要播放的节目集数的名称,如奥特曼老师、保姆杀手等。若未提及可输出空。</t>
          </r>
        </is>
      </c>
      <c r="S57" s="150" t="str">
        <v>✅</v>
      </c>
      <c r="U57" s="11" t="str">
        <v>❌</v>
      </c>
      <c r="V57" s="150" t="str">
        <v>✅</v>
      </c>
      <c r="W57" s="150" t="str">
        <v>✅</v>
      </c>
      <c r="AB57" s="11" t="inlineStr">
        <is>
          <r>
            <t>@刘晓帝</t>
          </r>
        </is>
      </c>
    </row>
    <row r="58" spans="1:32">
      <c r="A58" s="288" t="str">
        <v>语音控制网络节目</v>
      </c>
      <c r="B58" s="283"/>
      <c r="C58" s="279"/>
      <c r="D58" s="277" t="str">
        <v>指定&lt;网络节目音源&gt;播放基于条件的网络节目</v>
      </c>
      <c r="E58" s="277" t="str">
        <v>P1</v>
      </c>
      <c r="F58" s="14" t="str">
        <v>用喜马拉雅播放郭德纲相声</v>
      </c>
      <c r="H58" s="150" t="str">
        <v>✅</v>
      </c>
      <c r="I58" s="77"/>
      <c r="J58" s="150" t="str">
        <v>✅</v>
      </c>
      <c r="K58" s="229"/>
      <c r="L58" s="11" t="str">
        <v>有声音频播放</v>
      </c>
      <c r="M58" s="139"/>
      <c r="P58" s="150" t="str">
        <v>✅</v>
      </c>
      <c r="Q58" s="16" t="inlineStr">
        <is>
          <r>
            <rPr>
              <sz val="10"/>
              <color rgb="FF4E83FD"/>
              <rFont val="Arial"/>
            </rPr>
            <t>program_name</t>
          </r>
          <r>
            <rPr>
              <sz val="10"/>
              <color rgb="FF000000"/>
              <rFont val="Arial"/>
            </rPr>
            <t xml:space="preserve">表示要播放的节目名,如米小圈上学记、盗墓笔记等。若未提及可输出空
</t>
          </r>
          <r>
            <rPr>
              <sz val="10"/>
              <color rgb="FF4E83FD"/>
              <rFont val="Arial"/>
            </rPr>
            <t>artist</t>
          </r>
          <r>
            <rPr>
              <sz val="10"/>
              <color rgb="FF000000"/>
              <rFont val="Arial"/>
            </rPr>
            <t xml:space="preserve">表示主讲人的名字,如易中天、郭德纲。如果用户要求多个主讲进入的有声音频,用",分割多个人
名。如"易中天,曾仕强"。若未提及可输出空。
</t>
          </r>
          <r>
            <rPr>
              <sz val="10"/>
              <color rgb="FF4E83FD"/>
              <rFont val="Arial"/>
            </rPr>
            <t>program_type</t>
          </r>
          <r>
            <rPr>
              <sz val="10"/>
              <color rgb="FF000000"/>
              <rFont val="Arial"/>
            </rPr>
            <t xml:space="preserve">有声书,相声,脱口秀,小说,广播剧,评书,故事,小品,健康养生,演讲,讲座,戏曲,公开课,人文,历史,诗歌,儿童,旅游,科技,外语,娱乐,情感生活,播客,空
</t>
          </r>
          <r>
            <rPr>
              <sz val="10"/>
              <color rgb="FF4E83FD"/>
              <rFont val="Arial"/>
            </rPr>
            <t>media_source</t>
          </r>
          <r>
            <rPr>
              <sz val="10"/>
              <color rgb="FF000000"/>
              <rFont val="Arial"/>
            </rPr>
            <t xml:space="preserve">喜马拉雅,央视影音,凯叔讲故事,宝宝巴士,口袋故事,樊登读书,每日英语听力,阿基米德,阿哈路书,腾讯自选股,小宁静,私人定律,澎湃新闻,荔枝播客,凤凰FM,懒人听书,云听,芒果动听,钱儿频道,宝宝巴士汉字,贝乐虎儿歌,儿歌多多,小红书,微博,空,其他
</t>
          </r>
          <r>
            <rPr>
              <sz val="10"/>
              <color rgb="FF4E83FD"/>
              <rFont val="Arial"/>
            </rPr>
            <t xml:space="preserve">episode
</t>
          </r>
          <r>
            <rPr>
              <sz val="10"/>
              <color rgb="FF000000"/>
              <rFont val="Arial"/>
            </rPr>
            <t xml:space="preserve">表示想要播放的节目集数,输出数值,最小值为1。若未提及可输出空。
</t>
          </r>
          <r>
            <rPr>
              <sz val="10"/>
              <color rgb="FF4E83FD"/>
              <rFont val="Arial"/>
            </rPr>
            <t xml:space="preserve">episode_name
</t>
          </r>
          <r>
            <rPr>
              <sz val="10"/>
              <color rgb="FF000000"/>
              <rFont val="Arial"/>
            </rPr>
            <t>表示想要播放的节目集数的名称,如奥特曼老师、保姆杀手等。若未提及可输出空。</t>
          </r>
        </is>
      </c>
      <c r="S58" s="11" t="str">
        <v>❌</v>
      </c>
      <c r="U58" s="11" t="str">
        <v>❌</v>
      </c>
      <c r="V58" s="11" t="str">
        <v>❌</v>
      </c>
      <c r="W58" s="11" t="str">
        <v>❌</v>
      </c>
      <c r="Y58" s="11" t="str">
        <v>❌</v>
      </c>
      <c r="AB58" s="11" t="inlineStr">
        <is>
          <r>
            <t>@刘晓帝</t>
          </r>
        </is>
      </c>
      <c r="AE58" s="11" t="str">
        <v>20260612185527FA1938EC2917BCAFEEB2</v>
      </c>
      <c r="AF58" s="11" t="str">
        <v>没有搜到</v>
      </c>
    </row>
    <row r="59" spans="1:28">
      <c r="A59" s="288" t="str">
        <v>语音控制网络节目</v>
      </c>
      <c r="B59" s="283"/>
      <c r="C59" s="279"/>
      <c r="D59" s="277" t="str">
        <v>播放每日推荐的网络节目</v>
      </c>
      <c r="E59" s="277" t="str">
        <v>P1</v>
      </c>
      <c r="F59" s="14" t="str">
        <v>播放每日推荐的网络节目</v>
      </c>
      <c r="H59" s="150" t="str">
        <v>✅</v>
      </c>
      <c r="I59" s="77"/>
      <c r="J59" s="150" t="str">
        <v>✅</v>
      </c>
      <c r="K59" s="229"/>
      <c r="L59" s="11" t="str">
        <v>媒体列表播放</v>
      </c>
      <c r="M59" s="139"/>
      <c r="O59" s="11" t="str">
        <v>sdk兜底</v>
      </c>
      <c r="P59" s="150" t="str">
        <v>✅</v>
      </c>
      <c r="Q59" s="16"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59" s="150" t="str">
        <v>✅</v>
      </c>
      <c r="T59" s="11" t="str">
        <v>❌</v>
      </c>
      <c r="U59" s="11" t="str">
        <v>❌</v>
      </c>
      <c r="V59" s="150" t="str">
        <v>✅</v>
      </c>
      <c r="W59" s="150" t="str">
        <v>✅</v>
      </c>
      <c r="AB59" s="11" t="inlineStr">
        <is>
          <r>
            <t>@刘晓帝</t>
          </r>
        </is>
      </c>
    </row>
    <row r="60" spans="1:28">
      <c r="A60" s="288" t="str">
        <v>语音控制网络节目</v>
      </c>
      <c r="B60" s="283"/>
      <c r="C60" s="279"/>
      <c r="D60" s="277" t="str">
        <v>播放收藏的网络节目</v>
      </c>
      <c r="E60" s="277" t="str">
        <v>P0</v>
      </c>
      <c r="F60" s="14" t="str">
        <v>播放收藏的网络节目</v>
      </c>
      <c r="H60" s="150" t="str">
        <v>✅</v>
      </c>
      <c r="I60" s="77"/>
      <c r="J60" s="150" t="str">
        <v>✅</v>
      </c>
      <c r="K60" s="229"/>
      <c r="L60" s="11" t="str">
        <v>媒体列表播放</v>
      </c>
      <c r="M60" s="139"/>
      <c r="O60" s="11" t="str">
        <v>sdk兜底</v>
      </c>
      <c r="P60" s="150" t="str">
        <v>✅</v>
      </c>
      <c r="Q60" s="16"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60" s="150" t="str">
        <v>✅</v>
      </c>
      <c r="T60" s="11" t="str">
        <v>❌</v>
      </c>
      <c r="U60" s="11" t="str">
        <v>❌</v>
      </c>
      <c r="V60" s="11" t="str">
        <v>❌</v>
      </c>
      <c r="W60" s="150" t="str">
        <v>✅</v>
      </c>
      <c r="Y60" s="150" t="str">
        <v>✅</v>
      </c>
      <c r="AA60" s="11" t="str">
        <v>是</v>
      </c>
      <c r="AB60" s="11" t="inlineStr">
        <is>
          <r>
            <t>@刘晓帝</t>
          </r>
        </is>
      </c>
    </row>
    <row r="61" spans="1:28">
      <c r="A61" s="288" t="str">
        <v>语音控制网络节目</v>
      </c>
      <c r="B61" s="283"/>
      <c r="C61" s="280"/>
      <c r="D61" s="277" t="str">
        <v>播放订阅列表</v>
      </c>
      <c r="E61" s="277" t="str">
        <v>P1</v>
      </c>
      <c r="F61" s="14" t="str">
        <v>播放我收藏的网络节目</v>
      </c>
      <c r="H61" s="150" t="str">
        <v>✅</v>
      </c>
      <c r="I61" s="77"/>
      <c r="J61" s="150" t="str">
        <v>✅</v>
      </c>
      <c r="K61" s="229"/>
      <c r="L61" s="11" t="str">
        <v>媒体列表播放</v>
      </c>
      <c r="M61" s="139"/>
      <c r="O61" s="11" t="str">
        <v>原生兜底提示</v>
      </c>
      <c r="P61" s="150" t="str">
        <v>✅</v>
      </c>
      <c r="Q61" s="16" t="str">
        <v>media_type音乐,歌单,有声,电台,视频,空
list_type历史,收藏,推荐,下载,空
media source蓝牙音乐,U盘音乐,QQ音乐,网易云音乐,酷我音乐,千千静听,咪咕音乐,喜马拉雅,蜻蜓FM,芒果动听,花城FM,小宇宙,懒人听书,爱奇艺,优酷视频,哔哩哔哩,腾讯视频,芒果视频,华为视频,咪咕视频,小米视频,本地,网络,空,其他</v>
      </c>
      <c r="S61" s="150" t="str">
        <v>✅</v>
      </c>
      <c r="T61" s="11" t="str">
        <v>❌</v>
      </c>
      <c r="U61" s="11" t="str">
        <v>❌</v>
      </c>
      <c r="V61" s="11" t="str">
        <v>❌</v>
      </c>
      <c r="W61" s="150" t="str">
        <v>✅</v>
      </c>
      <c r="Y61" s="150" t="str">
        <v>✅</v>
      </c>
      <c r="AB61" s="11" t="inlineStr">
        <is>
          <r>
            <t>@刘晓帝</t>
          </r>
        </is>
      </c>
    </row>
    <row r="62" spans="1:28">
      <c r="A62" s="288" t="str">
        <v>语音控制网络节目</v>
      </c>
      <c r="B62" s="283"/>
      <c r="C62" s="278" t="str">
        <v>订阅</v>
      </c>
      <c r="D62" s="277" t="str">
        <v>订阅意图</v>
      </c>
      <c r="F62" s="14" t="str">
        <v>订阅</v>
      </c>
      <c r="H62" s="150" t="str">
        <v>✅</v>
      </c>
      <c r="I62" s="77"/>
      <c r="J62" s="150" t="str">
        <v>✅</v>
      </c>
      <c r="K62" s="229"/>
      <c r="L62" s="11" t="str">
        <v>媒体收藏</v>
      </c>
      <c r="M62" s="139"/>
      <c r="O62" s="16" t="str">
        <v>功能不支持已托底</v>
      </c>
      <c r="P62" s="150" t="str">
        <v>✅</v>
      </c>
      <c r="Q62" s="16" t="inlineStr">
        <is>
          <r>
            <rPr>
              <sz val="10"/>
              <color rgb="FF000000"/>
              <rFont val="Arial"/>
            </rPr>
            <t xml:space="preserve">action[收藏,取消收藏]
target[音乐,</t>
          </r>
          <r>
            <rPr>
              <sz val="10"/>
              <color rgb="FFF54A45"/>
              <rFont val="Arial"/>
            </rPr>
            <t>歌单,有声,</t>
          </r>
          <r>
            <rPr>
              <sz val="10"/>
              <color rgb="FF1F2329"/>
              <rFont val="Arial"/>
            </rPr>
            <t>电台</t>
          </r>
          <r>
            <rPr>
              <sz val="10"/>
              <color rgb="FF000000"/>
              <rFont val="Arial"/>
            </rPr>
            <t>,视频,</t>
          </r>
          <r>
            <rPr>
              <sz val="10"/>
              <color rgb="FFF54A45"/>
              <rFont val="Arial"/>
            </rPr>
            <t>新闻,空,其他</t>
          </r>
          <r>
            <rPr>
              <sz val="10"/>
              <color rgb="FF000000"/>
              <rFont val="Arial"/>
            </rPr>
            <t>]</t>
          </r>
        </is>
      </c>
      <c r="S62" s="150" t="str">
        <v>✅</v>
      </c>
      <c r="T62" s="16" t="str">
        <v>❌</v>
      </c>
      <c r="U62" s="16" t="str">
        <v>❌</v>
      </c>
      <c r="V62" s="150" t="str">
        <v>✅</v>
      </c>
      <c r="W62" s="150" t="str">
        <v>✅</v>
      </c>
      <c r="AB62" s="11" t="inlineStr">
        <is>
          <r>
            <t>@刘晓帝</t>
          </r>
        </is>
      </c>
    </row>
    <row r="63" spans="1:28">
      <c r="A63" s="288" t="str">
        <v>语音控制网络节目</v>
      </c>
      <c r="B63" s="282"/>
      <c r="C63" s="280"/>
      <c r="D63" s="277" t="str">
        <v>取消订阅意图</v>
      </c>
      <c r="F63" s="14" t="str">
        <v>取消订阅</v>
      </c>
      <c r="H63" s="150" t="str">
        <v>✅</v>
      </c>
      <c r="I63" s="77"/>
      <c r="J63" s="150" t="str">
        <v>✅</v>
      </c>
      <c r="K63" s="226"/>
      <c r="L63" s="11" t="str">
        <v>媒体收藏</v>
      </c>
      <c r="M63" s="139"/>
      <c r="O63" s="16" t="str">
        <v>功能不支持已托底</v>
      </c>
      <c r="P63" s="150" t="str">
        <v>✅</v>
      </c>
      <c r="Q63" s="16" t="inlineStr">
        <is>
          <r>
            <rPr>
              <sz val="10"/>
              <color rgb="FF000000"/>
              <rFont val="Arial"/>
            </rPr>
            <t xml:space="preserve">action[收藏,取消收藏]
target[音乐,</t>
          </r>
          <r>
            <rPr>
              <sz val="10"/>
              <color rgb="FFF54A45"/>
              <rFont val="Arial"/>
            </rPr>
            <t>歌单,有声,</t>
          </r>
          <r>
            <rPr>
              <sz val="10"/>
              <color rgb="FF1F2329"/>
              <rFont val="Arial"/>
            </rPr>
            <t>电台</t>
          </r>
          <r>
            <rPr>
              <sz val="10"/>
              <color rgb="FF000000"/>
              <rFont val="Arial"/>
            </rPr>
            <t>,视频,</t>
          </r>
          <r>
            <rPr>
              <sz val="10"/>
              <color rgb="FFF54A45"/>
              <rFont val="Arial"/>
            </rPr>
            <t>新闻,空,其他</t>
          </r>
          <r>
            <rPr>
              <sz val="10"/>
              <color rgb="FF000000"/>
              <rFont val="Arial"/>
            </rPr>
            <t>]</t>
          </r>
        </is>
      </c>
      <c r="S63" s="150" t="str">
        <v>✅</v>
      </c>
      <c r="T63" s="16" t="str">
        <v>❌</v>
      </c>
      <c r="U63" s="16" t="str">
        <v>❌</v>
      </c>
      <c r="V63" s="150" t="str">
        <v>✅</v>
      </c>
      <c r="W63" s="150" t="str">
        <v>✅</v>
      </c>
      <c r="AB63" s="11" t="inlineStr">
        <is>
          <r>
            <t>@刘晓帝</t>
          </r>
        </is>
      </c>
    </row>
    <row r="64" spans="1:28">
      <c r="A64" s="277" t="str">
        <v>多媒体应用开关</v>
      </c>
      <c r="B64" s="278" t="str">
        <v>多媒体应用开关</v>
      </c>
      <c r="C64" s="277" t="str">
        <v>打开多媒体应用/打开指定屏幕的多媒体应用</v>
      </c>
      <c r="F64" s="14" t="str">
        <v>打开网易云音乐、打开中控屏的QQ音乐</v>
      </c>
      <c r="G64" s="292" t="str">
        <v>android原生能力，无需开发</v>
      </c>
      <c r="H64" s="150" t="str">
        <v>✅</v>
      </c>
      <c r="I64" s="77"/>
      <c r="J64" s="150" t="str">
        <v>✅</v>
      </c>
      <c r="K64" s="227" t="str">
        <v>✅</v>
      </c>
      <c r="L64" s="11" t="str">
        <v>指定应用开关</v>
      </c>
      <c r="M64" s="139"/>
      <c r="P64" s="150" t="str">
        <v>✅</v>
      </c>
      <c r="Q64" s="16" t="inlineStr">
        <is>
          <r>
            <rPr>
              <sz val="10"/>
              <color rgb="FF4E83FD"/>
              <rFont val="Arial"/>
            </rPr>
            <t>action</t>
          </r>
          <r>
            <rPr>
              <sz val="10"/>
              <color rgb="FF000000"/>
              <rFont val="Arial"/>
            </rPr>
            <t xml:space="preserve">打开,关闭
</t>
          </r>
          <r>
            <rPr>
              <sz val="10"/>
              <color rgb="FF4E83FD"/>
              <rFont val="Arial"/>
            </rPr>
            <t xml:space="preserve">app
</t>
          </r>
          <r>
            <rPr>
              <sz val="10"/>
              <color rgb="FF000000"/>
              <rFont val="Arial"/>
            </rPr>
            <t xml:space="preserve">地图,媒体中心,多媒体,爱奇艺,哔哩哔哩,视频投屏,全民
K歌,Audiconnect,Carlog,行车影像,智能泊车,智能场
景,主题皮肤,U盘音乐,蓝牙音乐,QQ音乐,网易云音乐,
喜马拉雅,收音机,小宇宙,酷我音乐,懒人听书,应用市场,
车鱼试听,微信,Apple Carplay,HUAWEIHiCar,应用中
心,车主,车辆,百度地图,高德地图,oppo音乐,华为音
乐,酷我音乐,applemusic,咪咕音乐,Neutron player,
ViperHiFi,LotusHyperMusic,云听,阿基米德,芒果动
听,口袋故事,宝宝巴士,钱儿频道,儿歌多多,凯叔讲故事,
小红书,微博,腾讯新闻,新浪新闻,网易新闻,搜狐新闻,华
尔街见闻,今日头条,央视影音,樊登读书,每日英语听力,啊
哈路书,腾讯自选股,小宁静,私人定律,澎湃新闻,荔枝播
客,芒果tv,腾讯视频,优酷视频,华为视频,搜狐视频,央视
频,人人视频,全民电视直播,抖音极速版,火山,火山,火山极速
版,抖音火山版,微视,游戏厅,用户手册,用户反馈,赛道报
告,远程协助,空
</t>
          </r>
          <r>
            <rPr>
              <sz val="10"/>
              <color rgb="FF4E83FD"/>
              <rFont val="Arial"/>
            </rPr>
            <t>position</t>
          </r>
          <r>
            <rPr>
              <sz val="10"/>
              <color rgb="FF000000"/>
              <rFont val="Arial"/>
            </rPr>
            <t>主驾,副驾,左后,右后,前排,后排,空</t>
          </r>
        </is>
      </c>
      <c r="S64" s="150" t="str">
        <v>✅</v>
      </c>
      <c r="T64" s="16" t="str">
        <v>❌</v>
      </c>
      <c r="U64" s="16" t="str">
        <v>❌</v>
      </c>
      <c r="V64" s="16" t="str">
        <v>❌</v>
      </c>
      <c r="W64" s="150" t="str">
        <v>✅</v>
      </c>
      <c r="Y64" s="150" t="str">
        <v>✅</v>
      </c>
      <c r="AB64" s="11" t="inlineStr">
        <is>
          <r>
            <t>@刘晓帝</t>
          </r>
        </is>
      </c>
    </row>
    <row r="65" spans="1:28">
      <c r="A65" s="277" t="str">
        <v>多媒体应用开关</v>
      </c>
      <c r="B65" s="280"/>
      <c r="C65" s="277" t="str">
        <v>关闭多媒体应用/关闭指定屏幕的多媒体应用</v>
      </c>
      <c r="F65" s="14" t="str">
        <v>关闭腾讯视频、关闭副驾驶屏幕的腾讯视频</v>
      </c>
      <c r="G65" s="292" t="str">
        <v>拉桌面，android原生能力，无需开发</v>
      </c>
      <c r="H65" s="150" t="str">
        <v>✅</v>
      </c>
      <c r="I65" s="77"/>
      <c r="J65" s="150" t="str">
        <v>✅</v>
      </c>
      <c r="K65" s="229"/>
      <c r="L65" s="11" t="str">
        <v>指定应用开关</v>
      </c>
      <c r="M65" s="139"/>
      <c r="P65" s="150" t="str">
        <v>✅</v>
      </c>
      <c r="Q65" s="16" t="inlineStr">
        <is>
          <r>
            <rPr>
              <sz val="10"/>
              <color rgb="FF4E83FD"/>
              <rFont val="Arial"/>
            </rPr>
            <t>action</t>
          </r>
          <r>
            <rPr>
              <sz val="10"/>
              <color rgb="FF000000"/>
              <rFont val="Arial"/>
            </rPr>
            <t xml:space="preserve">打开,关闭
</t>
          </r>
          <r>
            <rPr>
              <sz val="10"/>
              <color rgb="FF4E83FD"/>
              <rFont val="Arial"/>
            </rPr>
            <t xml:space="preserve">app </t>
          </r>
          <r>
            <rPr>
              <sz val="10"/>
              <color rgb="FF1F2329"/>
              <rFont val="Arial"/>
            </rPr>
            <t xml:space="preserve">地图,媒体中心,多媒体,爱奇艺,哔哩哔哩,视频投屏,全民
K歌,Audiconnect,Carlog,行车影像,智能泊车,智能场
景,主题皮肤,U盘音乐,蓝牙音乐,QQ音乐,网易云音乐,
喜马拉雅,收音机,小宇宙,酷我音乐,懒人听书,应用市场,
车鱼试听,微信,Apple Carplay,HUAWEIHiCar,应用中
心,车主,车辆,百度地图,高德地图,oppo音乐,华为音
乐,酷我音乐,applemusic,咪咕音乐,Neutron player,
ViperHiFi,LotusHyperMusic,云听,阿基米德,芒果动
听,口袋故事,宝宝巴士,钱儿频道,儿歌多多,凯叔讲故事,
小红书,微博,腾讯新闻,新浪新闻,网易新闻,搜狐新闻,华
尔街见闻,今日头条,央视影音,樊登读书,每日英语听力,啊
哈路书,腾讯自选股,小宁静,私人定律,澎湃新闻,荔枝播
客,芒果tv,腾讯视频,优酷视频,华为视频,搜狐视频,央视
频,人人视频,全民电视直播,抖音极速版,火山,火山,火山极速
版,抖音火山版,微视,游戏厅,用户手册,用户反馈,赛道报
告,远程协助,空
</t>
          </r>
          <r>
            <rPr>
              <sz val="10"/>
              <color rgb="FF4E83FD"/>
              <rFont val="Arial"/>
            </rPr>
            <t>position</t>
          </r>
          <r>
            <rPr>
              <sz val="10"/>
              <color rgb="FF000000"/>
              <rFont val="Arial"/>
            </rPr>
            <t>主驾,副驾,左后,右后,前排,后排,空</t>
          </r>
        </is>
      </c>
      <c r="S65" s="16" t="str">
        <v>✅</v>
      </c>
      <c r="T65" s="16" t="str">
        <v>❌</v>
      </c>
      <c r="U65" s="16" t="str">
        <v>✅</v>
      </c>
      <c r="V65" s="16" t="str">
        <v>✅</v>
      </c>
      <c r="W65" s="16" t="str">
        <v>✅</v>
      </c>
      <c r="AB65" s="11" t="inlineStr">
        <is>
          <r>
            <t>@刘晓帝</t>
          </r>
        </is>
      </c>
    </row>
    <row r="66" spans="1:28">
      <c r="A66" s="277" t="str">
        <v>语音控制视频</v>
      </c>
      <c r="B66" s="278" t="str">
        <v>语音控制视频</v>
      </c>
      <c r="C66" s="277" t="str">
        <v>基于条件搜索播放视频</v>
      </c>
      <c r="F66" s="115" t="str">
        <v>我想看电视剧、播放恐怖电影、播放沈腾和马丽主演的最新的电影</v>
      </c>
      <c r="G66" s="287">
        <v>46101</v>
      </c>
      <c r="H66" s="150" t="str">
        <v>✅</v>
      </c>
      <c r="I66" s="77"/>
      <c r="J66" s="150" t="str">
        <v>✅</v>
      </c>
      <c r="K66" s="229"/>
      <c r="L66" s="11" t="str">
        <v>影视剧视频播放</v>
      </c>
      <c r="M66" s="139"/>
      <c r="O66" s="16" t="str">
        <v>
</v>
      </c>
      <c r="P66" s="150" t="str">
        <v>✅</v>
      </c>
      <c r="Q66" s="16" t="str">
        <v>video_name表示要播放的视频名称。如冰与火之歌、三国演义、大头儿子和小头爸爸、奔跑兄兄弟等。用户
表达可能是某些视频的简称,需要推理出完整的视频名称,如"跑男"推理出"奔跑吧兄弟"、"权
游"推理出"权利的游戏"、"唐说"推理出"唐朝诡事录"。若未提及可输出空,
video_type
电视剧,电影,综艺,动画片,动漫,纪录片,其他,空
video_tag
表示要播放视频的标签。当用户想要根据某种标签来筛选视频时,可以用此参数。视频标签一般包
含:
-地区:内地,中国香港,中国台湾,港台,欧洲,欧美等国家名字
-语种:粤语,英语,日语,韩语,其他
剧,战争,枪战,军旅,合家欢,谋战,悬疑,菲案,穿越,宫廷,宫廷, 序,神话,科幻,年代,ま
题材:自制,古装,志伤,治愈,励志,励志,机战,言情,武侠,动作,校园,日常,家庭,青春
村,商战,剧情,奇幻,网剧,竖短片,惊悚,恐怖,魔幻,文化,美食,伦理,相亲,纪实,生
活,亲子,少儿,财经,健康,旅游,教育,益智,职场,语言,辩论,满讲,观,民生,产
经,市场,理财,热血,泡面,冒险,欢乐精选,搞笑短片,娱乐/人卦,影视剧吐槽,雷人囧事,
爆笑节目,萌宠,童趣,奇闻趣事,恶搞配音,猎奇,啪啪奇,慈善,热点,热点,八卦,选秀,情感,
时尚,颁奖,活动,结婚,去世,生子,探班,事故,票房,盘点,纠纷,官司,星座,演唱会,
环保,独家,话题,戏曲,儿童剧,歌剧,音乐剧,音乐会,相声,马戏,魔术,展览,公益
-规格:巨制,院线,独播,网络电影
-资费:免费,会员,限免,自制,独播
-出品方:BBC,探索频道
-综艺类型:播报,访谈,游戏,晚会,曲艺,脱口秀,真人秀,竞技,爱奇艺出品,竞演
-动漫类型:轻小说改编,漫画改编,游戏改编,原创
动漫版本:特摄,布袋戏,特别篇,动态漫画,动画电影,轻动画,偶像,短剧
少儿年龄段:3岁
-少儿课程类型:儿歌,故事,学英语,百科,国学,手工,识字,数学,美术,舞蹈,运动,音
乐,诗词,口才
-少儿节目类型:有声绘本,儿童综艺,真人特辑
-奖项:奥斯卡奖,金像奖,白玉兰奖,艾美奖,夏纳奖,金鸡奖,百花奖,金马奖,金棕桐奖
-排序:新上线,热播榜,好评榜,即将上线
-年份:如2024,2023,2022,90年代,80年代,70年代等;
-榜单:如豆瓣高分,经典必看,近期热门等:
-演员性别:男,女
-清晰度:4K、1080P、360P、720P、省流
当用户的表达里包含多个标签,用","分割多个标签,如"古装.韩国""
artist
表示演员的名字。如成龙、金喜善等。如果用户要求多个演员的影视剧,用","分割多个人名
如"成龙,吴彦祖"。若未提及可输出空。当用户表达想要看XX的影视剧时.XX默认是演员名
director
表示导演的名字。如陈凯歌、张艺谋等。如果用户要求多个导演的影视剧,用","分割多个人名
如"沈腾,贾玲"。若未提及可输出空。
media_source
爱奇艺,优酷视频,哔哩哔哩,腾讯视频,芒果视频,华为视
频,咪咕视频,小米视频,其他,空
episode
表示想要播放的视频集数,输出数值,最小值为1。当用户表达想要看最新一集,请输出最新。若
提及可输出空
season
表示想要播放的视频季数,输出数值,最小值为1。当用户表达想要看最新一季,请输出最新。若
提及可输出空</v>
      </c>
      <c r="S66" s="16" t="str">
        <v>✅</v>
      </c>
      <c r="T66" s="16" t="str">
        <v>❌</v>
      </c>
      <c r="U66" s="11" t="str">
        <v>❌</v>
      </c>
      <c r="V66" s="11" t="str">
        <v>✅</v>
      </c>
      <c r="W66" s="16" t="str">
        <v>✅</v>
      </c>
      <c r="AB66" s="11" t="inlineStr">
        <is>
          <r>
            <t>@刘晓帝</t>
          </r>
        </is>
      </c>
    </row>
    <row r="67" spans="1:28">
      <c r="A67" s="277" t="str">
        <v>语音控制视频</v>
      </c>
      <c r="B67" s="279"/>
      <c r="C67" s="277" t="str">
        <v>指定视频APP搜索内容</v>
      </c>
      <c r="F67" s="115" t="str">
        <v>用腾讯视频播放西游记</v>
      </c>
      <c r="G67" s="287">
        <v>46101</v>
      </c>
      <c r="H67" s="150" t="str">
        <v>✅</v>
      </c>
      <c r="I67" s="77"/>
      <c r="J67" s="150" t="str">
        <v>✅</v>
      </c>
      <c r="K67" s="229"/>
      <c r="L67" s="11" t="str">
        <v>影视剧视频播放</v>
      </c>
      <c r="M67" s="139"/>
      <c r="P67" s="150" t="str">
        <v>✅</v>
      </c>
      <c r="S67" s="11" t="str">
        <v>✅</v>
      </c>
      <c r="T67" s="16" t="str">
        <v>❌</v>
      </c>
      <c r="U67" s="11" t="str">
        <v>❌</v>
      </c>
      <c r="V67" s="11" t="str">
        <v>✅</v>
      </c>
      <c r="W67" s="11" t="str">
        <v>✅</v>
      </c>
      <c r="AB67" s="11" t="inlineStr">
        <is>
          <r>
            <t>@刘晓帝</t>
          </r>
        </is>
      </c>
    </row>
    <row r="68" spans="1:28">
      <c r="A68" s="277" t="str">
        <v>语音控制视频</v>
      </c>
      <c r="B68" s="279"/>
      <c r="C68" s="277" t="str">
        <v>播放视频</v>
      </c>
      <c r="F68" s="115" t="str">
        <v>播放视频、播放腾讯视频</v>
      </c>
      <c r="G68" s="287">
        <v>46101</v>
      </c>
      <c r="H68" s="150" t="str">
        <v>✅</v>
      </c>
      <c r="I68" s="77"/>
      <c r="J68" s="150" t="str">
        <v>✅</v>
      </c>
      <c r="K68" s="229"/>
      <c r="L68" s="11" t="str">
        <v>影视剧视频播放</v>
      </c>
      <c r="M68" s="139"/>
      <c r="P68" s="150" t="str">
        <v>✅</v>
      </c>
      <c r="S68" s="11" t="str">
        <v>✅</v>
      </c>
      <c r="U68" s="16" t="str">
        <v>✅</v>
      </c>
      <c r="V68" s="16" t="str">
        <v>✅</v>
      </c>
      <c r="W68" s="11" t="str">
        <v>✅</v>
      </c>
      <c r="AB68" s="11" t="inlineStr">
        <is>
          <r>
            <t>@刘晓帝</t>
          </r>
        </is>
      </c>
    </row>
    <row r="69" spans="1:28">
      <c r="A69" s="277" t="str">
        <v>语音控制视频</v>
      </c>
      <c r="B69" s="279"/>
      <c r="C69" s="277" t="str">
        <v>暂停视频</v>
      </c>
      <c r="F69" s="115" t="str">
        <v>暂停视频、视频暂停</v>
      </c>
      <c r="G69" s="287">
        <v>46101</v>
      </c>
      <c r="H69" s="150" t="str">
        <v>✅</v>
      </c>
      <c r="I69" s="77"/>
      <c r="J69" s="150" t="str">
        <v>✅</v>
      </c>
      <c r="K69" s="229"/>
      <c r="L69" s="11" t="str">
        <v>播放状态设置</v>
      </c>
      <c r="M69" s="139"/>
      <c r="P69" s="150" t="str">
        <v>✅</v>
      </c>
      <c r="Q69" s="12" t="inlineStr">
        <is>
          <r>
            <rPr>
              <sz val="10"/>
              <color rgb="FF1F2329"/>
              <rFont val="Arial"/>
            </rPr>
            <t>action[暂停、续播、</t>
          </r>
          <r>
            <rPr>
              <sz val="10"/>
              <color rgb="FFF54A45"/>
              <rFont val="Arial"/>
            </rPr>
            <t>重播</t>
          </r>
          <r>
            <rPr>
              <sz val="10"/>
              <color rgb="FF1F2329"/>
              <rFont val="Arial"/>
            </rPr>
            <t xml:space="preserve">]
target[音乐、有声、电台、视频、空]</t>
          </r>
        </is>
      </c>
      <c r="S69" s="11" t="str">
        <v>✅</v>
      </c>
      <c r="U69" s="11" t="str">
        <v>❌</v>
      </c>
      <c r="V69" s="11" t="str">
        <v>✅</v>
      </c>
      <c r="W69" s="11" t="str">
        <v>✅</v>
      </c>
      <c r="AB69" s="11" t="inlineStr">
        <is>
          <r>
            <t>@刘晓帝</t>
          </r>
        </is>
      </c>
    </row>
    <row r="70" spans="1:28">
      <c r="A70" s="277" t="str">
        <v>语音控制视频</v>
      </c>
      <c r="B70" s="279"/>
      <c r="C70" s="81" t="str">
        <v>全屏播放/退出全屏播放</v>
      </c>
      <c r="F70" s="115" t="str">
        <v>全屏播放、退出全屏播放</v>
      </c>
      <c r="H70" s="14" t="str">
        <v>❌</v>
      </c>
      <c r="I70" s="77"/>
      <c r="J70" s="150" t="str">
        <v>✅</v>
      </c>
      <c r="K70" s="229"/>
      <c r="L70" s="11" t="str">
        <v>视频屏幕切换</v>
      </c>
      <c r="M70" s="139"/>
      <c r="O70" s="11" t="str">
        <v>字节侧兜底提示</v>
      </c>
      <c r="P70" s="150" t="str">
        <v>✅</v>
      </c>
      <c r="Q70" s="16" t="str">
        <v>mode[全屏、半屏]</v>
      </c>
      <c r="S70" s="16" t="str">
        <v>✅</v>
      </c>
      <c r="T70" s="16" t="str">
        <v>❌</v>
      </c>
      <c r="U70" s="16" t="str">
        <v>✅</v>
      </c>
      <c r="V70" s="16" t="str">
        <v>✅</v>
      </c>
      <c r="W70" s="16" t="str">
        <v>✅</v>
      </c>
      <c r="AB70" s="11" t="inlineStr">
        <is>
          <r>
            <t>@刘晓帝</t>
          </r>
        </is>
      </c>
    </row>
    <row r="71" spans="1:28">
      <c r="A71" s="277" t="str">
        <v>语音控制视频</v>
      </c>
      <c r="B71" s="279"/>
      <c r="C71" s="281" t="str">
        <v>视频清晰度调节</v>
      </c>
      <c r="D71" s="277" t="str">
        <v>调节具体清晰度</v>
      </c>
      <c r="F71" s="14" t="str">
        <v>视频清晰度调到标清</v>
      </c>
      <c r="H71" s="150" t="str">
        <v>✅</v>
      </c>
      <c r="I71" s="77"/>
      <c r="J71" s="150" t="str">
        <v>✅</v>
      </c>
      <c r="K71" s="229"/>
      <c r="L71" s="11" t="str">
        <v>视频画质设置</v>
      </c>
      <c r="M71" s="139"/>
      <c r="P71" s="150" t="str">
        <v>✅</v>
      </c>
      <c r="Q71" s="16" t="str">
        <v>value:标清,高清,超清,蓝光,自动,流畅,省流,高码率,原画,高帧率,360p,720p,480p,1080p,4K,2160p,空
value:high,mid,low,max,min
value:无符号、+ 、-</v>
      </c>
      <c r="S71" s="11" t="str">
        <v>✅</v>
      </c>
      <c r="U71" s="11" t="str">
        <v>❌</v>
      </c>
      <c r="V71" s="11" t="str">
        <v>✅</v>
      </c>
      <c r="W71" s="11" t="str">
        <v>✅</v>
      </c>
      <c r="AB71" s="11" t="inlineStr">
        <is>
          <r>
            <t>@刘晓帝</t>
          </r>
        </is>
      </c>
    </row>
    <row r="72" spans="1:28">
      <c r="A72" s="277" t="str">
        <v>语音控制视频</v>
      </c>
      <c r="B72" s="279"/>
      <c r="C72" s="283"/>
      <c r="D72" s="277" t="str">
        <v>调节视频清晰度-调高调低</v>
      </c>
      <c r="F72" s="14" t="str">
        <v>视频清晰度调高一些</v>
      </c>
      <c r="H72" s="150" t="str">
        <v>✅</v>
      </c>
      <c r="I72" s="77"/>
      <c r="J72" s="150" t="str">
        <v>✅</v>
      </c>
      <c r="K72" s="229"/>
      <c r="L72" s="11" t="str">
        <v>视频画质设置</v>
      </c>
      <c r="M72" s="139"/>
      <c r="P72" s="150" t="str">
        <v>✅</v>
      </c>
      <c r="Q72" s="16" t="str">
        <v>value:标清,高清,超清,蓝光,自动,流畅,省流,高码率,原画,高帧率,360p,720p,480p,1080p,4K,2160p,空
value:high,mid,low,max,min
value:无符号、+ 、-</v>
      </c>
      <c r="S72" s="11" t="str">
        <v>✅</v>
      </c>
      <c r="U72" s="11" t="str">
        <v>❌</v>
      </c>
      <c r="V72" s="11" t="str">
        <v>✅</v>
      </c>
      <c r="W72" s="11" t="str">
        <v>✅</v>
      </c>
      <c r="AB72" s="11" t="inlineStr">
        <is>
          <r>
            <t>@刘晓帝</t>
          </r>
        </is>
      </c>
    </row>
    <row r="73" spans="1:28">
      <c r="A73" s="277" t="str">
        <v>语音控制视频</v>
      </c>
      <c r="B73" s="279"/>
      <c r="C73" s="282"/>
      <c r="D73" s="277" t="str">
        <v>调节视频清晰度-极值</v>
      </c>
      <c r="F73" s="14" t="str">
        <v>视频清晰度调到最高</v>
      </c>
      <c r="H73" s="150" t="str">
        <v>✅</v>
      </c>
      <c r="I73" s="77"/>
      <c r="J73" s="150" t="str">
        <v>✅</v>
      </c>
      <c r="K73" s="229"/>
      <c r="L73" s="11" t="str">
        <v>视频画质设置</v>
      </c>
      <c r="M73" s="139"/>
      <c r="P73" s="150" t="str">
        <v>✅</v>
      </c>
      <c r="Q73" s="16" t="str">
        <v>value:标清,高清,超清,蓝光,自动,流畅,省流,高码率,原画,高帧率,360p,720p,480p,1080p,4K,2160p,空
value:high,mid,low,max,min
value:无符号、+ 、-</v>
      </c>
      <c r="S73" s="11" t="str">
        <v>✅</v>
      </c>
      <c r="U73" s="11" t="str">
        <v>❌</v>
      </c>
      <c r="V73" s="11" t="str">
        <v>✅</v>
      </c>
      <c r="W73" s="11" t="str">
        <v>✅</v>
      </c>
      <c r="AB73" s="11" t="inlineStr">
        <is>
          <r>
            <t>@刘晓帝</t>
          </r>
        </is>
      </c>
    </row>
    <row r="74" spans="1:28">
      <c r="A74" s="277" t="str">
        <v>语音控制视频</v>
      </c>
      <c r="B74" s="279"/>
      <c r="C74" s="293" t="str">
        <v>播放收藏的视频</v>
      </c>
      <c r="F74" s="14" t="str">
        <v>播放收藏的视频</v>
      </c>
      <c r="H74" s="14" t="str">
        <v>❌</v>
      </c>
      <c r="I74" s="77"/>
      <c r="J74" s="14" t="str">
        <v>❌</v>
      </c>
      <c r="K74" s="229"/>
      <c r="L74" s="218" t="str">
        <v>媒体列表播放</v>
      </c>
      <c r="M74" s="139"/>
      <c r="O74" s="11" t="str">
        <v>上汽侧兜底提示</v>
      </c>
      <c r="P74" s="150" t="str">
        <v>✅</v>
      </c>
      <c r="S74" s="11" t="str">
        <v>❌</v>
      </c>
      <c r="T74" s="16" t="str">
        <v>❌</v>
      </c>
      <c r="U74" s="11" t="str">
        <v>❌</v>
      </c>
      <c r="V74" s="11" t="str">
        <v>❌</v>
      </c>
      <c r="W74" s="11" t="str">
        <v>❌</v>
      </c>
      <c r="Y74" s="11" t="str">
        <v>❌</v>
      </c>
      <c r="AB74" s="11" t="inlineStr">
        <is>
          <r>
            <t>@刘晓帝</t>
          </r>
        </is>
      </c>
    </row>
    <row r="75" spans="1:32">
      <c r="A75" s="277" t="str">
        <v>语音控制视频</v>
      </c>
      <c r="B75" s="280"/>
      <c r="C75" s="293" t="str">
        <v>播放第X集</v>
      </c>
      <c r="F75" s="14" t="str">
        <v>播放第四集</v>
      </c>
      <c r="H75" s="14" t="str">
        <v>❌</v>
      </c>
      <c r="I75" s="77"/>
      <c r="J75" s="14" t="str">
        <v>❌</v>
      </c>
      <c r="K75" s="226"/>
      <c r="L75" s="218" t="str">
        <v>影视剧视频播放</v>
      </c>
      <c r="M75" s="139"/>
      <c r="O75" s="11" t="str">
        <v>字节侧兜底提示</v>
      </c>
      <c r="P75" s="150" t="str">
        <v>✅</v>
      </c>
      <c r="S75" s="11" t="str">
        <v>❌</v>
      </c>
      <c r="T75" s="16" t="str">
        <v>❌</v>
      </c>
      <c r="U75" s="11" t="str">
        <v>❌</v>
      </c>
      <c r="V75" s="11" t="str">
        <v>❌</v>
      </c>
      <c r="W75" s="11" t="str">
        <v>❌</v>
      </c>
      <c r="Y75" s="11" t="str">
        <v>❌</v>
      </c>
      <c r="AB75" s="11" t="inlineStr">
        <is>
          <r>
            <t>@刘晓帝</t>
          </r>
        </is>
      </c>
      <c r="AE75" s="11" t="str">
        <v>2026061219034097366053F422E5D63F9E</v>
      </c>
      <c r="AF75" s="11" t="str">
        <v>没有兜底</v>
      </c>
    </row>
    <row r="76" spans="1:28">
      <c r="A76" s="288" t="str">
        <v>语音控制K歌</v>
      </c>
      <c r="B76" s="281" t="str">
        <v>语音控制K歌</v>
      </c>
      <c r="C76" s="277" t="str">
        <v>指定APP搜索内容</v>
      </c>
      <c r="F76" s="14" t="str">
        <v>用全民K歌搜索如果爱忘了</v>
      </c>
      <c r="I76" s="77"/>
      <c r="J76" s="14" t="str">
        <v>❌</v>
      </c>
      <c r="K76" s="127" t="str">
        <v>❌</v>
      </c>
      <c r="L76" s="11" t="str">
        <v>音乐歌曲搜索</v>
      </c>
      <c r="M76" s="139"/>
      <c r="P76" s="150" t="str">
        <v>✅</v>
      </c>
      <c r="Q76" s="16" t="inlineStr">
        <is>
          <r>
            <rPr>
              <sz val="10"/>
              <color rgb="FF4E83FD"/>
              <rFont val="Arial"/>
            </rPr>
            <t>song</t>
          </r>
          <r>
            <rPr>
              <sz val="10"/>
              <color rgb="FF000000"/>
              <rFont val="Arial"/>
            </rPr>
            <t xml:space="preserve"> 表示歌曲名
</t>
          </r>
          <r>
            <rPr>
              <sz val="10"/>
              <color rgb="FF4E83FD"/>
              <rFont val="Arial"/>
            </rPr>
            <t>artist</t>
          </r>
          <r>
            <rPr>
              <sz val="10"/>
              <color rgb="FF000000"/>
              <rFont val="Arial"/>
            </rPr>
            <t xml:space="preserve"> 表示歌手名。当用户要求多个歌手的歌曲,用","分割多个歌手名,如"汪苏泷,单思纯"。若未提及可
输出空。
</t>
          </r>
          <r>
            <rPr>
              <sz val="10"/>
              <color rgb="FF4E83FD"/>
              <rFont val="Arial"/>
            </rPr>
            <t>album</t>
          </r>
          <r>
            <rPr>
              <sz val="10"/>
              <color rgb="FF000000"/>
              <rFont val="Arial"/>
            </rPr>
            <t xml:space="preserve"> 表示专辑名。当用户没有提到专辑名时,可以输出"空"
</t>
          </r>
          <r>
            <rPr>
              <sz val="10"/>
              <color rgb="FF4E83FD"/>
              <rFont val="Arial"/>
            </rPr>
            <t xml:space="preserve">media_source </t>
          </r>
          <r>
            <rPr>
              <sz val="10"/>
              <color rgb="FF000000"/>
              <rFont val="Arial"/>
            </rPr>
            <t xml:space="preserve"> U盘,蓝牙,在线,本地,qq音乐,网易云音乐,酷狗,酷我,全民K歌
千千静听,咪咕音乐,空,其他
</t>
          </r>
          <r>
            <rPr>
              <sz val="10"/>
              <color rgb="FF4E83FD"/>
              <rFont val="Arial"/>
            </rPr>
            <t xml:space="preserve">lyric </t>
          </r>
          <r>
            <rPr>
              <sz val="10"/>
              <color rgb="FF000000"/>
              <rFont val="Arial"/>
            </rPr>
            <t xml:space="preserve"> 表示歌词,当用户想要播放包含某些歌词的歌曲时,使用这个参数,并通过你的知识推理出歌曲名
在参数song里。如果用户没有提到歌词,可以输出"空"。
</t>
          </r>
          <r>
            <rPr>
              <sz val="10"/>
              <color rgb="FF4E83FD"/>
              <rFont val="Arial"/>
            </rPr>
            <t xml:space="preserve">rank_name </t>
          </r>
          <r>
            <rPr>
              <sz val="10"/>
              <color rgb="FF000000"/>
              <rFont val="Arial"/>
            </rPr>
            <t xml:space="preserve">表示榜单名,当用户想要播放某个榜单时,如新歌榜、热歌榜等,可以使用此参数,如果用户没有提到榜单,可以输出"空"
</t>
          </r>
          <r>
            <rPr>
              <sz val="10"/>
              <color rgb="FF4E83FD"/>
              <rFont val="Arial"/>
            </rPr>
            <t>song_tag</t>
          </r>
          <r>
            <rPr>
              <sz val="10"/>
              <color rgb="FF000000"/>
              <rFont val="Arial"/>
            </rPr>
            <t xml:space="preserve">表示歌曲标签,当用户想要根据某种标签来筛选歌曲时,可以用此参数。歌曲标签一般包含:
语言:中文,华语,日语,法语,韩语,英语,西班牙语,粤语语,俄语
-场景:夜店,学习工作,咖啡馆,运动,睡前,旅行,跳舞,派派对,婚礼,约会,校园,开车,学
习,清晨,亲热,咖啡店,散步,工作,婚礼,广场舞
-心情:如伤感,放松,励志,开心,甜蜜,兴奋,安静,寂寞,思念,快乐,安静,宣泄
-目标人群:老人,儿童,宝宝,男人,女人
-主题:KTV金曲,网络歌曲,背景音乐,经典老歌,情歌,儿欢,ACG,影视,综艺,游戏,乐
器,城市,戏曲,DJ神曲,MC喊麦,佛教音乐,厂牌专区,人气音乐节,怀旧,古风,网红,佛
乐,器乐,KTV,喊麦,抖音,3D,店铺专用,纯音乐,国风
奖项:格莱美奖,金曲奖,全美音乐奖,公告牌音乐奖,音乐录像带奖,朱诺大奖,钻石奖,蒙特
卡罗世界音乐奖,水星音乐奖,流行音乐奖,亚洲音乐大奖,世界界音乐大奖,台湾金曲奖
地区:内地,中国香港,中国台湾,港台,欧洲,欧美,&lt;国家名称&gt;,&lt;城市名称&gt;
-曲风:流行,摇滚,民谣,电子,舞曲,说唱,轻音乐,爵士,乡村,R&amp;B,古典,民族,英伦,
金属,雷鬼,拉丁,乡村,古风,嘻哈,后摇,hip-hop,民歌,蓝调
-年代:90年代,80年代,00年代,70年代
一年份:2008年,2024年
-性别:男,女,合唱,组合
-版本:现场,翻唱,合唱,伴奏,原唱
-乐器:吉他,钢琴,二胡,电子琴,贝斯,口琴,竖琴,小提琴,大提琴,中提琴,长笛,短笛,
单簧管,双簧管,古筝,琵琶,葫芦丝,手风琴
-资费:全部资费,免费,VIP,付费
-品质:高品质,无损,普通
当用户的表达里包含多个标签,用","分割多个标签,如"英英语,80年代"。</t>
          </r>
        </is>
      </c>
      <c r="S76" s="11" t="str">
        <v>✅</v>
      </c>
      <c r="W76" s="11" t="str">
        <v>✅</v>
      </c>
      <c r="AB76" s="11" t="inlineStr">
        <is>
          <r>
            <t>@刘晓帝</t>
          </r>
        </is>
      </c>
    </row>
    <row r="77" spans="1:28">
      <c r="A77" s="288" t="str">
        <v>语音控制K歌</v>
      </c>
      <c r="B77" s="283"/>
      <c r="C77" s="277" t="str">
        <v>我想唱这首歌</v>
      </c>
      <c r="F77" s="14" t="str">
        <v>我想唱这首歌</v>
      </c>
      <c r="H77" s="150" t="str">
        <v>Y</v>
      </c>
      <c r="I77" s="77"/>
      <c r="J77" s="14" t="str">
        <v>❌</v>
      </c>
      <c r="K77" s="130"/>
      <c r="L77" s="11" t="str">
        <v>K歌歌曲点播</v>
      </c>
      <c r="M77" s="139"/>
      <c r="P77" s="150" t="str">
        <v>✅</v>
      </c>
      <c r="Q77" s="16" t="str">
        <v>song表示要点播的歌曲名。如七里香、吻别、千里之外等。若未是及时则输出空。
artist表示要点播的歌手名。如周杰伦、张学友等,若未提及时则输出空。</v>
      </c>
      <c r="S77" s="11" t="str">
        <v>✅</v>
      </c>
      <c r="U77" s="16" t="str">
        <v>❌</v>
      </c>
      <c r="V77" s="11" t="str">
        <v>✅</v>
      </c>
      <c r="W77" s="11" t="str">
        <v>✅</v>
      </c>
      <c r="AB77" s="11" t="inlineStr">
        <is>
          <r>
            <t>@刘晓帝</t>
          </r>
        </is>
      </c>
    </row>
    <row r="78" spans="1:32">
      <c r="A78" s="288" t="str">
        <v>语音控制K歌</v>
      </c>
      <c r="B78" s="282"/>
      <c r="C78" s="277" t="str">
        <v>K歌搜索</v>
      </c>
      <c r="F78" s="14" t="str">
        <v>我想唱如果爱忘了</v>
      </c>
      <c r="H78" s="150" t="str">
        <v>Y</v>
      </c>
      <c r="I78" s="77"/>
      <c r="J78" s="14" t="str">
        <v>❌</v>
      </c>
      <c r="K78" s="130"/>
      <c r="L78" s="11" t="str">
        <v>K歌歌曲点播</v>
      </c>
      <c r="M78" s="139"/>
      <c r="P78" s="150" t="str">
        <v>✅</v>
      </c>
      <c r="Q78" s="16" t="str">
        <v>song表示要点播的歌曲名。如七里香、吻别、千里之外等。若未是及时则输出空。
artist表示要点播的歌手名。如周杰伦、张学友等,若未提及时则输出空。</v>
      </c>
      <c r="S78" s="11" t="str">
        <v>✅</v>
      </c>
      <c r="U78" s="16" t="str">
        <v>❌</v>
      </c>
      <c r="V78" s="11" t="str">
        <v>❌</v>
      </c>
      <c r="W78" s="11" t="str">
        <v>❌</v>
      </c>
      <c r="Y78" s="11" t="str">
        <v>❌</v>
      </c>
      <c r="Z78" s="11" t="str">
        <v>✅</v>
      </c>
      <c r="AB78" s="11" t="inlineStr">
        <is>
          <r>
            <t>@刘晓帝</t>
          </r>
        </is>
      </c>
      <c r="AE78" s="11" t="str">
        <v>20260612190401190F3B87FA6E589B7776</v>
      </c>
      <c r="AF78" s="11" t="str">
        <v>无执行动作 TTS回复已安排</v>
      </c>
    </row>
    <row r="79" spans="1:28">
      <c r="A79" s="288" t="str">
        <v>语音控制镜像（分享/共享/一起看）</v>
      </c>
      <c r="B79" s="281" t="str">
        <v>语音控制镜像（分享/共享/一起看）</v>
      </c>
      <c r="C79" s="277" t="str">
        <v>语音控制镜像通用逻辑</v>
      </c>
      <c r="H79" s="150" t="str">
        <v>NA</v>
      </c>
      <c r="I79" s="77"/>
      <c r="J79" s="14" t="str">
        <v>❌</v>
      </c>
      <c r="K79" s="130"/>
      <c r="L79" s="12" t="str">
        <v>NA</v>
      </c>
      <c r="M79" s="139"/>
      <c r="AB79" s="11" t="inlineStr">
        <is>
          <r>
            <t>@刘晓帝</t>
          </r>
        </is>
      </c>
    </row>
    <row r="80" spans="1:32">
      <c r="A80" s="288" t="str">
        <v>语音控制镜像（分享/共享/一起看）</v>
      </c>
      <c r="B80" s="283"/>
      <c r="C80" s="277" t="str">
        <v>将内容镜像给特定屏幕</v>
      </c>
      <c r="F80" s="14" t="str">
        <v>将腾讯视频镜像到副驾屏、将主驾驶屏幕镜像到后排屏幕</v>
      </c>
      <c r="H80" s="255" t="str">
        <v>1）adb install MultiScreen apk 和 MediaCenterService后
2）重启车机
3）命令行拉起 MultiScreen
am startservice -n com.zone.multiscreen/com.zone.multiscreen.MultiScreenService
4）在中控屏打开《视频投屏》
5）把中控屏镜像到后排屏
adb shell am broadcast -a com.zone.action.voice.mediacenter --es "content" ' {"taskId":"media132","direction":1,"asr":"将中控屏镜像到后排","tts":\"\","semantic":{"domain":"media","intention":"MIRROR_IMAGE_TO_SCREEN","mediaSlot":{"source":"UNKNOWN","slotData":{"area":"driver", "position":"rear"}}}}'
6）关闭镜像
adb shell am broadcast -a com.saic.zone.action.voice.multiscreen.test --es "content" ' {"taskId":"media23","direction":4,"asr":"关闭视频镜像","tts":\"\","semantic":{"domain":"media","intention":"CLOSE_MIRROR_IMAGE","mediaSlot":{"source":"UNKNOWN","slotData":{"sourceType":"VIDEO"}}}}' </v>
      </c>
      <c r="I80" s="77"/>
      <c r="J80" s="14" t="str">
        <v>❌</v>
      </c>
      <c r="K80" s="130"/>
      <c r="L80" s="11" t="str">
        <v>屏幕镜像开关</v>
      </c>
      <c r="M80" s="139"/>
      <c r="O80" s="11" t="str">
        <v>中控屏到其他屏</v>
      </c>
      <c r="P80" s="150" t="str">
        <v>✅</v>
      </c>
      <c r="Q80" s="16" t="inlineStr">
        <is>
          <r>
            <rPr>
              <sz val="10"/>
              <color rgb="FF4E83FD"/>
              <rFont val="Arial"/>
            </rPr>
            <t>action</t>
          </r>
          <r>
            <rPr>
              <sz val="10"/>
              <color rgb="FF000000"/>
              <rFont val="Arial"/>
            </rPr>
            <t xml:space="preserve">打开,关闭
</t>
          </r>
          <r>
            <rPr>
              <sz val="10"/>
              <color rgb="FF4E83FD"/>
              <rFont val="Arial"/>
            </rPr>
            <t>app</t>
          </r>
          <r>
            <rPr>
              <sz val="10"/>
              <color rgb="FF000000"/>
              <rFont val="Arial"/>
            </rPr>
            <t xml:space="preserve">爱奇艺、哔哩哔哩、视频投屏、全民K歌、芒果TV、云游戏,空、其他
</t>
          </r>
          <r>
            <rPr>
              <sz val="10"/>
              <color rgb="FF4E83FD"/>
              <rFont val="Arial"/>
            </rPr>
            <t>object</t>
          </r>
          <r>
            <rPr>
              <sz val="10"/>
              <color rgb="FF000000"/>
              <rFont val="Arial"/>
            </rPr>
            <t xml:space="preserve">视频、K歌、游戏,空、其他
</t>
          </r>
          <r>
            <rPr>
              <sz val="10"/>
              <color rgb="FF4E83FD"/>
              <rFont val="Arial"/>
            </rPr>
            <t>target_screen</t>
          </r>
          <r>
            <rPr>
              <sz val="10"/>
              <color rgb="FF000000"/>
              <rFont val="Arial"/>
            </rPr>
            <t xml:space="preserve">中控屏、副驾屏、仪表、后排屏、左后屏、右后屏、前排屏、全部屏、PAD、语音屏、后排吸顶屏、其他、空
</t>
          </r>
          <r>
            <rPr>
              <sz val="10"/>
              <color rgb="FF4E83FD"/>
              <rFont val="Arial"/>
            </rPr>
            <t>screen</t>
          </r>
          <r>
            <rPr>
              <sz val="10"/>
              <color rgb="FF000000"/>
              <rFont val="Arial"/>
            </rPr>
            <t>中控屏、副驾屏、仪表、后排屏、左后屏、右后屏、前排屏、全部屏、PAD、语音屏、后排吸顶屏、其他、空</t>
          </r>
        </is>
      </c>
      <c r="S80" s="16" t="str">
        <v>❌</v>
      </c>
      <c r="U80" s="16" t="str">
        <v>❌</v>
      </c>
      <c r="V80" s="16" t="str">
        <v>❌</v>
      </c>
      <c r="W80" s="16" t="str">
        <v>❌</v>
      </c>
      <c r="Y80" s="16" t="str">
        <v>❌</v>
      </c>
      <c r="AB80" s="11" t="inlineStr">
        <is>
          <r>
            <t>@刘晓帝</t>
          </r>
        </is>
      </c>
      <c r="AF80" s="11" t="str">
        <v>无法镜像</v>
      </c>
    </row>
    <row r="81" spans="1:28">
      <c r="A81" s="288" t="str">
        <v>语音控制镜像（分享/共享/一起看）</v>
      </c>
      <c r="B81" s="283"/>
      <c r="C81" s="277" t="str">
        <v>语音打开镜像功能</v>
      </c>
      <c r="F81" s="14" t="str">
        <v>打开副驾屏幕的镜像功能</v>
      </c>
      <c r="H81" s="270"/>
      <c r="I81" s="77"/>
      <c r="J81" s="14" t="str">
        <v>❌</v>
      </c>
      <c r="K81" s="130"/>
      <c r="L81" s="11" t="str">
        <v>屏幕镜像开关</v>
      </c>
      <c r="M81" s="139"/>
      <c r="O81" s="11" t="str">
        <v>
罗文彬反馈上汽没给api</v>
      </c>
      <c r="Q81" s="16" t="inlineStr">
        <is>
          <r>
            <rPr>
              <sz val="10"/>
              <color rgb="FF4E83FD"/>
              <rFont val="Arial"/>
            </rPr>
            <t>action</t>
          </r>
          <r>
            <rPr>
              <sz val="10"/>
              <color rgb="FF000000"/>
              <rFont val="Arial"/>
            </rPr>
            <t xml:space="preserve">打开,关闭
</t>
          </r>
          <r>
            <rPr>
              <sz val="10"/>
              <color rgb="FF4E83FD"/>
              <rFont val="Arial"/>
            </rPr>
            <t>app</t>
          </r>
          <r>
            <rPr>
              <sz val="10"/>
              <color rgb="FF000000"/>
              <rFont val="Arial"/>
            </rPr>
            <t xml:space="preserve">爱奇艺、哔哩哔哩、视频投屏、全民K歌、芒果TV、云游戏,空、其他
</t>
          </r>
          <r>
            <rPr>
              <sz val="10"/>
              <color rgb="FF4E83FD"/>
              <rFont val="Arial"/>
            </rPr>
            <t>object</t>
          </r>
          <r>
            <rPr>
              <sz val="10"/>
              <color rgb="FF000000"/>
              <rFont val="Arial"/>
            </rPr>
            <t xml:space="preserve">视频、K歌、游戏,空、其他
</t>
          </r>
          <r>
            <rPr>
              <sz val="10"/>
              <color rgb="FF4E83FD"/>
              <rFont val="Arial"/>
            </rPr>
            <t>target_screen</t>
          </r>
          <r>
            <rPr>
              <sz val="10"/>
              <color rgb="FF000000"/>
              <rFont val="Arial"/>
            </rPr>
            <t xml:space="preserve">中控屏、副驾屏、仪表、后排屏、左后屏、右后屏、前排屏、全部屏、PAD、语音屏、后排吸顶屏、其他、空
</t>
          </r>
          <r>
            <rPr>
              <sz val="10"/>
              <color rgb="FF4E83FD"/>
              <rFont val="Arial"/>
            </rPr>
            <t>screen</t>
          </r>
          <r>
            <rPr>
              <sz val="10"/>
              <color rgb="FF000000"/>
              <rFont val="Arial"/>
            </rPr>
            <t>中控屏、副驾屏、仪表、后排屏、左后屏、右后屏、前排屏、全部屏、PAD、语音屏、后排吸顶屏、其他、空</t>
          </r>
        </is>
      </c>
      <c r="AB81" s="11" t="inlineStr">
        <is>
          <r>
            <t>@刘晓帝</t>
          </r>
        </is>
      </c>
    </row>
    <row r="82" spans="1:32">
      <c r="A82" s="288" t="str">
        <v>语音控制镜像（分享/共享/一起看）</v>
      </c>
      <c r="B82" s="282"/>
      <c r="C82" s="277" t="str">
        <v>语音关闭镜像功能</v>
      </c>
      <c r="F82" s="14" t="str">
        <v>关闭副驾屏幕的镜像功能</v>
      </c>
      <c r="H82" s="256"/>
      <c r="I82" s="77"/>
      <c r="J82" s="14" t="str">
        <v>❌</v>
      </c>
      <c r="K82" s="130"/>
      <c r="L82" s="11" t="str">
        <v>屏幕镜像开关</v>
      </c>
      <c r="M82" s="139"/>
      <c r="O82" s="11" t="str">
        <v>object只支持Video</v>
      </c>
      <c r="P82" s="150" t="str">
        <v>✅</v>
      </c>
      <c r="Q82" s="16" t="inlineStr">
        <is>
          <r>
            <rPr>
              <sz val="10"/>
              <color rgb="FF4E83FD"/>
              <rFont val="Arial"/>
            </rPr>
            <t>action</t>
          </r>
          <r>
            <rPr>
              <sz val="10"/>
              <color rgb="FF000000"/>
              <rFont val="Arial"/>
            </rPr>
            <t xml:space="preserve">打开,关闭
</t>
          </r>
          <r>
            <rPr>
              <sz val="10"/>
              <color rgb="FF4E83FD"/>
              <rFont val="Arial"/>
            </rPr>
            <t>app</t>
          </r>
          <r>
            <rPr>
              <sz val="10"/>
              <color rgb="FF000000"/>
              <rFont val="Arial"/>
            </rPr>
            <t xml:space="preserve">爱奇艺、哔哩哔哩、视频投屏、全民K歌、芒果TV、云游戏,空、其他
</t>
          </r>
          <r>
            <rPr>
              <sz val="10"/>
              <color rgb="FF4E83FD"/>
              <rFont val="Arial"/>
            </rPr>
            <t>object</t>
          </r>
          <r>
            <rPr>
              <sz val="10"/>
              <color rgb="FF000000"/>
              <rFont val="Arial"/>
            </rPr>
            <t xml:space="preserve">视频、K歌、游戏,空、其他
</t>
          </r>
          <r>
            <rPr>
              <sz val="10"/>
              <color rgb="FF4E83FD"/>
              <rFont val="Arial"/>
            </rPr>
            <t>target_screen</t>
          </r>
          <r>
            <rPr>
              <sz val="10"/>
              <color rgb="FF000000"/>
              <rFont val="Arial"/>
            </rPr>
            <t xml:space="preserve">中控屏、副驾屏、仪表、后排屏、左后屏、右后屏、前排屏、全部屏、PAD、语音屏、后排吸顶屏、其他、空
</t>
          </r>
          <r>
            <rPr>
              <sz val="10"/>
              <color rgb="FF4E83FD"/>
              <rFont val="Arial"/>
            </rPr>
            <t>screen</t>
          </r>
          <r>
            <rPr>
              <sz val="10"/>
              <color rgb="FF000000"/>
              <rFont val="Arial"/>
            </rPr>
            <t>中控屏、副驾屏、仪表、后排屏、左后屏、右后屏、前排屏、全部屏、PAD、语音屏、后排吸顶屏、其他、空</t>
          </r>
        </is>
      </c>
      <c r="S82" s="16" t="str">
        <v>❌</v>
      </c>
      <c r="U82" s="16" t="str">
        <v>❌</v>
      </c>
      <c r="V82" s="16" t="str">
        <v>❌</v>
      </c>
      <c r="W82" s="16" t="str">
        <v>❌</v>
      </c>
      <c r="Y82" s="16" t="str">
        <v>❌</v>
      </c>
      <c r="AB82" s="11" t="inlineStr">
        <is>
          <r>
            <t>@刘晓帝</t>
          </r>
        </is>
      </c>
      <c r="AF82" s="11" t="str">
        <v>无法镜像</v>
      </c>
    </row>
    <row r="83" spans="1:28">
      <c r="A83" s="294" t="str">
        <v>AI语音手机融合需求-语音控制抖音</v>
      </c>
      <c r="B83" s="295" t="str">
        <v>AI语音手机融合需求-语音控制抖音</v>
      </c>
      <c r="C83" s="294" t="str">
        <v>打开手机抖音指定页面</v>
      </c>
      <c r="F83" s="235" t="str">
        <v>打开抖音关注、打开抖音直播页</v>
      </c>
      <c r="H83" s="150" t="str">
        <v>✅</v>
      </c>
      <c r="I83" s="77"/>
      <c r="J83" s="14" t="str">
        <v>❌</v>
      </c>
      <c r="K83" s="130"/>
      <c r="L83" s="296" t="str">
        <v>待确认是否需要支持</v>
      </c>
      <c r="M83" s="139"/>
      <c r="AB83" s="11" t="inlineStr">
        <is>
          <r>
            <t>@刘晓帝</t>
          </r>
        </is>
      </c>
    </row>
    <row r="84" spans="1:28">
      <c r="A84" s="294" t="str">
        <v>AI语音手机融合需求-语音控制抖音</v>
      </c>
      <c r="B84" s="297"/>
      <c r="C84" s="294" t="str">
        <v>播放抖音视频</v>
      </c>
      <c r="D84" s="294" t="str">
        <v>用抖音播放短视频、抖音同城</v>
      </c>
      <c r="F84" s="235" t="str">
        <v>打开抖音看搞笑视频</v>
      </c>
      <c r="H84" s="150" t="str">
        <v>✅</v>
      </c>
      <c r="I84" s="230"/>
      <c r="J84" s="14" t="str">
        <v>❌</v>
      </c>
      <c r="K84" s="136"/>
      <c r="L84" s="296" t="str">
        <v>待确认是否需要支持</v>
      </c>
      <c r="M84" s="156"/>
      <c r="AB84" s="11" t="inlineStr">
        <is>
          <r>
            <t>@刘晓帝</t>
          </r>
        </is>
      </c>
    </row>
  </sheetData>
  <mergeCells count="41">
    <mergeCell ref="C2:C3"/>
    <mergeCell ref="B2:B28"/>
    <mergeCell ref="K2:K46"/>
    <mergeCell ref="M2:M84"/>
    <mergeCell ref="N2:N48"/>
    <mergeCell ref="I2:I84"/>
    <mergeCell ref="C4:C5"/>
    <mergeCell ref="C6:C10"/>
    <mergeCell ref="C11:C12"/>
    <mergeCell ref="C13:C17"/>
    <mergeCell ref="C18:C21"/>
    <mergeCell ref="C22:C26"/>
    <mergeCell ref="C29:C35"/>
    <mergeCell ref="B29:B46"/>
    <mergeCell ref="C36:C37"/>
    <mergeCell ref="C38:C41"/>
    <mergeCell ref="C42:C44"/>
    <mergeCell ref="L42:L43"/>
    <mergeCell ref="Q42:Q44"/>
    <mergeCell ref="O42:O44"/>
    <mergeCell ref="C45:C46"/>
    <mergeCell ref="C47:C49"/>
    <mergeCell ref="B47:B51"/>
    <mergeCell ref="K47:K51"/>
    <mergeCell ref="C50:C51"/>
    <mergeCell ref="C52:C55"/>
    <mergeCell ref="B52:B55"/>
    <mergeCell ref="K52:K55"/>
    <mergeCell ref="C56:C61"/>
    <mergeCell ref="B56:B63"/>
    <mergeCell ref="K56:K63"/>
    <mergeCell ref="C62:C63"/>
    <mergeCell ref="B64:B65"/>
    <mergeCell ref="K64:K75"/>
    <mergeCell ref="B66:B75"/>
    <mergeCell ref="C71:C73"/>
    <mergeCell ref="B76:B78"/>
    <mergeCell ref="K76:K84"/>
    <mergeCell ref="B79:B82"/>
    <mergeCell ref="H80:H82"/>
    <mergeCell ref="B83:B84"/>
  </mergeCells>
  <hyperlinks>
    <hyperlink ref="I2" r:id="rId1"/>
    <hyperlink ref="M2" r:id="rId2"/>
    <hyperlink ref="N2" r:id="rId3"/>
  </hyperlinks>
  <pageMargins left="0.7" right="0.7" top="0.75" bottom="0.75" header="0.3" footer="0.3"/>
  <pageSetup orientation="portrait"/>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24.142857142857142" style="1" customWidth="1"/>
    <col min="3" max="3" width="39.285714285714285" style="1" customWidth="1"/>
    <col min="4" max="4" width="11.714285714285714" style="1" customWidth="1"/>
    <col min="5" max="5" width="38.142857142857146" style="1" customWidth="1"/>
    <col min="6" max="7" width="19.142857142857142" style="1" customWidth="1"/>
    <col min="8" max="8" width="25.669642857142858" style="1" customWidth="1"/>
    <col min="9" max="10" width="21" style="1" customWidth="1"/>
    <col min="11" max="11" width="19.571428571428573" style="1" customWidth="1"/>
    <col min="12" max="12" width="19.714285714285456" style="1" customWidth="1"/>
    <col min="13" max="14" width="19.571428571428573" style="1" customWidth="1"/>
    <col min="15" max="15" width="20.87301587301525" style="1" customWidth="1"/>
    <col min="16" max="16" width="20.96825396825339" style="1" customWidth="1"/>
    <col min="17" max="24" width="24.285714285714285" style="1" customWidth="1"/>
    <col min="25" max="25" width="24.39682539682482" style="1" customWidth="1"/>
    <col min="26" max="31" width="15" style="1" customWidth="1"/>
  </cols>
  <sheetData>
    <row r="1" spans="1:31">
      <c r="A1" s="163" t="str">
        <v>功能名称</v>
      </c>
      <c r="B1" s="163" t="str">
        <v>功能名称</v>
      </c>
      <c r="C1" s="163" t="str">
        <v>二级功能名称</v>
      </c>
      <c r="D1" s="163" t="str">
        <v>优先级</v>
      </c>
      <c r="E1" s="163" t="str">
        <v>语音指令示例</v>
      </c>
      <c r="F1" s="163" t="inlineStr">
        <is>
          <r>
            <t>上汽接口是否支持</t>
          </r>
          <r>
            <t>@周怀君</t>
          </r>
        </is>
      </c>
      <c r="G1" s="163" t="str">
        <v>上汽排期</v>
      </c>
      <c r="H1" s="298" t="inlineStr">
        <is>
          <r>
            <t>PPV1实车状态</t>
          </r>
          <r>
            <t>@方令平</t>
          </r>
        </is>
      </c>
      <c r="I1" s="298" t="inlineStr">
        <is>
          <r>
            <t xml:space="preserve">控制PRD </t>
          </r>
          <r>
            <t>@Jojo(思晴)</t>
          </r>
        </is>
      </c>
      <c r="J1" s="298" t="inlineStr">
        <is>
          <r>
            <t xml:space="preserve">控制PRD </t>
          </r>
          <r>
            <t>@Jojo(思晴)</t>
          </r>
        </is>
      </c>
      <c r="K1" s="163" t="str">
        <v>端状态PRD</v>
      </c>
      <c r="L1" s="163" t="inlineStr">
        <is>
          <r>
            <t>接口识别</t>
          </r>
          <r>
            <t>@汪帅</t>
          </r>
        </is>
      </c>
      <c r="M1" s="163" t="inlineStr">
        <is>
          <r>
            <t>研发进展</t>
          </r>
          <r>
            <t>@汪帅</t>
          </r>
        </is>
      </c>
      <c r="N1" s="163" t="inlineStr">
        <is>
          <r>
            <t>研发备注</t>
          </r>
          <r>
            <t>@汪帅</t>
          </r>
        </is>
      </c>
      <c r="O1" s="163" t="inlineStr">
        <is>
          <r>
            <t xml:space="preserve">测试用例 </t>
          </r>
          <r>
            <t>@赵晓健</t>
          </r>
        </is>
      </c>
      <c r="P1" s="163" t="inlineStr">
        <is>
          <r>
            <t xml:space="preserve">测试进展 </t>
          </r>
          <r>
            <t>@赵晓健</t>
          </r>
        </is>
      </c>
      <c r="Q1" s="163" t="str">
        <v>0427测试结果</v>
      </c>
      <c r="R1" s="163" t="str">
        <v>0519测试结果</v>
      </c>
      <c r="S1" s="163" t="str">
        <v>0605测试结果</v>
      </c>
      <c r="T1" s="163" t="str">
        <v>0612测试结果</v>
      </c>
      <c r="U1" s="163" t="str">
        <v>0627测试结果</v>
      </c>
      <c r="V1" s="163" t="str">
        <v>0710测试结果</v>
      </c>
      <c r="W1" s="163" t="str">
        <v>0717测试结果</v>
      </c>
      <c r="X1" s="163" t="str">
        <v>测试QA</v>
      </c>
      <c r="Y1" s="163" t="inlineStr">
        <is>
          <r>
            <t xml:space="preserve">产品走查进展 </t>
          </r>
          <r>
            <t>@Jojo(思晴)</t>
          </r>
        </is>
      </c>
      <c r="Z1" s="163" t="str">
        <v>产品走查备注</v>
      </c>
      <c r="AC1" s="165" t="str">
        <v>当前责任方</v>
      </c>
      <c r="AD1" s="165" t="str">
        <v>当前责任人</v>
      </c>
      <c r="AE1" s="165" t="str">
        <v>问题分类</v>
      </c>
    </row>
    <row r="2" spans="1:24">
      <c r="A2" s="11" t="str">
        <v>打开地图应用</v>
      </c>
      <c r="B2" s="46" t="str">
        <v>打开地图应用</v>
      </c>
      <c r="C2" s="11" t="str">
        <v>打开地图</v>
      </c>
      <c r="D2" s="11" t="str">
        <v>P0</v>
      </c>
      <c r="E2" s="11" t="str">
        <v>打开地图</v>
      </c>
      <c r="F2" s="164" t="str">
        <v>Y</v>
      </c>
      <c r="G2" s="164" t="str">
        <v>原生打开app能力</v>
      </c>
      <c r="H2" s="122" t="str">
        <v>实车地图APP版本更新</v>
      </c>
      <c r="I2" s="11" t="str">
        <v>指定应用开关</v>
      </c>
      <c r="J2" s="61" t="str">
        <v>1. Vehicle_Platform1.0_IS4PR_Yu_Yin_Kong_Zhi_IS4PR_Yu_Yin_Kong_Zhi_Di_Tu__PRD
2. 语音控制地图Flow Chart v12.0:https://pq3b44yw2t9.feishu.cn/file/XHJZbMirUoYBM6xLLyDcgDTfn8f
3. 语音控制地图-流程图（上个文档的高清图）:https://pq3b44yw2t9.feishu.cn/wiki/FSOQwTAtWi5AN8k0F4Ccj7cynwc
2026/3/21 新增需求
语音控制地图-流程图:https://pq3b44yw2t9.feishu.cn/wiki/FSOQwTAtWi5AN8k0F4Ccj7cynwc#share-MUkod7Ab4obvBsxgW6acACrYnwg </v>
      </c>
      <c r="M2" s="150" t="str">
        <v>✅</v>
      </c>
      <c r="N2" s="150" t="str">
        <v>✅</v>
      </c>
      <c r="P2" s="11" t="str">
        <v>✅</v>
      </c>
      <c r="Q2" s="11" t="str">
        <v>❌</v>
      </c>
      <c r="R2" s="11" t="str">
        <v>✅</v>
      </c>
      <c r="S2" s="11" t="str">
        <v>✅</v>
      </c>
      <c r="T2" s="11" t="str">
        <v>✅</v>
      </c>
      <c r="W2" s="11" t="str">
        <v>✅</v>
      </c>
      <c r="X2" s="11" t="inlineStr">
        <is>
          <r>
            <t>@刘晓帝</t>
          </r>
        </is>
      </c>
    </row>
    <row r="3" spans="1:24">
      <c r="A3" s="11" t="str">
        <v>打开地图应用</v>
      </c>
      <c r="B3" s="110"/>
      <c r="C3" s="11" t="str">
        <v>关闭地图</v>
      </c>
      <c r="D3" s="11" t="str">
        <v>P0</v>
      </c>
      <c r="E3" s="11" t="str">
        <v>地图关了吧</v>
      </c>
      <c r="F3" s="164" t="str">
        <v>Y</v>
      </c>
      <c r="G3" s="164" t="str">
        <v>拉起其他app</v>
      </c>
      <c r="H3" s="194"/>
      <c r="I3" s="11" t="str">
        <v>指定应用开关</v>
      </c>
      <c r="J3" s="139"/>
      <c r="M3" s="150" t="str">
        <v>✅</v>
      </c>
      <c r="N3" s="150" t="str">
        <v>✅</v>
      </c>
      <c r="P3" s="11" t="str">
        <v>✅</v>
      </c>
      <c r="Q3" s="11" t="str">
        <v>✅</v>
      </c>
      <c r="R3" s="11" t="str">
        <v>✅</v>
      </c>
      <c r="S3" s="11" t="str">
        <v>✅</v>
      </c>
      <c r="T3" s="11" t="str">
        <v>✅</v>
      </c>
      <c r="X3" s="11" t="inlineStr">
        <is>
          <r>
            <t>@刘晓帝</t>
          </r>
        </is>
      </c>
    </row>
    <row r="4" spans="1:24">
      <c r="A4" s="244" t="str">
        <v>导航到目的地</v>
      </c>
      <c r="B4" s="299" t="str">
        <v>导航到目的地</v>
      </c>
      <c r="C4" s="299" t="str">
        <v>导航意图</v>
      </c>
      <c r="D4" s="46" t="str">
        <v>P0</v>
      </c>
      <c r="E4" s="244" t="str">
        <v>帮我导航</v>
      </c>
      <c r="F4" s="16" t="str">
        <v>Y</v>
      </c>
      <c r="H4" s="194"/>
      <c r="I4" s="11" t="str">
        <v>ainavi承接</v>
      </c>
      <c r="J4" s="139"/>
      <c r="L4" s="11" t="str">
        <v>ainavi问题找彭钢</v>
      </c>
      <c r="X4" s="11" t="inlineStr">
        <is>
          <r>
            <t>@刘晓帝</t>
          </r>
        </is>
      </c>
    </row>
    <row r="5" spans="1:24">
      <c r="A5" s="244" t="str">
        <v>导航到目的地</v>
      </c>
      <c r="B5" s="300"/>
      <c r="C5" s="301"/>
      <c r="D5" s="110"/>
      <c r="E5" s="244" t="str">
        <v>替换目的地</v>
      </c>
      <c r="F5" s="16" t="str">
        <v>Y</v>
      </c>
      <c r="H5" s="194"/>
      <c r="I5" s="11" t="str">
        <v>ainavi承接</v>
      </c>
      <c r="J5" s="139"/>
      <c r="X5" s="11" t="inlineStr">
        <is>
          <r>
            <t>@刘晓帝</t>
          </r>
        </is>
      </c>
    </row>
    <row r="6" spans="1:24">
      <c r="A6" s="244" t="str">
        <v>导航到目的地</v>
      </c>
      <c r="B6" s="300"/>
      <c r="C6" s="299" t="str">
        <v>单说poi/poi类型</v>
      </c>
      <c r="D6" s="46" t="str">
        <v>P0</v>
      </c>
      <c r="E6" s="244" t="str">
        <v>大润发</v>
      </c>
      <c r="F6" s="16" t="str">
        <v>Y</v>
      </c>
      <c r="H6" s="194"/>
      <c r="I6" s="11" t="str">
        <v>ainavi承接</v>
      </c>
      <c r="J6" s="139"/>
      <c r="X6" s="11" t="inlineStr">
        <is>
          <r>
            <t>@刘晓帝</t>
          </r>
        </is>
      </c>
    </row>
    <row r="7" spans="1:24">
      <c r="A7" s="244" t="str">
        <v>导航到目的地</v>
      </c>
      <c r="B7" s="300"/>
      <c r="C7" s="301"/>
      <c r="D7" s="110"/>
      <c r="E7" s="244" t="str">
        <v>加油站</v>
      </c>
      <c r="F7" s="16" t="str">
        <v>Y</v>
      </c>
      <c r="H7" s="194"/>
      <c r="I7" s="11" t="str">
        <v>ainavi承接</v>
      </c>
      <c r="J7" s="139"/>
      <c r="X7" s="11" t="inlineStr">
        <is>
          <r>
            <t>@刘晓帝</t>
          </r>
        </is>
      </c>
    </row>
    <row r="8" spans="1:24">
      <c r="A8" s="244" t="str">
        <v>导航到目的地</v>
      </c>
      <c r="B8" s="300"/>
      <c r="C8" s="299" t="str">
        <v>导航到poi/poi类型</v>
      </c>
      <c r="D8" s="166" t="str">
        <v>P0</v>
      </c>
      <c r="E8" s="244" t="str">
        <v>我要去大润发</v>
      </c>
      <c r="F8" s="16" t="str">
        <v>Y</v>
      </c>
      <c r="H8" s="194"/>
      <c r="I8" s="11" t="str">
        <v>ainavi承接</v>
      </c>
      <c r="J8" s="139"/>
      <c r="X8" s="11" t="inlineStr">
        <is>
          <r>
            <t>@刘晓帝</t>
          </r>
        </is>
      </c>
    </row>
    <row r="9" spans="1:24">
      <c r="A9" s="244" t="str">
        <v>导航到目的地</v>
      </c>
      <c r="B9" s="300"/>
      <c r="C9" s="300"/>
      <c r="D9" s="168"/>
      <c r="E9" s="244" t="str">
        <v>导航到肯德基</v>
      </c>
      <c r="F9" s="16" t="str">
        <v>Y</v>
      </c>
      <c r="H9" s="194"/>
      <c r="I9" s="11" t="str">
        <v>ainavi承接</v>
      </c>
      <c r="J9" s="139"/>
      <c r="X9" s="11" t="inlineStr">
        <is>
          <r>
            <t>@刘晓帝</t>
          </r>
        </is>
      </c>
    </row>
    <row r="10" spans="1:24">
      <c r="A10" s="244" t="str">
        <v>导航到目的地</v>
      </c>
      <c r="B10" s="300"/>
      <c r="C10" s="300"/>
      <c r="D10" s="168"/>
      <c r="E10" s="244" t="str">
        <v>我想去沃尔玛</v>
      </c>
      <c r="F10" s="16" t="str">
        <v>Y</v>
      </c>
      <c r="H10" s="194"/>
      <c r="I10" s="11" t="str">
        <v>ainavi承接</v>
      </c>
      <c r="J10" s="139"/>
      <c r="X10" s="11" t="inlineStr">
        <is>
          <r>
            <t>@刘晓帝</t>
          </r>
        </is>
      </c>
    </row>
    <row r="11" spans="1:24">
      <c r="A11" s="244" t="str">
        <v>导航到目的地</v>
      </c>
      <c r="B11" s="300"/>
      <c r="C11" s="300"/>
      <c r="D11" s="168"/>
      <c r="E11" s="244" t="str">
        <v>怎么去汽车创新港</v>
      </c>
      <c r="F11" s="16" t="str">
        <v>Y</v>
      </c>
      <c r="H11" s="194"/>
      <c r="I11" s="11" t="str">
        <v>ainavi承接</v>
      </c>
      <c r="J11" s="139"/>
      <c r="X11" s="11" t="inlineStr">
        <is>
          <r>
            <t>@刘晓帝</t>
          </r>
        </is>
      </c>
    </row>
    <row r="12" spans="1:24">
      <c r="A12" s="244" t="str">
        <v>导航到目的地</v>
      </c>
      <c r="B12" s="300"/>
      <c r="C12" s="300"/>
      <c r="D12" s="168"/>
      <c r="E12" s="244" t="str">
        <v>我想导航到汽车创新港</v>
      </c>
      <c r="F12" s="16" t="str">
        <v>Y</v>
      </c>
      <c r="H12" s="194"/>
      <c r="I12" s="11" t="str">
        <v>ainavi承接</v>
      </c>
      <c r="J12" s="139"/>
      <c r="X12" s="11" t="inlineStr">
        <is>
          <r>
            <t>@刘晓帝</t>
          </r>
        </is>
      </c>
    </row>
    <row r="13" spans="1:24">
      <c r="A13" s="244" t="str">
        <v>导航到目的地</v>
      </c>
      <c r="B13" s="300"/>
      <c r="C13" s="300"/>
      <c r="D13" s="168"/>
      <c r="E13" s="244" t="str">
        <v>我想去超市</v>
      </c>
      <c r="F13" s="16" t="str">
        <v>Y</v>
      </c>
      <c r="H13" s="194"/>
      <c r="I13" s="11" t="str">
        <v>ainavi承接</v>
      </c>
      <c r="J13" s="139"/>
      <c r="X13" s="11" t="inlineStr">
        <is>
          <r>
            <t>@刘晓帝</t>
          </r>
        </is>
      </c>
    </row>
    <row r="14" spans="1:24">
      <c r="A14" s="244" t="str">
        <v>导航到目的地</v>
      </c>
      <c r="B14" s="300"/>
      <c r="C14" s="300"/>
      <c r="D14" s="168"/>
      <c r="E14" s="244" t="str">
        <v>导航到安红路和曹安公路交叉口</v>
      </c>
      <c r="F14" s="16" t="str">
        <v>Y</v>
      </c>
      <c r="H14" s="194"/>
      <c r="I14" s="11" t="str">
        <v>ainavi承接</v>
      </c>
      <c r="J14" s="139"/>
      <c r="X14" s="11" t="inlineStr">
        <is>
          <r>
            <t>@刘晓帝</t>
          </r>
        </is>
      </c>
    </row>
    <row r="15" spans="1:24">
      <c r="A15" s="244" t="str">
        <v>导航到目的地</v>
      </c>
      <c r="B15" s="300"/>
      <c r="C15" s="301"/>
      <c r="D15" s="30"/>
      <c r="E15" s="244" t="str">
        <v>导航到安研路201号</v>
      </c>
      <c r="F15" s="16" t="str">
        <v>Y</v>
      </c>
      <c r="H15" s="194"/>
      <c r="I15" s="11" t="str">
        <v>ainavi承接</v>
      </c>
      <c r="J15" s="139"/>
      <c r="X15" s="11" t="inlineStr">
        <is>
          <r>
            <t>@刘晓帝</t>
          </r>
        </is>
      </c>
    </row>
    <row r="16" spans="1:24">
      <c r="A16" s="244" t="str">
        <v>导航到目的地</v>
      </c>
      <c r="B16" s="300"/>
      <c r="C16" s="244" t="str">
        <v>导航到目的地+路线偏好</v>
      </c>
      <c r="D16" s="16" t="str">
        <v>P0</v>
      </c>
      <c r="E16" s="244" t="str">
        <v>导航到浦东机场，不走高速</v>
      </c>
      <c r="F16" s="164" t="str">
        <v>Y</v>
      </c>
      <c r="G16" s="164" t="str">
        <v>组合接口实现</v>
      </c>
      <c r="H16" s="194"/>
      <c r="I16" s="11" t="str">
        <v>ainavi承接</v>
      </c>
      <c r="J16" s="139"/>
      <c r="X16" s="11" t="inlineStr">
        <is>
          <r>
            <t>@刘晓帝</t>
          </r>
        </is>
      </c>
    </row>
    <row r="17" spans="1:24">
      <c r="A17" s="244" t="str">
        <v>导航到目的地</v>
      </c>
      <c r="B17" s="300"/>
      <c r="C17" s="299" t="str">
        <v>导航到家/公司</v>
      </c>
      <c r="D17" s="166" t="str">
        <v>P0</v>
      </c>
      <c r="E17" s="244" t="str">
        <v>导航回家</v>
      </c>
      <c r="F17" s="16" t="str">
        <v>Y</v>
      </c>
      <c r="H17" s="194"/>
      <c r="I17" s="11" t="str">
        <v>ainavi承接</v>
      </c>
      <c r="J17" s="139"/>
      <c r="X17" s="11" t="inlineStr">
        <is>
          <r>
            <t>@刘晓帝</t>
          </r>
        </is>
      </c>
    </row>
    <row r="18" spans="1:24">
      <c r="A18" s="244" t="str">
        <v>导航到目的地</v>
      </c>
      <c r="B18" s="300"/>
      <c r="C18" s="301"/>
      <c r="D18" s="30"/>
      <c r="E18" s="244" t="str">
        <v>导航去公司</v>
      </c>
      <c r="F18" s="16" t="str">
        <v>Y</v>
      </c>
      <c r="H18" s="194"/>
      <c r="I18" s="11" t="str">
        <v>ainavi承接</v>
      </c>
      <c r="J18" s="139"/>
      <c r="X18" s="11" t="inlineStr">
        <is>
          <r>
            <t>@刘晓帝</t>
          </r>
        </is>
      </c>
    </row>
    <row r="19" spans="1:24">
      <c r="A19" s="244" t="str">
        <v>导航到目的地</v>
      </c>
      <c r="B19" s="300"/>
      <c r="C19" s="299" t="str">
        <v>导航到附近的+POI/POI类型</v>
      </c>
      <c r="D19" s="166" t="str">
        <v>P0</v>
      </c>
      <c r="E19" s="244" t="str">
        <v>附近的加油站 </v>
      </c>
      <c r="F19" s="16" t="str">
        <v>Y</v>
      </c>
      <c r="H19" s="194"/>
      <c r="I19" s="11" t="str">
        <v>ainavi承接</v>
      </c>
      <c r="J19" s="139"/>
      <c r="X19" s="11" t="inlineStr">
        <is>
          <r>
            <t>@刘晓帝</t>
          </r>
        </is>
      </c>
    </row>
    <row r="20" spans="1:24">
      <c r="A20" s="244" t="str">
        <v>导航到目的地</v>
      </c>
      <c r="B20" s="300"/>
      <c r="C20" s="300"/>
      <c r="D20" s="168"/>
      <c r="E20" s="244" t="str">
        <v>导航到附近的超市 </v>
      </c>
      <c r="F20" s="16" t="str">
        <v>Y</v>
      </c>
      <c r="H20" s="194"/>
      <c r="I20" s="11" t="str">
        <v>ainavi承接</v>
      </c>
      <c r="J20" s="139"/>
      <c r="X20" s="11" t="inlineStr">
        <is>
          <r>
            <t>@刘晓帝</t>
          </r>
        </is>
      </c>
    </row>
    <row r="21" spans="1:24">
      <c r="A21" s="244" t="str">
        <v>导航到目的地</v>
      </c>
      <c r="B21" s="300"/>
      <c r="C21" s="300"/>
      <c r="D21" s="168"/>
      <c r="E21" s="244" t="str">
        <v>附近的KFC 导航到附近的张亮麻辣烫 </v>
      </c>
      <c r="F21" s="16" t="str">
        <v>Y</v>
      </c>
      <c r="H21" s="194"/>
      <c r="I21" s="11" t="str">
        <v>ainavi承接</v>
      </c>
      <c r="J21" s="139"/>
      <c r="X21" s="11" t="inlineStr">
        <is>
          <r>
            <t>@刘晓帝</t>
          </r>
        </is>
      </c>
    </row>
    <row r="22" spans="1:24">
      <c r="A22" s="244" t="str">
        <v>导航到目的地</v>
      </c>
      <c r="B22" s="300"/>
      <c r="C22" s="300"/>
      <c r="D22" s="168"/>
      <c r="E22" s="244" t="str">
        <v>附近有沃尔玛吗 </v>
      </c>
      <c r="F22" s="16" t="str">
        <v>Y</v>
      </c>
      <c r="H22" s="194"/>
      <c r="I22" s="11" t="str">
        <v>ainavi承接</v>
      </c>
      <c r="J22" s="139"/>
      <c r="X22" s="11" t="inlineStr">
        <is>
          <r>
            <t>@刘晓帝</t>
          </r>
        </is>
      </c>
    </row>
    <row r="23" spans="1:24">
      <c r="A23" s="244" t="str">
        <v>导航到目的地</v>
      </c>
      <c r="B23" s="300"/>
      <c r="C23" s="301"/>
      <c r="D23" s="30"/>
      <c r="E23" s="244" t="str">
        <v>导航到附近的交通大学</v>
      </c>
      <c r="F23" s="16" t="str">
        <v>Y</v>
      </c>
      <c r="H23" s="194"/>
      <c r="I23" s="11" t="str">
        <v>ainavi承接</v>
      </c>
      <c r="J23" s="139"/>
      <c r="X23" s="11" t="inlineStr">
        <is>
          <r>
            <t>@刘晓帝</t>
          </r>
        </is>
      </c>
    </row>
    <row r="24" spans="1:24">
      <c r="A24" s="244" t="str">
        <v>导航到目的地</v>
      </c>
      <c r="B24" s="300"/>
      <c r="C24" s="299" t="str">
        <v>导航到某位置附近+POI/POI类型</v>
      </c>
      <c r="D24" s="166" t="str">
        <v>P0</v>
      </c>
      <c r="E24" s="244" t="str">
        <v>上汽乘用车公司附近的超市</v>
      </c>
      <c r="F24" s="16" t="str">
        <v>Y</v>
      </c>
      <c r="H24" s="194"/>
      <c r="I24" s="11" t="str">
        <v>ainavi承接</v>
      </c>
      <c r="J24" s="139"/>
      <c r="X24" s="11" t="inlineStr">
        <is>
          <r>
            <t>@刘晓帝</t>
          </r>
        </is>
      </c>
    </row>
    <row r="25" spans="1:24">
      <c r="A25" s="244" t="str">
        <v>导航到目的地</v>
      </c>
      <c r="B25" s="300"/>
      <c r="C25" s="300"/>
      <c r="D25" s="168"/>
      <c r="E25" s="244" t="str">
        <v>导航去交通大学周边的咖啡店</v>
      </c>
      <c r="F25" s="16" t="str">
        <v>Y</v>
      </c>
      <c r="H25" s="194"/>
      <c r="I25" s="11" t="str">
        <v>ainavi承接</v>
      </c>
      <c r="J25" s="139"/>
      <c r="X25" s="11" t="inlineStr">
        <is>
          <r>
            <t>@刘晓帝</t>
          </r>
        </is>
      </c>
    </row>
    <row r="26" spans="1:24">
      <c r="A26" s="244" t="str">
        <v>导航到目的地</v>
      </c>
      <c r="B26" s="300"/>
      <c r="C26" s="301"/>
      <c r="D26" s="30"/>
      <c r="E26" s="244" t="str">
        <v>搜索交通大学附近的海底捞</v>
      </c>
      <c r="F26" s="16" t="str">
        <v>Y</v>
      </c>
      <c r="H26" s="194"/>
      <c r="I26" s="11" t="str">
        <v>ainavi承接</v>
      </c>
      <c r="J26" s="139"/>
      <c r="X26" s="11" t="inlineStr">
        <is>
          <r>
            <t>@刘晓帝</t>
          </r>
        </is>
      </c>
    </row>
    <row r="27" spans="1:24">
      <c r="A27" s="244" t="str">
        <v>导航到目的地</v>
      </c>
      <c r="B27" s="300"/>
      <c r="C27" s="299" t="str">
        <v>导航到家/公司附近+POI类型</v>
      </c>
      <c r="D27" s="166" t="str">
        <v>P0</v>
      </c>
      <c r="E27" s="244" t="str">
        <v>公司附近的加油站</v>
      </c>
      <c r="F27" s="16" t="str">
        <v>Y</v>
      </c>
      <c r="H27" s="194"/>
      <c r="I27" s="11" t="str">
        <v>ainavi承接</v>
      </c>
      <c r="J27" s="139"/>
      <c r="X27" s="11" t="inlineStr">
        <is>
          <r>
            <t>@刘晓帝</t>
          </r>
        </is>
      </c>
    </row>
    <row r="28" spans="1:24">
      <c r="A28" s="244" t="str">
        <v>导航到目的地</v>
      </c>
      <c r="B28" s="300"/>
      <c r="C28" s="301"/>
      <c r="D28" s="30"/>
      <c r="E28" s="244" t="str">
        <v>导航去家附近的超市</v>
      </c>
      <c r="F28" s="16" t="str">
        <v>Y</v>
      </c>
      <c r="H28" s="194"/>
      <c r="I28" s="11" t="str">
        <v>ainavi承接</v>
      </c>
      <c r="J28" s="139"/>
      <c r="X28" s="11" t="inlineStr">
        <is>
          <r>
            <t>@刘晓帝</t>
          </r>
        </is>
      </c>
    </row>
    <row r="29" spans="1:24">
      <c r="A29" s="244" t="str">
        <v>导航到目的地</v>
      </c>
      <c r="B29" s="300"/>
      <c r="C29" s="299" t="str">
        <v>修改目的地</v>
      </c>
      <c r="D29" s="166" t="str">
        <v>P0</v>
      </c>
      <c r="E29" s="244" t="str">
        <v>目的地改为大润发</v>
      </c>
      <c r="F29" s="16" t="str">
        <v>Y</v>
      </c>
      <c r="H29" s="194"/>
      <c r="I29" s="11" t="str">
        <v>ainavi承接</v>
      </c>
      <c r="J29" s="139"/>
      <c r="X29" s="11" t="inlineStr">
        <is>
          <r>
            <t>@刘晓帝</t>
          </r>
        </is>
      </c>
    </row>
    <row r="30" spans="1:24">
      <c r="A30" s="244" t="str">
        <v>导航到目的地</v>
      </c>
      <c r="B30" s="300"/>
      <c r="C30" s="300"/>
      <c r="D30" s="168"/>
      <c r="E30" s="244" t="str">
        <v>目的地替换为人民广场</v>
      </c>
      <c r="F30" s="16" t="str">
        <v>Y</v>
      </c>
      <c r="H30" s="194"/>
      <c r="I30" s="11" t="str">
        <v>ainavi承接</v>
      </c>
      <c r="J30" s="139"/>
      <c r="X30" s="11" t="inlineStr">
        <is>
          <r>
            <t>@刘晓帝</t>
          </r>
        </is>
      </c>
    </row>
    <row r="31" spans="1:24">
      <c r="A31" s="244" t="str">
        <v>导航到目的地</v>
      </c>
      <c r="B31" s="300"/>
      <c r="C31" s="301"/>
      <c r="D31" s="30"/>
      <c r="E31" s="244" t="str">
        <v>修改目的地为交通大学</v>
      </c>
      <c r="F31" s="16" t="str">
        <v>Y</v>
      </c>
      <c r="H31" s="194"/>
      <c r="I31" s="11" t="str">
        <v>ainavi承接</v>
      </c>
      <c r="J31" s="139"/>
      <c r="X31" s="11" t="inlineStr">
        <is>
          <r>
            <t>@刘晓帝</t>
          </r>
        </is>
      </c>
    </row>
    <row r="32" spans="1:24">
      <c r="A32" s="244" t="str">
        <v>导航到目的地</v>
      </c>
      <c r="B32" s="300"/>
      <c r="C32" s="299" t="str">
        <v>目的地附近的POI/POI类型</v>
      </c>
      <c r="D32" s="166" t="str">
        <v>P0</v>
      </c>
      <c r="E32" s="244" t="str">
        <v>目的地附近的停车场</v>
      </c>
      <c r="F32" s="16" t="str">
        <v>Y</v>
      </c>
      <c r="H32" s="194"/>
      <c r="I32" s="11" t="str">
        <v>ainavi承接</v>
      </c>
      <c r="J32" s="139"/>
      <c r="X32" s="11" t="inlineStr">
        <is>
          <r>
            <t>@刘晓帝</t>
          </r>
        </is>
      </c>
    </row>
    <row r="33" spans="1:24">
      <c r="A33" s="244" t="str">
        <v>导航到目的地</v>
      </c>
      <c r="B33" s="301"/>
      <c r="C33" s="301"/>
      <c r="D33" s="30"/>
      <c r="E33" s="244" t="str">
        <v>终点附近的卫生间</v>
      </c>
      <c r="F33" s="16" t="str">
        <v>Y</v>
      </c>
      <c r="H33" s="194"/>
      <c r="I33" s="11" t="str">
        <v>ainavi承接</v>
      </c>
      <c r="J33" s="139"/>
      <c r="X33" s="11" t="inlineStr">
        <is>
          <r>
            <t>@刘晓帝</t>
          </r>
        </is>
      </c>
    </row>
    <row r="34" spans="1:24">
      <c r="A34" s="244" t="str">
        <v>目的地选择</v>
      </c>
      <c r="B34" s="299" t="str">
        <v>目的地选择</v>
      </c>
      <c r="C34" s="244" t="str">
        <v>按POI名称选择</v>
      </c>
      <c r="D34" s="16" t="str">
        <v>P0</v>
      </c>
      <c r="E34" s="244" t="str">
        <v>沃尔玛</v>
      </c>
      <c r="F34" s="16" t="str">
        <v>Y</v>
      </c>
      <c r="H34" s="194"/>
      <c r="I34" s="11" t="str">
        <v>ainavi承接</v>
      </c>
      <c r="J34" s="139"/>
      <c r="X34" s="11" t="inlineStr">
        <is>
          <r>
            <t>@刘晓帝</t>
          </r>
        </is>
      </c>
    </row>
    <row r="35" spans="1:24">
      <c r="A35" s="244" t="str">
        <v>目的地选择</v>
      </c>
      <c r="B35" s="300"/>
      <c r="C35" s="299" t="str">
        <v>按序号选择</v>
      </c>
      <c r="D35" s="166" t="str">
        <v>P0</v>
      </c>
      <c r="E35" s="244" t="str">
        <v>第二个</v>
      </c>
      <c r="F35" s="16" t="str">
        <v>Y</v>
      </c>
      <c r="H35" s="194"/>
      <c r="I35" s="11" t="str">
        <v>ainavi承接</v>
      </c>
      <c r="J35" s="139"/>
      <c r="X35" s="11" t="inlineStr">
        <is>
          <r>
            <t>@刘晓帝</t>
          </r>
        </is>
      </c>
    </row>
    <row r="36" spans="1:24">
      <c r="A36" s="244" t="str">
        <v>目的地选择</v>
      </c>
      <c r="B36" s="300"/>
      <c r="C36" s="301"/>
      <c r="D36" s="30"/>
      <c r="E36" s="244" t="str">
        <v>我要去第二个</v>
      </c>
      <c r="F36" s="16" t="str">
        <v>Y</v>
      </c>
      <c r="H36" s="194"/>
      <c r="I36" s="11" t="str">
        <v>ainavi承接</v>
      </c>
      <c r="J36" s="139"/>
      <c r="X36" s="11" t="inlineStr">
        <is>
          <r>
            <t>@刘晓帝</t>
          </r>
        </is>
      </c>
    </row>
    <row r="37" spans="1:24">
      <c r="A37" s="244" t="str">
        <v>目的地选择</v>
      </c>
      <c r="B37" s="300"/>
      <c r="C37" s="299" t="str">
        <v>选最前/最后一个</v>
      </c>
      <c r="D37" s="166" t="str">
        <v>P0</v>
      </c>
      <c r="E37" s="244" t="str">
        <v>选最前一个</v>
      </c>
      <c r="F37" s="16" t="str">
        <v>Y</v>
      </c>
      <c r="H37" s="194"/>
      <c r="I37" s="11" t="str">
        <v>ainavi承接</v>
      </c>
      <c r="J37" s="139"/>
      <c r="X37" s="11" t="inlineStr">
        <is>
          <r>
            <t>@刘晓帝</t>
          </r>
        </is>
      </c>
    </row>
    <row r="38" spans="1:24">
      <c r="A38" s="244" t="str">
        <v>目的地选择</v>
      </c>
      <c r="B38" s="300"/>
      <c r="C38" s="301"/>
      <c r="D38" s="30"/>
      <c r="E38" s="302" t="str">
        <v>选最后一个</v>
      </c>
      <c r="F38" s="16" t="str">
        <v>Y</v>
      </c>
      <c r="H38" s="194"/>
      <c r="I38" s="11" t="str">
        <v>ainavi承接</v>
      </c>
      <c r="J38" s="139"/>
      <c r="X38" s="11" t="inlineStr">
        <is>
          <r>
            <t>@刘晓帝</t>
          </r>
        </is>
      </c>
    </row>
    <row r="39" spans="1:24">
      <c r="A39" s="244" t="str">
        <v>目的地选择</v>
      </c>
      <c r="B39" s="300"/>
      <c r="C39" s="303" t="str">
        <v>页面切换</v>
      </c>
      <c r="D39" s="166" t="str">
        <v>P0</v>
      </c>
      <c r="E39" s="304" t="str">
        <v>下一页</v>
      </c>
      <c r="F39" s="16" t="str">
        <v>Y</v>
      </c>
      <c r="H39" s="194"/>
      <c r="I39" s="11" t="str">
        <v>/</v>
      </c>
      <c r="J39" s="139"/>
      <c r="X39" s="11" t="inlineStr">
        <is>
          <r>
            <t>@刘晓帝</t>
          </r>
        </is>
      </c>
    </row>
    <row r="40" spans="1:24">
      <c r="A40" s="244" t="str">
        <v>目的地选择</v>
      </c>
      <c r="B40" s="301"/>
      <c r="C40" s="305"/>
      <c r="D40" s="30"/>
      <c r="E40" s="304" t="str">
        <v>第二页</v>
      </c>
      <c r="F40" s="16" t="str">
        <v>Y</v>
      </c>
      <c r="H40" s="194"/>
      <c r="I40" s="11" t="str">
        <v>/</v>
      </c>
      <c r="J40" s="139"/>
      <c r="X40" s="11" t="inlineStr">
        <is>
          <r>
            <t>@刘晓帝</t>
          </r>
        </is>
      </c>
    </row>
    <row r="41" spans="1:24">
      <c r="A41" s="244" t="str">
        <v>路线选择</v>
      </c>
      <c r="B41" s="299" t="str">
        <v>路线选择</v>
      </c>
      <c r="C41" s="299" t="str">
        <v>按序号选择</v>
      </c>
      <c r="D41" s="166" t="str">
        <v>P0</v>
      </c>
      <c r="E41" s="244" t="str">
        <v>第二条</v>
      </c>
      <c r="F41" s="16" t="str">
        <v>Y</v>
      </c>
      <c r="H41" s="194"/>
      <c r="I41" s="11" t="str">
        <v>ainavi承接</v>
      </c>
      <c r="J41" s="139"/>
      <c r="X41" s="11" t="inlineStr">
        <is>
          <r>
            <t>@刘晓帝</t>
          </r>
        </is>
      </c>
    </row>
    <row r="42" spans="1:24">
      <c r="A42" s="244" t="str">
        <v>路线选择</v>
      </c>
      <c r="B42" s="300"/>
      <c r="C42" s="301"/>
      <c r="D42" s="30"/>
      <c r="E42" s="244" t="str">
        <v>最后一条</v>
      </c>
      <c r="F42" s="16" t="str">
        <v>Y</v>
      </c>
      <c r="H42" s="194"/>
      <c r="I42" s="11" t="str">
        <v>ainavi承接</v>
      </c>
      <c r="J42" s="139"/>
      <c r="X42" s="11" t="inlineStr">
        <is>
          <r>
            <t>@刘晓帝</t>
          </r>
        </is>
      </c>
    </row>
    <row r="43" spans="1:24">
      <c r="A43" s="244" t="str">
        <v>路线选择</v>
      </c>
      <c r="B43" s="300"/>
      <c r="C43" s="299" t="str">
        <v>切换路线</v>
      </c>
      <c r="D43" s="166" t="str">
        <v>P0</v>
      </c>
      <c r="E43" s="244" t="str">
        <v>切换路线</v>
      </c>
      <c r="F43" s="16" t="str">
        <v>Y</v>
      </c>
      <c r="H43" s="194"/>
      <c r="I43" s="11" t="str">
        <v>ainavi承接</v>
      </c>
      <c r="J43" s="139"/>
      <c r="X43" s="11" t="inlineStr">
        <is>
          <r>
            <t>@刘晓帝</t>
          </r>
        </is>
      </c>
    </row>
    <row r="44" spans="1:24">
      <c r="A44" s="244" t="str">
        <v>路线选择</v>
      </c>
      <c r="B44" s="301"/>
      <c r="C44" s="301"/>
      <c r="D44" s="30"/>
      <c r="E44" s="244" t="str">
        <v>切换备选路线</v>
      </c>
      <c r="F44" s="16" t="str">
        <v>Y</v>
      </c>
      <c r="H44" s="194"/>
      <c r="I44" s="11" t="str">
        <v>ainavi承接</v>
      </c>
      <c r="J44" s="139"/>
      <c r="X44" s="11" t="inlineStr">
        <is>
          <r>
            <t>@刘晓帝</t>
          </r>
        </is>
      </c>
    </row>
    <row r="45" spans="1:24">
      <c r="A45" s="244" t="str">
        <v>途经点控制</v>
      </c>
      <c r="B45" s="299" t="str">
        <v>途经点控制</v>
      </c>
      <c r="C45" s="244" t="str">
        <v>添加途经点意图</v>
      </c>
      <c r="D45" s="16" t="str">
        <v>P0</v>
      </c>
      <c r="E45" s="244" t="str">
        <v>添加途径点</v>
      </c>
      <c r="F45" s="16" t="str">
        <v>Y</v>
      </c>
      <c r="H45" s="194"/>
      <c r="I45" s="11" t="str">
        <v>FC落域</v>
      </c>
      <c r="J45" s="139"/>
      <c r="X45" s="11" t="inlineStr">
        <is>
          <r>
            <t>@刘晓帝</t>
          </r>
        </is>
      </c>
    </row>
    <row r="46" spans="1:24">
      <c r="A46" s="244" t="str">
        <v>途经点控制</v>
      </c>
      <c r="B46" s="300"/>
      <c r="C46" s="299" t="str">
        <v>说出途经点</v>
      </c>
      <c r="D46" s="166" t="str">
        <v>P0</v>
      </c>
      <c r="E46" s="244" t="str">
        <v>大润发</v>
      </c>
      <c r="F46" s="16" t="str">
        <v>Y</v>
      </c>
      <c r="H46" s="194"/>
      <c r="I46" s="11" t="str">
        <v>FC落域</v>
      </c>
      <c r="J46" s="139"/>
      <c r="X46" s="11" t="inlineStr">
        <is>
          <r>
            <t>@刘晓帝</t>
          </r>
        </is>
      </c>
    </row>
    <row r="47" spans="1:24">
      <c r="A47" s="244" t="str">
        <v>途经点控制</v>
      </c>
      <c r="B47" s="300"/>
      <c r="C47" s="301"/>
      <c r="D47" s="30"/>
      <c r="E47" s="244" t="str">
        <v>充电站</v>
      </c>
      <c r="F47" s="16" t="str">
        <v>Y</v>
      </c>
      <c r="H47" s="194"/>
      <c r="I47" s="11" t="str">
        <v>FC落域</v>
      </c>
      <c r="J47" s="139"/>
      <c r="X47" s="11" t="inlineStr">
        <is>
          <r>
            <t>@刘晓帝</t>
          </r>
        </is>
      </c>
    </row>
    <row r="48" spans="1:24">
      <c r="A48" s="244" t="str">
        <v>途经点控制</v>
      </c>
      <c r="B48" s="300"/>
      <c r="C48" s="244" t="str">
        <v>设为途经点</v>
      </c>
      <c r="D48" s="16" t="str">
        <v>P0</v>
      </c>
      <c r="E48" s="244" t="str">
        <v>确认</v>
      </c>
      <c r="F48" s="16" t="str">
        <v>Y</v>
      </c>
      <c r="H48" s="194"/>
      <c r="I48" s="11" t="str">
        <v>FC落域</v>
      </c>
      <c r="J48" s="139"/>
      <c r="X48" s="11" t="inlineStr">
        <is>
          <r>
            <t>@刘晓帝</t>
          </r>
        </is>
      </c>
    </row>
    <row r="49" spans="1:24">
      <c r="A49" s="244" t="str">
        <v>途经点控制</v>
      </c>
      <c r="B49" s="300"/>
      <c r="C49" s="299" t="str">
        <v>删除途经点</v>
      </c>
      <c r="D49" s="166" t="str">
        <v>P0</v>
      </c>
      <c r="E49" s="244" t="str">
        <v>删除途径点</v>
      </c>
      <c r="F49" s="16" t="str">
        <v>Y</v>
      </c>
      <c r="H49" s="194"/>
      <c r="I49" s="11" t="str">
        <v>FC落域</v>
      </c>
      <c r="J49" s="139"/>
      <c r="X49" s="11" t="inlineStr">
        <is>
          <r>
            <t>@刘晓帝</t>
          </r>
        </is>
      </c>
    </row>
    <row r="50" spans="1:24">
      <c r="A50" s="244" t="str">
        <v>途经点控制</v>
      </c>
      <c r="B50" s="300"/>
      <c r="C50" s="300"/>
      <c r="D50" s="168"/>
      <c r="E50" s="244" t="str">
        <v>去掉途经点</v>
      </c>
      <c r="F50" s="16" t="str">
        <v>Y</v>
      </c>
      <c r="H50" s="194"/>
      <c r="I50" s="11" t="str">
        <v>FC落域</v>
      </c>
      <c r="J50" s="139"/>
      <c r="X50" s="11" t="inlineStr">
        <is>
          <r>
            <t>@刘晓帝</t>
          </r>
        </is>
      </c>
    </row>
    <row r="51" spans="1:24">
      <c r="A51" s="244" t="str">
        <v>途经点控制</v>
      </c>
      <c r="B51" s="300"/>
      <c r="C51" s="301"/>
      <c r="D51" s="30"/>
      <c r="E51" s="244" t="str">
        <v>把途经点删除</v>
      </c>
      <c r="F51" s="16" t="str">
        <v>Y</v>
      </c>
      <c r="H51" s="194"/>
      <c r="I51" s="11" t="str">
        <v>FC落域</v>
      </c>
      <c r="J51" s="139"/>
      <c r="X51" s="11" t="inlineStr">
        <is>
          <r>
            <t>@刘晓帝</t>
          </r>
        </is>
      </c>
    </row>
    <row r="52" spans="1:24">
      <c r="A52" s="244" t="str">
        <v>途经点控制</v>
      </c>
      <c r="B52" s="300"/>
      <c r="C52" s="299" t="str">
        <v>添加途经点+POI/POI类型</v>
      </c>
      <c r="D52" s="166" t="str">
        <v>P0</v>
      </c>
      <c r="E52" s="244" t="str">
        <v>途经充电站</v>
      </c>
      <c r="F52" s="16" t="str">
        <v>Y</v>
      </c>
      <c r="H52" s="194"/>
      <c r="I52" s="11" t="str">
        <v>FC落域</v>
      </c>
      <c r="J52" s="139"/>
      <c r="X52" s="11" t="inlineStr">
        <is>
          <r>
            <t>@刘晓帝</t>
          </r>
        </is>
      </c>
    </row>
    <row r="53" spans="1:24">
      <c r="A53" s="244" t="str">
        <v>途经点控制</v>
      </c>
      <c r="B53" s="300"/>
      <c r="C53" s="300"/>
      <c r="D53" s="168"/>
      <c r="E53" s="244" t="str">
        <v>添加途经点充电站</v>
      </c>
      <c r="F53" s="16" t="str">
        <v>Y</v>
      </c>
      <c r="H53" s="194"/>
      <c r="I53" s="11" t="str">
        <v>FC落域</v>
      </c>
      <c r="J53" s="139"/>
      <c r="X53" s="11" t="inlineStr">
        <is>
          <r>
            <t>@刘晓帝</t>
          </r>
        </is>
      </c>
    </row>
    <row r="54" spans="1:24">
      <c r="A54" s="244" t="str">
        <v>途经点控制</v>
      </c>
      <c r="B54" s="300"/>
      <c r="C54" s="300"/>
      <c r="D54" s="168"/>
      <c r="E54" s="244" t="str">
        <v>途经厕所</v>
      </c>
      <c r="F54" s="16" t="str">
        <v>Y</v>
      </c>
      <c r="H54" s="194"/>
      <c r="I54" s="11" t="str">
        <v>FC落域</v>
      </c>
      <c r="J54" s="139"/>
      <c r="X54" s="11" t="inlineStr">
        <is>
          <r>
            <t>@刘晓帝</t>
          </r>
        </is>
      </c>
    </row>
    <row r="55" spans="1:24">
      <c r="A55" s="244" t="str">
        <v>途经点控制</v>
      </c>
      <c r="B55" s="300"/>
      <c r="C55" s="300"/>
      <c r="D55" s="168"/>
      <c r="E55" s="244" t="str">
        <v>沿途的充电站</v>
      </c>
      <c r="F55" s="16" t="str">
        <v>Y</v>
      </c>
      <c r="H55" s="194"/>
      <c r="I55" s="11" t="str">
        <v>FC落域</v>
      </c>
      <c r="J55" s="139"/>
      <c r="X55" s="11" t="inlineStr">
        <is>
          <r>
            <t>@刘晓帝</t>
          </r>
        </is>
      </c>
    </row>
    <row r="56" spans="1:24">
      <c r="A56" s="244" t="str">
        <v>途经点控制</v>
      </c>
      <c r="B56" s="300"/>
      <c r="C56" s="300"/>
      <c r="D56" s="168"/>
      <c r="E56" s="244" t="str">
        <v>沿途有没有厕所</v>
      </c>
      <c r="F56" s="16" t="str">
        <v>Y</v>
      </c>
      <c r="H56" s="194"/>
      <c r="I56" s="11" t="str">
        <v>FC落域</v>
      </c>
      <c r="J56" s="139"/>
      <c r="X56" s="11" t="inlineStr">
        <is>
          <r>
            <t>@刘晓帝</t>
          </r>
        </is>
      </c>
    </row>
    <row r="57" spans="1:24">
      <c r="A57" s="244" t="str">
        <v>途经点控制</v>
      </c>
      <c r="B57" s="300"/>
      <c r="C57" s="301"/>
      <c r="D57" s="30"/>
      <c r="E57" s="244" t="str">
        <v>沿途有维修站么</v>
      </c>
      <c r="F57" s="16" t="str">
        <v>Y</v>
      </c>
      <c r="H57" s="194"/>
      <c r="I57" s="11" t="str">
        <v>FC落域</v>
      </c>
      <c r="J57" s="139"/>
      <c r="X57" s="11" t="inlineStr">
        <is>
          <r>
            <t>@刘晓帝</t>
          </r>
        </is>
      </c>
    </row>
    <row r="58" spans="1:24">
      <c r="A58" s="244" t="str">
        <v>途经点控制</v>
      </c>
      <c r="B58" s="300"/>
      <c r="C58" s="244" t="str">
        <v>连续设置目的地和途径地并开始导航</v>
      </c>
      <c r="D58" s="16" t="str">
        <v>P0</v>
      </c>
      <c r="E58" s="244" t="str">
        <v>我要去大润发途径交通大学</v>
      </c>
      <c r="F58" s="16" t="str">
        <v>Y</v>
      </c>
      <c r="H58" s="194"/>
      <c r="I58" s="11" t="str">
        <v>FC落域</v>
      </c>
      <c r="J58" s="139"/>
      <c r="X58" s="11" t="inlineStr">
        <is>
          <r>
            <t>@刘晓帝</t>
          </r>
        </is>
      </c>
    </row>
    <row r="59" spans="1:24">
      <c r="A59" s="244" t="str">
        <v>途经点控制</v>
      </c>
      <c r="B59" s="300"/>
      <c r="C59" s="299" t="str">
        <v>删除全部途径点</v>
      </c>
      <c r="D59" s="166" t="str">
        <v>P0</v>
      </c>
      <c r="E59" s="244" t="str">
        <v>删除全部途径点</v>
      </c>
      <c r="F59" s="164" t="str">
        <v>Y</v>
      </c>
      <c r="G59" s="164" t="str">
        <v>可循环删除实现</v>
      </c>
      <c r="H59" s="194"/>
      <c r="I59" s="11" t="str">
        <v>FC落域</v>
      </c>
      <c r="J59" s="139"/>
      <c r="X59" s="11" t="inlineStr">
        <is>
          <r>
            <t>@刘晓帝</t>
          </r>
        </is>
      </c>
    </row>
    <row r="60" spans="1:24">
      <c r="A60" s="244" t="str">
        <v>途经点控制</v>
      </c>
      <c r="B60" s="300"/>
      <c r="C60" s="300"/>
      <c r="D60" s="168"/>
      <c r="E60" s="244" t="str">
        <v>去掉所有途经点</v>
      </c>
      <c r="F60" s="164" t="str">
        <v>Y</v>
      </c>
      <c r="G60" s="164" t="str">
        <v>可循环删除实现</v>
      </c>
      <c r="H60" s="194"/>
      <c r="I60" s="11" t="str">
        <v>FC落域</v>
      </c>
      <c r="J60" s="139"/>
      <c r="X60" s="11" t="inlineStr">
        <is>
          <r>
            <t>@刘晓帝</t>
          </r>
        </is>
      </c>
    </row>
    <row r="61" spans="1:24">
      <c r="A61" s="244" t="str">
        <v>途经点控制</v>
      </c>
      <c r="B61" s="300"/>
      <c r="C61" s="301"/>
      <c r="D61" s="30"/>
      <c r="E61" s="244" t="str">
        <v>把途经点全都删除</v>
      </c>
      <c r="F61" s="164" t="str">
        <v>Y</v>
      </c>
      <c r="G61" s="164" t="str">
        <v>可循环删除实现</v>
      </c>
      <c r="H61" s="194"/>
      <c r="I61" s="11" t="str">
        <v>FC落域</v>
      </c>
      <c r="J61" s="139"/>
      <c r="X61" s="11" t="inlineStr">
        <is>
          <r>
            <t>@刘晓帝</t>
          </r>
        </is>
      </c>
    </row>
    <row r="62" spans="1:24">
      <c r="A62" s="244" t="str">
        <v>途经点控制</v>
      </c>
      <c r="B62" s="300"/>
      <c r="C62" s="299" t="str">
        <v>删除第N个途径点</v>
      </c>
      <c r="D62" s="166" t="str">
        <v>P0</v>
      </c>
      <c r="E62" s="244" t="str">
        <v>删除第1个途径点</v>
      </c>
      <c r="F62" s="16" t="str">
        <v>Y</v>
      </c>
      <c r="G62" s="255" t="str">
        <v>不支持index，语音调用删除指定的poi点</v>
      </c>
      <c r="H62" s="194"/>
      <c r="I62" s="11" t="str">
        <v>FC落域</v>
      </c>
      <c r="J62" s="139"/>
      <c r="X62" s="11" t="inlineStr">
        <is>
          <r>
            <t>@刘晓帝</t>
          </r>
        </is>
      </c>
    </row>
    <row r="63" spans="1:24">
      <c r="A63" s="244" t="str">
        <v>途经点控制</v>
      </c>
      <c r="B63" s="300"/>
      <c r="C63" s="300"/>
      <c r="D63" s="168"/>
      <c r="E63" s="244" t="str">
        <v>删除最后一个途径点</v>
      </c>
      <c r="F63" s="16" t="str">
        <v>Y</v>
      </c>
      <c r="G63" s="270"/>
      <c r="H63" s="194"/>
      <c r="I63" s="11" t="str">
        <v>FC落域</v>
      </c>
      <c r="J63" s="139"/>
      <c r="X63" s="11" t="inlineStr">
        <is>
          <r>
            <t>@刘晓帝</t>
          </r>
        </is>
      </c>
    </row>
    <row r="64" spans="1:24">
      <c r="A64" s="244" t="str">
        <v>途经点控制</v>
      </c>
      <c r="B64" s="301"/>
      <c r="C64" s="301"/>
      <c r="D64" s="30"/>
      <c r="E64" s="244" t="str">
        <v>删除最前一个途径点</v>
      </c>
      <c r="F64" s="16" t="str">
        <v>Y</v>
      </c>
      <c r="G64" s="256"/>
      <c r="H64" s="194"/>
      <c r="I64" s="11" t="str">
        <v>FC落域</v>
      </c>
      <c r="J64" s="139"/>
      <c r="X64" s="11" t="inlineStr">
        <is>
          <r>
            <t>@刘晓帝</t>
          </r>
        </is>
      </c>
    </row>
    <row r="65" spans="1:24">
      <c r="A65" s="11" t="str">
        <v>收藏地点</v>
      </c>
      <c r="B65" s="46" t="str">
        <v>收藏地点</v>
      </c>
      <c r="C65" s="11" t="str">
        <v>将poi设置为家</v>
      </c>
      <c r="D65" s="11" t="str">
        <v>P0</v>
      </c>
      <c r="E65" s="11" t="str">
        <v>将观澜雅庭设置为家</v>
      </c>
      <c r="F65" s="16" t="str">
        <v>Y</v>
      </c>
      <c r="H65" s="194"/>
      <c r="I65" s="11" t="str">
        <v>常用地址设置</v>
      </c>
      <c r="J65" s="139"/>
      <c r="M65" s="11" t="str">
        <v>✅</v>
      </c>
      <c r="P65" s="11" t="str">
        <v>❌</v>
      </c>
      <c r="Q65" s="11" t="str">
        <v>❌</v>
      </c>
      <c r="R65" s="11" t="str">
        <v>✅</v>
      </c>
      <c r="S65" s="11" t="str">
        <v>❌</v>
      </c>
      <c r="T65" s="11" t="str">
        <v>❌</v>
      </c>
      <c r="V65" s="11" t="str">
        <v>✅</v>
      </c>
      <c r="W65" s="11" t="str">
        <v>❌</v>
      </c>
      <c r="X65" s="11" t="inlineStr">
        <is>
          <r>
            <t>@刘晓帝</t>
          </r>
        </is>
      </c>
    </row>
    <row r="66" spans="1:28">
      <c r="A66" s="11" t="str">
        <v>收藏地点</v>
      </c>
      <c r="B66" s="110"/>
      <c r="C66" s="11" t="str">
        <v>将poi设置为公司</v>
      </c>
      <c r="D66" s="11" t="str">
        <v>P0</v>
      </c>
      <c r="E66" s="11" t="str">
        <v>把漕溪北路400号设置为公司</v>
      </c>
      <c r="F66" s="16" t="str">
        <v>Y</v>
      </c>
      <c r="H66" s="194"/>
      <c r="I66" s="11" t="str">
        <v>常用地址设置</v>
      </c>
      <c r="J66" s="139"/>
      <c r="M66" s="11" t="str">
        <v>✅</v>
      </c>
      <c r="P66" s="11" t="str">
        <v>✅</v>
      </c>
      <c r="Q66" s="11" t="str">
        <v>❌</v>
      </c>
      <c r="R66" s="11" t="str">
        <v>✅</v>
      </c>
      <c r="S66" s="11" t="str">
        <v>❌</v>
      </c>
      <c r="T66" s="11" t="str">
        <v>❌</v>
      </c>
      <c r="V66" s="11" t="str">
        <v>✅</v>
      </c>
      <c r="W66" s="11" t="str">
        <v>✅</v>
      </c>
      <c r="X66" s="11" t="inlineStr">
        <is>
          <r>
            <t>@刘晓帝</t>
          </r>
        </is>
      </c>
      <c r="AA66" s="16" t="str">
        <v>20260525201506AAC544322A1721695F0C</v>
      </c>
      <c r="AB66" s="11" t="str">
        <v>TTS播报设置设置失败了</v>
      </c>
    </row>
    <row r="67" spans="1:28">
      <c r="A67" s="11" t="str">
        <v>地址收藏</v>
      </c>
      <c r="B67" s="11" t="str">
        <v>地址收藏</v>
      </c>
      <c r="C67" s="11" t="str">
        <v>收藏当前地点</v>
      </c>
      <c r="D67" s="11" t="str">
        <v>P1</v>
      </c>
      <c r="E67" s="11" t="str">
        <v>收藏我的位置</v>
      </c>
      <c r="F67" s="164" t="str">
        <v>Y</v>
      </c>
      <c r="G67" s="164" t="str">
        <v>语音可以调用获取当前位置+收藏接口</v>
      </c>
      <c r="H67" s="194"/>
      <c r="I67" s="11" t="str">
        <v>地址收藏</v>
      </c>
      <c r="J67" s="139"/>
      <c r="M67" s="11" t="str">
        <v>✅</v>
      </c>
      <c r="P67" s="11" t="str">
        <v>✅</v>
      </c>
      <c r="Q67" s="11" t="str">
        <v>❌</v>
      </c>
      <c r="R67" s="11" t="str">
        <v>❌</v>
      </c>
      <c r="S67" s="11" t="str">
        <v>✅</v>
      </c>
      <c r="T67" s="11" t="str">
        <v>✅</v>
      </c>
      <c r="W67" s="11" t="str">
        <v>✅</v>
      </c>
      <c r="X67" s="11" t="inlineStr">
        <is>
          <r>
            <t>@刘晓帝</t>
          </r>
        </is>
      </c>
      <c r="AA67" s="16" t="str">
        <v>20260525201601746315A066A0489CE802</v>
      </c>
      <c r="AB67" s="11" t="str">
        <v>TTS播报收藏失败 操作执行成功</v>
      </c>
    </row>
    <row r="68" spans="1:28">
      <c r="A68" s="11" t="str">
        <v>收藏地址查看</v>
      </c>
      <c r="B68" s="46" t="str">
        <v>收藏地址查看</v>
      </c>
      <c r="C68" s="11" t="str">
        <v>打开地图收藏列表</v>
      </c>
      <c r="D68" s="11" t="str">
        <v>P1</v>
      </c>
      <c r="E68" s="11" t="str">
        <v>打开地图收藏列表</v>
      </c>
      <c r="F68" s="16" t="str">
        <v>Y</v>
      </c>
      <c r="G68" s="16" t="str">
        <v>接口补充：
查看收藏列表  intention：SHOW_FAVORITE_LIST  </v>
      </c>
      <c r="H68" s="194"/>
      <c r="I68" s="217" t="str">
        <v>地图收藏列表开关</v>
      </c>
      <c r="J68" s="139"/>
      <c r="L68" s="16" t="str">
        <v>接口补充：
查看收藏列表  intention：SHOW_FAVORITE_LIST  </v>
      </c>
      <c r="M68" s="150" t="str">
        <v>✅</v>
      </c>
      <c r="N68" s="150" t="str">
        <v>✅</v>
      </c>
      <c r="P68" s="11" t="str">
        <v>✅</v>
      </c>
      <c r="Q68" s="11" t="str">
        <v>❌</v>
      </c>
      <c r="R68" s="11" t="str">
        <v>❌</v>
      </c>
      <c r="S68" s="11" t="str">
        <v>✅</v>
      </c>
      <c r="T68" s="11" t="str">
        <v>✅</v>
      </c>
      <c r="W68" s="11" t="str">
        <v>✅</v>
      </c>
      <c r="X68" s="11" t="inlineStr">
        <is>
          <r>
            <t>@刘晓帝</t>
          </r>
        </is>
      </c>
      <c r="AA68" s="16" t="str">
        <v>2026052520175585DC8CAEB2D62EE856EC</v>
      </c>
      <c r="AB68" s="11" t="str">
        <v>关闭失败</v>
      </c>
    </row>
    <row r="69" spans="1:28">
      <c r="A69" s="11" t="str">
        <v>收藏地址查看</v>
      </c>
      <c r="B69" s="110"/>
      <c r="C69" s="115" t="str">
        <v>关闭地图收藏列表</v>
      </c>
      <c r="D69" s="115" t="str">
        <v>P1</v>
      </c>
      <c r="E69" s="115" t="str">
        <v>关闭地图收藏列表</v>
      </c>
      <c r="H69" s="194"/>
      <c r="I69" s="249" t="str">
        <v>地图收藏列表开关</v>
      </c>
      <c r="J69" s="139"/>
      <c r="M69" s="150" t="str">
        <v>✅</v>
      </c>
      <c r="N69" s="150" t="str">
        <v>✅</v>
      </c>
      <c r="P69" s="11" t="str">
        <v>❌</v>
      </c>
      <c r="U69" s="11" t="str">
        <v>❌</v>
      </c>
      <c r="V69" s="11" t="str">
        <v>✅</v>
      </c>
      <c r="W69" s="11" t="str">
        <v>❌</v>
      </c>
      <c r="X69" s="11" t="inlineStr">
        <is>
          <r>
            <t>@刘晓帝</t>
          </r>
        </is>
      </c>
      <c r="AB69" s="11" t="str">
        <v>关闭失败</v>
      </c>
    </row>
    <row r="70" spans="1:24">
      <c r="A70" s="244" t="str">
        <v>获取当前位置</v>
      </c>
      <c r="B70" s="244" t="str">
        <v>获取当前位置</v>
      </c>
      <c r="D70" s="11" t="str">
        <v>P0</v>
      </c>
      <c r="E70" s="244" t="str">
        <v>我在哪里</v>
      </c>
      <c r="F70" s="16" t="str">
        <v>Y</v>
      </c>
      <c r="H70" s="194"/>
      <c r="I70" s="81" t="str">
        <v>端状态问答</v>
      </c>
      <c r="J70" s="139"/>
      <c r="L70" s="11" t="str">
        <v>端状态</v>
      </c>
      <c r="M70" s="150" t="str">
        <v>✅</v>
      </c>
      <c r="N70" s="150" t="str">
        <v>✅</v>
      </c>
      <c r="P70" s="11" t="str">
        <v>✅</v>
      </c>
      <c r="Q70" s="11" t="str">
        <v>❌</v>
      </c>
      <c r="R70" s="11" t="str">
        <v>✅</v>
      </c>
      <c r="S70" s="11" t="str">
        <v>✅</v>
      </c>
      <c r="T70" s="16" t="str">
        <v>✅</v>
      </c>
      <c r="W70" s="11" t="str">
        <v>✅</v>
      </c>
      <c r="X70" s="11" t="inlineStr">
        <is>
          <r>
            <t>@刘晓帝</t>
          </r>
        </is>
      </c>
    </row>
    <row r="71" spans="1:24">
      <c r="A71" s="11" t="str">
        <v>地图控制</v>
      </c>
      <c r="B71" s="46" t="str">
        <v>地图控制</v>
      </c>
      <c r="C71" s="11" t="str">
        <v>放大地图</v>
      </c>
      <c r="D71" s="11" t="str">
        <v>P0</v>
      </c>
      <c r="E71" s="11" t="str">
        <v>地图放大</v>
      </c>
      <c r="F71" s="16" t="str">
        <v>Y</v>
      </c>
      <c r="G71" s="255" t="str">
        <v>
设置比例尺接口
 </v>
      </c>
      <c r="H71" s="194"/>
      <c r="I71" s="11" t="str">
        <v>地图放大缩小</v>
      </c>
      <c r="J71" s="139"/>
      <c r="M71" s="150" t="str">
        <v>✅</v>
      </c>
      <c r="N71" s="150" t="str">
        <v>✅</v>
      </c>
      <c r="P71" s="11" t="str">
        <v>✅</v>
      </c>
      <c r="Q71" s="11" t="str">
        <v>❌</v>
      </c>
      <c r="R71" s="11" t="str">
        <v>✅</v>
      </c>
      <c r="S71" s="11" t="str">
        <v>✅</v>
      </c>
      <c r="T71" s="11" t="str">
        <v>✅</v>
      </c>
      <c r="W71" s="11" t="str">
        <v>✅</v>
      </c>
      <c r="X71" s="11" t="inlineStr">
        <is>
          <r>
            <t>@刘晓帝</t>
          </r>
        </is>
      </c>
    </row>
    <row r="72" spans="1:24">
      <c r="A72" s="11" t="str">
        <v>地图控制</v>
      </c>
      <c r="B72" s="60"/>
      <c r="C72" s="11" t="str">
        <v>缩小地图</v>
      </c>
      <c r="D72" s="11" t="str">
        <v>P0</v>
      </c>
      <c r="E72" s="11" t="str">
        <v>地图缩小</v>
      </c>
      <c r="F72" s="16" t="str">
        <v>Y</v>
      </c>
      <c r="G72" s="270"/>
      <c r="H72" s="194"/>
      <c r="I72" s="11" t="str">
        <v>地图放大缩小</v>
      </c>
      <c r="J72" s="139"/>
      <c r="M72" s="150" t="str">
        <v>✅</v>
      </c>
      <c r="N72" s="150" t="str">
        <v>✅</v>
      </c>
      <c r="P72" s="11" t="str">
        <v>✅</v>
      </c>
      <c r="Q72" s="11" t="str">
        <v>✅</v>
      </c>
      <c r="R72" s="11" t="str">
        <v>✅</v>
      </c>
      <c r="S72" s="11" t="str">
        <v>✅</v>
      </c>
      <c r="T72" s="11" t="str">
        <v>✅</v>
      </c>
      <c r="X72" s="11" t="inlineStr">
        <is>
          <r>
            <t>@刘晓帝</t>
          </r>
        </is>
      </c>
    </row>
    <row r="73" spans="1:24">
      <c r="A73" s="11" t="str">
        <v>地图控制</v>
      </c>
      <c r="B73" s="60"/>
      <c r="C73" s="11" t="str">
        <v>放大地图到最大</v>
      </c>
      <c r="D73" s="11" t="str">
        <v>P0</v>
      </c>
      <c r="E73" s="11" t="str">
        <v>放大地图到最大</v>
      </c>
      <c r="F73" s="16" t="str">
        <v>Y</v>
      </c>
      <c r="G73" s="270"/>
      <c r="H73" s="194"/>
      <c r="I73" s="11" t="str">
        <v>地图放大缩小</v>
      </c>
      <c r="J73" s="139"/>
      <c r="M73" s="150" t="str">
        <v>✅</v>
      </c>
      <c r="N73" s="150" t="str">
        <v>✅</v>
      </c>
      <c r="P73" s="11" t="str">
        <v>✅</v>
      </c>
      <c r="Q73" s="11" t="str">
        <v>❌</v>
      </c>
      <c r="R73" s="11" t="str">
        <v>✅</v>
      </c>
      <c r="S73" s="11" t="str">
        <v>✅</v>
      </c>
      <c r="T73" s="11" t="str">
        <v>✅</v>
      </c>
      <c r="W73" s="11" t="str">
        <v>✅</v>
      </c>
      <c r="X73" s="11" t="inlineStr">
        <is>
          <r>
            <t>@刘晓帝</t>
          </r>
        </is>
      </c>
    </row>
    <row r="74" spans="1:24">
      <c r="A74" s="11" t="str">
        <v>地图控制</v>
      </c>
      <c r="B74" s="60"/>
      <c r="C74" s="11" t="str">
        <v>缩小地图到最小</v>
      </c>
      <c r="D74" s="11" t="str">
        <v>P0</v>
      </c>
      <c r="E74" s="11" t="str">
        <v>缩小地图到最小</v>
      </c>
      <c r="F74" s="16" t="str">
        <v>Y</v>
      </c>
      <c r="G74" s="256"/>
      <c r="H74" s="194"/>
      <c r="I74" s="11" t="str">
        <v>地图放大缩小</v>
      </c>
      <c r="J74" s="139"/>
      <c r="M74" s="150" t="str">
        <v>✅</v>
      </c>
      <c r="N74" s="150" t="str">
        <v>✅</v>
      </c>
      <c r="P74" s="11" t="str">
        <v>✅</v>
      </c>
      <c r="Q74" s="11" t="str">
        <v>✅</v>
      </c>
      <c r="R74" s="11" t="str">
        <v>✅</v>
      </c>
      <c r="S74" s="11" t="str">
        <v>✅</v>
      </c>
      <c r="T74" s="11" t="str">
        <v>✅</v>
      </c>
      <c r="X74" s="11" t="inlineStr">
        <is>
          <r>
            <t>@刘晓帝</t>
          </r>
        </is>
      </c>
    </row>
    <row r="75" spans="1:24">
      <c r="A75" s="11" t="str">
        <v>地图控制</v>
      </c>
      <c r="B75" s="60"/>
      <c r="C75" s="11" t="str">
        <v>切换视图</v>
      </c>
      <c r="D75" s="11" t="str">
        <v>P0</v>
      </c>
      <c r="E75" s="11" t="str">
        <v>切换视图</v>
      </c>
      <c r="F75" s="16" t="str">
        <v>Y</v>
      </c>
      <c r="G75" s="255" t="str">
        <v>
切换视角接口
 </v>
      </c>
      <c r="H75" s="194"/>
      <c r="I75" s="11" t="str">
        <v>地图视角切换</v>
      </c>
      <c r="J75" s="139"/>
      <c r="M75" s="150" t="str">
        <v>✅</v>
      </c>
      <c r="N75" s="150" t="str">
        <v>✅</v>
      </c>
      <c r="P75" s="11" t="str">
        <v>✅</v>
      </c>
      <c r="Q75" s="11" t="str">
        <v>✅</v>
      </c>
      <c r="R75" s="11" t="str">
        <v>✅</v>
      </c>
      <c r="S75" s="11" t="str">
        <v>✅</v>
      </c>
      <c r="T75" s="11" t="str">
        <v>✅</v>
      </c>
      <c r="X75" s="11" t="inlineStr">
        <is>
          <r>
            <t>@刘晓帝</t>
          </r>
        </is>
      </c>
    </row>
    <row r="76" spans="1:24">
      <c r="A76" s="11" t="str">
        <v>地图控制</v>
      </c>
      <c r="B76" s="60"/>
      <c r="C76" s="46" t="str">
        <v>切换为2D视图/正北朝上</v>
      </c>
      <c r="D76" s="46" t="str">
        <v>P0</v>
      </c>
      <c r="E76" s="11" t="str">
        <v>2D视图</v>
      </c>
      <c r="F76" s="16" t="str">
        <v>Y</v>
      </c>
      <c r="G76" s="270"/>
      <c r="H76" s="194"/>
      <c r="I76" s="11" t="str">
        <v>地图视角切换</v>
      </c>
      <c r="J76" s="139"/>
      <c r="M76" s="150" t="str">
        <v>✅</v>
      </c>
      <c r="N76" s="150" t="str">
        <v>✅</v>
      </c>
      <c r="P76" s="11" t="str">
        <v>✅</v>
      </c>
      <c r="Q76" s="11" t="str">
        <v>✅</v>
      </c>
      <c r="R76" s="11" t="str">
        <v>✅</v>
      </c>
      <c r="S76" s="11" t="str">
        <v>✅</v>
      </c>
      <c r="T76" s="11" t="str">
        <v>❌</v>
      </c>
      <c r="U76" s="11" t="str">
        <v>❌</v>
      </c>
      <c r="V76" s="11" t="str">
        <v>✅</v>
      </c>
      <c r="W76" s="11" t="str">
        <v>✅</v>
      </c>
      <c r="X76" s="11" t="inlineStr">
        <is>
          <r>
            <t>@刘晓帝</t>
          </r>
        </is>
      </c>
    </row>
    <row r="77" spans="1:24">
      <c r="A77" s="11" t="str">
        <v>地图控制</v>
      </c>
      <c r="B77" s="60"/>
      <c r="C77" s="60"/>
      <c r="D77" s="60"/>
      <c r="E77" s="11" t="str">
        <v>2D正北朝上</v>
      </c>
      <c r="F77" s="16" t="str">
        <v>Y</v>
      </c>
      <c r="G77" s="270"/>
      <c r="H77" s="194"/>
      <c r="I77" s="11" t="str">
        <v>地图视角切换</v>
      </c>
      <c r="J77" s="139"/>
      <c r="M77" s="150" t="str">
        <v>✅</v>
      </c>
      <c r="N77" s="150" t="str">
        <v>✅</v>
      </c>
      <c r="P77" s="11" t="str">
        <v>✅</v>
      </c>
      <c r="Q77" s="11" t="str">
        <v>❌</v>
      </c>
      <c r="R77" s="11" t="str">
        <v>✅</v>
      </c>
      <c r="S77" s="11" t="str">
        <v>❌</v>
      </c>
      <c r="T77" s="11" t="str">
        <v>❌</v>
      </c>
      <c r="U77" s="11" t="str">
        <v>❌</v>
      </c>
      <c r="V77" s="11" t="str">
        <v>✅</v>
      </c>
      <c r="W77" s="11" t="str">
        <v>✅</v>
      </c>
      <c r="X77" s="11" t="inlineStr">
        <is>
          <r>
            <t>@刘晓帝</t>
          </r>
        </is>
      </c>
    </row>
    <row r="78" spans="1:24">
      <c r="A78" s="11" t="str">
        <v>地图控制</v>
      </c>
      <c r="B78" s="60"/>
      <c r="C78" s="110"/>
      <c r="D78" s="110"/>
      <c r="E78" s="11" t="str">
        <v>正北朝上</v>
      </c>
      <c r="F78" s="16" t="str">
        <v>Y</v>
      </c>
      <c r="G78" s="270"/>
      <c r="H78" s="194"/>
      <c r="I78" s="11" t="str">
        <v>地图视角切换</v>
      </c>
      <c r="J78" s="139"/>
      <c r="M78" s="150" t="str">
        <v>✅</v>
      </c>
      <c r="N78" s="150" t="str">
        <v>✅</v>
      </c>
      <c r="P78" s="11" t="str">
        <v>✅</v>
      </c>
      <c r="Q78" s="11" t="str">
        <v>❌</v>
      </c>
      <c r="R78" s="11" t="str">
        <v>✅</v>
      </c>
      <c r="S78" s="11" t="str">
        <v>❌</v>
      </c>
      <c r="T78" s="11" t="str">
        <v>❌</v>
      </c>
      <c r="U78" s="11" t="str">
        <v>❌</v>
      </c>
      <c r="V78" s="11" t="str">
        <v>✅</v>
      </c>
      <c r="W78" s="11" t="str">
        <v>✅</v>
      </c>
      <c r="X78" s="11" t="inlineStr">
        <is>
          <r>
            <t>@刘晓帝</t>
          </r>
        </is>
      </c>
    </row>
    <row r="79" spans="1:24">
      <c r="A79" s="11" t="str">
        <v>地图控制</v>
      </c>
      <c r="B79" s="60"/>
      <c r="C79" s="46" t="str">
        <v>切换为3D视图/车头朝上</v>
      </c>
      <c r="D79" s="46" t="str">
        <v>P0</v>
      </c>
      <c r="E79" s="11" t="str">
        <v>3D视图</v>
      </c>
      <c r="F79" s="16" t="str">
        <v>Y</v>
      </c>
      <c r="G79" s="270"/>
      <c r="H79" s="194"/>
      <c r="I79" s="11" t="str">
        <v>地图视角切换</v>
      </c>
      <c r="J79" s="139"/>
      <c r="M79" s="150" t="str">
        <v>✅</v>
      </c>
      <c r="N79" s="150" t="str">
        <v>✅</v>
      </c>
      <c r="P79" s="11" t="str">
        <v>✅</v>
      </c>
      <c r="Q79" s="11" t="str">
        <v>✅</v>
      </c>
      <c r="R79" s="11" t="str">
        <v>✅</v>
      </c>
      <c r="S79" s="11" t="str">
        <v>✅</v>
      </c>
      <c r="T79" s="11" t="str">
        <v>❌</v>
      </c>
      <c r="U79" s="11" t="str">
        <v>❌</v>
      </c>
      <c r="V79" s="11" t="str">
        <v>✅</v>
      </c>
      <c r="W79" s="11" t="str">
        <v>✅</v>
      </c>
      <c r="X79" s="11" t="inlineStr">
        <is>
          <r>
            <t>@刘晓帝</t>
          </r>
        </is>
      </c>
    </row>
    <row r="80" spans="1:24">
      <c r="A80" s="11" t="str">
        <v>地图控制</v>
      </c>
      <c r="B80" s="60"/>
      <c r="C80" s="60"/>
      <c r="D80" s="60"/>
      <c r="E80" s="11" t="str">
        <v>3D车头朝上</v>
      </c>
      <c r="F80" s="16" t="str">
        <v>Y</v>
      </c>
      <c r="G80" s="270"/>
      <c r="H80" s="194"/>
      <c r="I80" s="11" t="str">
        <v>地图视角切换</v>
      </c>
      <c r="J80" s="139"/>
      <c r="M80" s="150" t="str">
        <v>✅</v>
      </c>
      <c r="N80" s="150" t="str">
        <v>✅</v>
      </c>
      <c r="P80" s="11" t="str">
        <v>✅</v>
      </c>
      <c r="Q80" s="11" t="str">
        <v>❌</v>
      </c>
      <c r="R80" s="11" t="str">
        <v>✅</v>
      </c>
      <c r="S80" s="11" t="str">
        <v>❌</v>
      </c>
      <c r="T80" s="11" t="str">
        <v>❌</v>
      </c>
      <c r="U80" s="11" t="str">
        <v>❌</v>
      </c>
      <c r="V80" s="11" t="str">
        <v>✅</v>
      </c>
      <c r="W80" s="11" t="str">
        <v>✅</v>
      </c>
      <c r="X80" s="11" t="inlineStr">
        <is>
          <r>
            <t>@刘晓帝</t>
          </r>
        </is>
      </c>
    </row>
    <row r="81" spans="1:24">
      <c r="A81" s="11" t="str">
        <v>地图控制</v>
      </c>
      <c r="B81" s="60"/>
      <c r="C81" s="110"/>
      <c r="D81" s="110"/>
      <c r="E81" s="11" t="str">
        <v>车头朝上</v>
      </c>
      <c r="F81" s="16" t="str">
        <v>Y</v>
      </c>
      <c r="G81" s="256"/>
      <c r="H81" s="194"/>
      <c r="I81" s="11" t="str">
        <v>地图视角切换</v>
      </c>
      <c r="J81" s="139"/>
      <c r="M81" s="150" t="str">
        <v>✅</v>
      </c>
      <c r="N81" s="150" t="str">
        <v>✅</v>
      </c>
      <c r="P81" s="11" t="str">
        <v>✅</v>
      </c>
      <c r="Q81" s="11" t="str">
        <v>❌</v>
      </c>
      <c r="R81" s="11" t="str">
        <v>✅</v>
      </c>
      <c r="S81" s="11" t="str">
        <v>❌</v>
      </c>
      <c r="T81" s="11" t="str">
        <v>❌</v>
      </c>
      <c r="U81" s="11" t="str">
        <v>❌</v>
      </c>
      <c r="V81" s="11" t="str">
        <v>✅</v>
      </c>
      <c r="W81" s="11" t="str">
        <v>✅</v>
      </c>
      <c r="X81" s="11" t="inlineStr">
        <is>
          <r>
            <t>@刘晓帝</t>
          </r>
        </is>
      </c>
    </row>
    <row r="82" spans="1:24">
      <c r="A82" s="11" t="str">
        <v>地图控制</v>
      </c>
      <c r="B82" s="60"/>
      <c r="C82" s="46" t="str">
        <v>基于上下文语音控制放大/缩小地图</v>
      </c>
      <c r="D82" s="46" t="str">
        <v>P0</v>
      </c>
      <c r="E82" s="11" t="str">
        <v>大一点</v>
      </c>
      <c r="F82" s="16" t="str">
        <v>Y</v>
      </c>
      <c r="G82" s="255" t="str">
        <v>设置比例尺接口</v>
      </c>
      <c r="H82" s="194"/>
      <c r="I82" s="11" t="str">
        <v>地图放大缩小</v>
      </c>
      <c r="J82" s="139"/>
      <c r="M82" s="150" t="str">
        <v>✅</v>
      </c>
      <c r="N82" s="150" t="str">
        <v>✅</v>
      </c>
      <c r="P82" s="11" t="str">
        <v>✅</v>
      </c>
      <c r="Q82" s="11" t="str">
        <v>❌</v>
      </c>
      <c r="R82" s="11" t="str">
        <v>✅</v>
      </c>
      <c r="S82" s="11" t="str">
        <v>✅</v>
      </c>
      <c r="T82" s="11" t="str">
        <v>✅</v>
      </c>
      <c r="W82" s="11" t="str">
        <v>✅</v>
      </c>
      <c r="X82" s="11" t="inlineStr">
        <is>
          <r>
            <t>@刘晓帝</t>
          </r>
        </is>
      </c>
    </row>
    <row r="83" spans="1:24">
      <c r="A83" s="11" t="str">
        <v>地图控制</v>
      </c>
      <c r="B83" s="60"/>
      <c r="C83" s="110"/>
      <c r="D83" s="110"/>
      <c r="E83" s="11" t="str">
        <v>再小一点</v>
      </c>
      <c r="F83" s="16" t="str">
        <v>Y</v>
      </c>
      <c r="G83" s="256"/>
      <c r="H83" s="194"/>
      <c r="I83" s="11" t="str">
        <v>地图放大缩小</v>
      </c>
      <c r="J83" s="139"/>
      <c r="M83" s="150" t="str">
        <v>✅</v>
      </c>
      <c r="N83" s="150" t="str">
        <v>✅</v>
      </c>
      <c r="P83" s="11" t="str">
        <v>✅</v>
      </c>
      <c r="Q83" s="11" t="str">
        <v>✅</v>
      </c>
      <c r="R83" s="11" t="str">
        <v>✅</v>
      </c>
      <c r="S83" s="11" t="str">
        <v>✅</v>
      </c>
      <c r="T83" s="11" t="str">
        <v>✅</v>
      </c>
      <c r="X83" s="11" t="inlineStr">
        <is>
          <r>
            <t>@刘晓帝</t>
          </r>
        </is>
      </c>
    </row>
    <row r="84" spans="1:24">
      <c r="A84" s="11" t="str">
        <v>地图控制</v>
      </c>
      <c r="B84" s="60"/>
      <c r="C84" s="46" t="str">
        <v>打开/关闭地图设置</v>
      </c>
      <c r="D84" s="46" t="str">
        <v>P0</v>
      </c>
      <c r="E84" s="11" t="str">
        <v>打开地图设置</v>
      </c>
      <c r="F84" s="16" t="str">
        <v>Y</v>
      </c>
      <c r="H84" s="194"/>
      <c r="I84" s="11" t="str">
        <v>导航设置页面</v>
      </c>
      <c r="J84" s="139"/>
      <c r="M84" s="150" t="str">
        <v>✅</v>
      </c>
      <c r="N84" s="150" t="str">
        <v>✅</v>
      </c>
      <c r="P84" s="11" t="str">
        <v>✅</v>
      </c>
      <c r="Q84" s="11" t="str">
        <v>✅</v>
      </c>
      <c r="R84" s="11" t="str">
        <v>✅</v>
      </c>
      <c r="S84" s="11" t="str">
        <v>✅</v>
      </c>
      <c r="T84" s="11" t="str">
        <v>✅</v>
      </c>
      <c r="X84" s="11" t="inlineStr">
        <is>
          <r>
            <t>@刘晓帝</t>
          </r>
        </is>
      </c>
    </row>
    <row r="85" spans="1:24">
      <c r="A85" s="11" t="str">
        <v>地图控制</v>
      </c>
      <c r="B85" s="110"/>
      <c r="C85" s="110"/>
      <c r="D85" s="110"/>
      <c r="E85" s="11" t="str">
        <v>关闭地图设置</v>
      </c>
      <c r="F85" s="16" t="str">
        <v>Y</v>
      </c>
      <c r="H85" s="194"/>
      <c r="I85" s="11" t="str">
        <v>导航设置页面</v>
      </c>
      <c r="J85" s="139"/>
      <c r="M85" s="150" t="str">
        <v>✅</v>
      </c>
      <c r="N85" s="150" t="str">
        <v>✅</v>
      </c>
      <c r="P85" s="11" t="str">
        <v>✅</v>
      </c>
      <c r="Q85" s="11" t="str">
        <v>✅</v>
      </c>
      <c r="R85" s="11" t="str">
        <v>✅</v>
      </c>
      <c r="S85" s="11" t="str">
        <v>✅</v>
      </c>
      <c r="T85" s="11" t="str">
        <v>✅</v>
      </c>
      <c r="X85" s="11" t="inlineStr">
        <is>
          <r>
            <t>@刘晓帝</t>
          </r>
        </is>
      </c>
    </row>
    <row r="86" spans="1:24">
      <c r="A86" s="11" t="str">
        <v>导航控制</v>
      </c>
      <c r="B86" s="46" t="str">
        <v>导航控制</v>
      </c>
      <c r="C86" s="11" t="str">
        <v>切换小地图</v>
      </c>
      <c r="D86" s="11" t="str">
        <v>P1</v>
      </c>
      <c r="E86" s="11" t="str">
        <v>切换到小地图</v>
      </c>
      <c r="F86" s="16" t="str">
        <v>Y</v>
      </c>
      <c r="H86" s="194"/>
      <c r="I86" s="11" t="str">
        <v>概览模式切换</v>
      </c>
      <c r="J86" s="139"/>
      <c r="M86" s="150" t="str">
        <v>✅</v>
      </c>
      <c r="N86" s="150" t="str">
        <v>✅</v>
      </c>
      <c r="P86" s="11" t="str">
        <v>✅</v>
      </c>
      <c r="Q86" s="11" t="str">
        <v>✅</v>
      </c>
      <c r="R86" s="11" t="str">
        <v>✅</v>
      </c>
      <c r="S86" s="11" t="str">
        <v>✅</v>
      </c>
      <c r="T86" s="11" t="str">
        <v>✅</v>
      </c>
      <c r="X86" s="11" t="inlineStr">
        <is>
          <r>
            <t>@刘晓帝</t>
          </r>
        </is>
      </c>
    </row>
    <row r="87" spans="1:24">
      <c r="A87" s="11" t="str">
        <v>导航控制</v>
      </c>
      <c r="B87" s="60"/>
      <c r="C87" s="11" t="str">
        <v>切换路况条</v>
      </c>
      <c r="D87" s="11" t="str">
        <v>P1</v>
      </c>
      <c r="E87" s="11" t="str">
        <v>切换到路况条</v>
      </c>
      <c r="F87" s="16" t="str">
        <v>Y</v>
      </c>
      <c r="H87" s="194"/>
      <c r="I87" s="11" t="str">
        <v>概览模式切换</v>
      </c>
      <c r="J87" s="139"/>
      <c r="M87" s="150" t="str">
        <v>✅</v>
      </c>
      <c r="N87" s="150" t="str">
        <v>✅</v>
      </c>
      <c r="P87" s="11" t="str">
        <v>✅</v>
      </c>
      <c r="Q87" s="11" t="str">
        <v>✅</v>
      </c>
      <c r="R87" s="11" t="str">
        <v>✅</v>
      </c>
      <c r="S87" s="11" t="str">
        <v>✅</v>
      </c>
      <c r="T87" s="11" t="str">
        <v>✅</v>
      </c>
      <c r="X87" s="11" t="inlineStr">
        <is>
          <r>
            <t>@刘晓帝</t>
          </r>
        </is>
      </c>
    </row>
    <row r="88" ht="68" customHeight="1" spans="1:24">
      <c r="A88" s="11" t="str">
        <v>导航控制</v>
      </c>
      <c r="B88" s="60"/>
      <c r="C88" s="11" t="str">
        <v>切换高架上</v>
      </c>
      <c r="D88" s="11" t="str">
        <v>P0</v>
      </c>
      <c r="E88" s="11" t="str">
        <v>切换到高架上</v>
      </c>
      <c r="F88" s="16" t="str">
        <v>Y</v>
      </c>
      <c r="H88" s="194"/>
      <c r="I88" s="11" t="str">
        <v>导航状态桥上下切换</v>
      </c>
      <c r="J88" s="139"/>
      <c r="L88" s="46"/>
      <c r="M88" s="150" t="str">
        <v>✅</v>
      </c>
      <c r="N88" s="150" t="str">
        <v>✅</v>
      </c>
      <c r="P88" s="11" t="str">
        <v>❌</v>
      </c>
      <c r="Q88" s="11" t="str">
        <v>依赖上路</v>
      </c>
      <c r="R88" s="11" t="str">
        <v>依赖上路</v>
      </c>
      <c r="S88" s="11" t="str">
        <v>依赖上路</v>
      </c>
      <c r="T88" s="11" t="str">
        <v>block</v>
      </c>
      <c r="X88" s="11" t="inlineStr">
        <is>
          <r>
            <t>@刘晓帝</t>
          </r>
        </is>
      </c>
    </row>
    <row r="89" spans="1:24">
      <c r="A89" s="11" t="str">
        <v>导航控制</v>
      </c>
      <c r="B89" s="60"/>
      <c r="C89" s="11" t="str">
        <v>切换高架下</v>
      </c>
      <c r="D89" s="11" t="str">
        <v>P0</v>
      </c>
      <c r="E89" s="11" t="str">
        <v>切换到高架下</v>
      </c>
      <c r="F89" s="16" t="str">
        <v>Y</v>
      </c>
      <c r="H89" s="194"/>
      <c r="I89" s="11" t="str">
        <v>导航状态桥上下切换</v>
      </c>
      <c r="J89" s="139"/>
      <c r="L89" s="60"/>
      <c r="M89" s="150" t="str">
        <v>✅</v>
      </c>
      <c r="N89" s="150" t="str">
        <v>✅</v>
      </c>
      <c r="P89" s="11" t="str">
        <v>❌</v>
      </c>
      <c r="Q89" s="11" t="str">
        <v>依赖上路</v>
      </c>
      <c r="R89" s="11" t="str">
        <v>依赖上路</v>
      </c>
      <c r="S89" s="11" t="str">
        <v>依赖上路</v>
      </c>
      <c r="T89" s="11" t="str">
        <v>block</v>
      </c>
      <c r="X89" s="11" t="inlineStr">
        <is>
          <r>
            <t>@刘晓帝</t>
          </r>
        </is>
      </c>
    </row>
    <row r="90" spans="1:24">
      <c r="A90" s="11" t="str">
        <v>导航控制</v>
      </c>
      <c r="B90" s="60"/>
      <c r="C90" s="11" t="str">
        <v>切换主路</v>
      </c>
      <c r="D90" s="11" t="str">
        <v>P0</v>
      </c>
      <c r="E90" s="11" t="str">
        <v>切换到主路</v>
      </c>
      <c r="F90" s="16" t="str">
        <v>Y</v>
      </c>
      <c r="H90" s="194"/>
      <c r="I90" s="11" t="str">
        <v>导航状态主辅路切换</v>
      </c>
      <c r="J90" s="139"/>
      <c r="L90" s="110"/>
      <c r="M90" s="150" t="str">
        <v>✅</v>
      </c>
      <c r="N90" s="150" t="str">
        <v>✅</v>
      </c>
      <c r="P90" s="11" t="str">
        <v>❌</v>
      </c>
      <c r="Q90" s="11" t="str">
        <v>依赖上路</v>
      </c>
      <c r="R90" s="11" t="str">
        <v>依赖上路</v>
      </c>
      <c r="S90" s="11" t="str">
        <v>依赖上路</v>
      </c>
      <c r="T90" s="11" t="str">
        <v>block</v>
      </c>
      <c r="X90" s="11" t="inlineStr">
        <is>
          <r>
            <t>@刘晓帝</t>
          </r>
        </is>
      </c>
    </row>
    <row r="91" spans="1:24">
      <c r="A91" s="11" t="str">
        <v>导航控制</v>
      </c>
      <c r="B91" s="60"/>
      <c r="C91" s="11" t="str">
        <v>切换辅路</v>
      </c>
      <c r="D91" s="11" t="str">
        <v>P0</v>
      </c>
      <c r="E91" s="11" t="str">
        <v>切换到辅路</v>
      </c>
      <c r="F91" s="16" t="str">
        <v>Y</v>
      </c>
      <c r="H91" s="194"/>
      <c r="I91" s="11" t="str">
        <v>导航状态主辅路切换</v>
      </c>
      <c r="J91" s="139"/>
      <c r="M91" s="150" t="str">
        <v>✅</v>
      </c>
      <c r="N91" s="150" t="str">
        <v>✅</v>
      </c>
      <c r="P91" s="11" t="str">
        <v>❌</v>
      </c>
      <c r="Q91" s="11" t="str">
        <v>依赖上路</v>
      </c>
      <c r="R91" s="11" t="str">
        <v>依赖上路</v>
      </c>
      <c r="S91" s="11" t="str">
        <v>依赖上路</v>
      </c>
      <c r="T91" s="11" t="str">
        <v>block</v>
      </c>
      <c r="X91" s="11" t="inlineStr">
        <is>
          <r>
            <t>@刘晓帝</t>
          </r>
        </is>
      </c>
    </row>
    <row r="92" spans="1:24">
      <c r="A92" s="11" t="str">
        <v>导航控制</v>
      </c>
      <c r="B92" s="60"/>
      <c r="C92" s="244" t="str">
        <v>开始导航</v>
      </c>
      <c r="D92" s="11" t="str">
        <v>P0</v>
      </c>
      <c r="E92" s="244" t="str">
        <v>开始导航</v>
      </c>
      <c r="F92" s="16" t="str">
        <v>Y</v>
      </c>
      <c r="H92" s="194"/>
      <c r="I92" s="11" t="str">
        <v>ainavi承接</v>
      </c>
      <c r="J92" s="139"/>
      <c r="L92" s="11" t="str">
        <v>FC不下发，走AI  Navi链路</v>
      </c>
      <c r="X92" s="11" t="inlineStr">
        <is>
          <r>
            <t>@刘晓帝</t>
          </r>
        </is>
      </c>
    </row>
    <row r="93" spans="1:24">
      <c r="A93" s="11" t="str">
        <v>导航控制</v>
      </c>
      <c r="B93" s="60"/>
      <c r="C93" s="14" t="str">
        <v>退出导航</v>
      </c>
      <c r="D93" s="11" t="str">
        <v>P0</v>
      </c>
      <c r="E93" s="14" t="str">
        <v>退出导航</v>
      </c>
      <c r="F93" s="16" t="str">
        <v>Y</v>
      </c>
      <c r="H93" s="194"/>
      <c r="I93" s="11" t="str">
        <v>导航操作</v>
      </c>
      <c r="J93" s="139"/>
      <c r="M93" s="150" t="str">
        <v>✅</v>
      </c>
      <c r="N93" s="150" t="str">
        <v>✅</v>
      </c>
      <c r="P93" s="11" t="str">
        <v>✅</v>
      </c>
      <c r="R93" s="11" t="str">
        <v>✅</v>
      </c>
      <c r="S93" s="11" t="str">
        <v>✅</v>
      </c>
      <c r="T93" s="11" t="str">
        <v>✅</v>
      </c>
      <c r="X93" s="11" t="inlineStr">
        <is>
          <r>
            <t>@刘晓帝</t>
          </r>
        </is>
      </c>
    </row>
    <row r="94" spans="1:24">
      <c r="A94" s="11" t="str">
        <v>导航控制</v>
      </c>
      <c r="B94" s="60"/>
      <c r="C94" s="11" t="str">
        <v>路线全览</v>
      </c>
      <c r="D94" s="11" t="str">
        <v>P0</v>
      </c>
      <c r="E94" s="11" t="str">
        <v>查看全程</v>
      </c>
      <c r="F94" s="16" t="str">
        <v>Y</v>
      </c>
      <c r="H94" s="194"/>
      <c r="I94" s="11" t="str">
        <v>全览模式开关</v>
      </c>
      <c r="J94" s="139"/>
      <c r="M94" s="150" t="str">
        <v>✅</v>
      </c>
      <c r="N94" s="150" t="str">
        <v>✅</v>
      </c>
      <c r="P94" s="11" t="str">
        <v>✅</v>
      </c>
      <c r="Q94" s="11" t="str">
        <v>❌</v>
      </c>
      <c r="R94" s="11" t="str">
        <v>✅</v>
      </c>
      <c r="S94" s="11" t="str">
        <v>✅</v>
      </c>
      <c r="T94" s="11" t="str">
        <v>✅</v>
      </c>
      <c r="W94" s="11" t="str">
        <v>✅</v>
      </c>
      <c r="X94" s="11" t="inlineStr">
        <is>
          <r>
            <t>@刘晓帝</t>
          </r>
        </is>
      </c>
    </row>
    <row r="95" spans="1:24">
      <c r="A95" s="11" t="str">
        <v>导航控制</v>
      </c>
      <c r="B95" s="60"/>
      <c r="C95" s="11" t="str">
        <v>取消路线全览</v>
      </c>
      <c r="D95" s="11" t="str">
        <v>P0</v>
      </c>
      <c r="E95" s="11" t="str">
        <v>退出全局路线</v>
      </c>
      <c r="F95" s="16" t="str">
        <v>Y</v>
      </c>
      <c r="H95" s="194"/>
      <c r="I95" s="11" t="str">
        <v>全览模式开关</v>
      </c>
      <c r="J95" s="139"/>
      <c r="M95" s="150" t="str">
        <v>✅</v>
      </c>
      <c r="N95" s="150" t="str">
        <v>✅</v>
      </c>
      <c r="P95" s="11" t="str">
        <v>✅</v>
      </c>
      <c r="Q95" s="11" t="str">
        <v>❌</v>
      </c>
      <c r="R95" s="11" t="str">
        <v>✅</v>
      </c>
      <c r="S95" s="11" t="str">
        <v>✅</v>
      </c>
      <c r="T95" s="11" t="str">
        <v>✅</v>
      </c>
      <c r="W95" s="11" t="str">
        <v>✅</v>
      </c>
      <c r="X95" s="11" t="inlineStr">
        <is>
          <r>
            <t>@刘晓帝</t>
          </r>
        </is>
      </c>
    </row>
    <row r="96" spans="1:27">
      <c r="A96" s="11" t="str">
        <v>导航控制</v>
      </c>
      <c r="B96" s="60"/>
      <c r="C96" s="11" t="str">
        <v>打开熟路模式</v>
      </c>
      <c r="D96" s="11" t="str">
        <v>P1</v>
      </c>
      <c r="E96" s="11" t="str">
        <v>打开熟路模式</v>
      </c>
      <c r="F96" s="16" t="str">
        <v>Y</v>
      </c>
      <c r="G96" s="306">
        <v>46129</v>
      </c>
      <c r="H96" s="194"/>
      <c r="I96" s="11" t="str">
        <v>轻导航开关</v>
      </c>
      <c r="J96" s="139"/>
      <c r="L96" s="46" t="str">
        <v>熟路模式   
intention：FAMILIAR_ROAD_ON / FAMILIAR_ROAD_OFF</v>
      </c>
      <c r="M96" s="150" t="str">
        <v>✅</v>
      </c>
      <c r="N96" s="150" t="str">
        <v>✅</v>
      </c>
      <c r="O96" s="150" t="str">
        <v> </v>
      </c>
      <c r="P96" s="11" t="str">
        <v>❌</v>
      </c>
      <c r="Q96" s="11" t="str">
        <v>❌</v>
      </c>
      <c r="R96" s="11" t="str">
        <v>❌</v>
      </c>
      <c r="S96" s="11" t="str">
        <v>✅</v>
      </c>
      <c r="T96" s="11" t="str">
        <v>✅</v>
      </c>
      <c r="W96" s="11" t="str">
        <v>❌</v>
      </c>
      <c r="X96" s="11" t="inlineStr">
        <is>
          <r>
            <t>@刘晓帝</t>
          </r>
        </is>
      </c>
      <c r="AA96" s="11" t="str">
        <v>2026052520253478D0D8979069DDE5ED68
20260525202552E0B131B215C30201213B
202605252026040E54EC6AC3A7390A683A</v>
      </c>
    </row>
    <row r="97" spans="1:27">
      <c r="A97" s="11" t="str">
        <v>导航控制</v>
      </c>
      <c r="B97" s="110"/>
      <c r="C97" s="11" t="str">
        <v>关闭熟路模式</v>
      </c>
      <c r="D97" s="11" t="str">
        <v>P1</v>
      </c>
      <c r="E97" s="11" t="str">
        <v>关闭熟路模式</v>
      </c>
      <c r="F97" s="16" t="str">
        <v>Y</v>
      </c>
      <c r="G97" s="306">
        <v>46129</v>
      </c>
      <c r="H97" s="194"/>
      <c r="I97" s="11" t="str">
        <v>轻导航开关</v>
      </c>
      <c r="J97" s="139"/>
      <c r="L97" s="110"/>
      <c r="M97" s="150" t="str">
        <v>✅</v>
      </c>
      <c r="N97" s="150" t="str">
        <v>✅</v>
      </c>
      <c r="P97" s="11" t="str">
        <v>❌</v>
      </c>
      <c r="Q97" s="11" t="str">
        <v>❌</v>
      </c>
      <c r="R97" s="19">
        <v>11</v>
      </c>
      <c r="S97" s="11" t="str">
        <v>✅</v>
      </c>
      <c r="T97" s="11" t="str">
        <v>✅</v>
      </c>
      <c r="W97" s="11" t="str">
        <v>❌</v>
      </c>
      <c r="X97" s="11" t="inlineStr">
        <is>
          <r>
            <t>@刘晓帝</t>
          </r>
        </is>
      </c>
      <c r="AA97" s="184" t="str">
        <v>20260525202623C08C43AFB655CF868427</v>
      </c>
    </row>
    <row r="98" spans="1:24">
      <c r="A98" s="11" t="str">
        <v>设置导航播报</v>
      </c>
      <c r="B98" s="46" t="str">
        <v>设置导航播报</v>
      </c>
      <c r="C98" s="46" t="str">
        <v>开启/关闭播报</v>
      </c>
      <c r="D98" s="46" t="str">
        <v>P0</v>
      </c>
      <c r="E98" s="11" t="str">
        <v>打开导航播报</v>
      </c>
      <c r="F98" s="164" t="str">
        <v>Y</v>
      </c>
      <c r="G98" s="255" t="str">
        <v>当前需求巡航&amp;导航播报强关联，同开同关</v>
      </c>
      <c r="H98" s="194"/>
      <c r="I98" s="12" t="str">
        <v>静音开关</v>
      </c>
      <c r="J98" s="139"/>
      <c r="M98" s="150" t="str">
        <v>✅</v>
      </c>
      <c r="N98" s="46" t="str">
        <v>走导航静音链路</v>
      </c>
      <c r="O98" s="150" t="str">
        <v>✅</v>
      </c>
      <c r="P98" s="11" t="str">
        <v>✅</v>
      </c>
      <c r="R98" s="11" t="str">
        <v>✅</v>
      </c>
      <c r="S98" s="11" t="str">
        <v>✅</v>
      </c>
      <c r="T98" s="11" t="str">
        <v>✅</v>
      </c>
      <c r="X98" s="11" t="inlineStr">
        <is>
          <r>
            <t>@刘晓帝</t>
          </r>
        </is>
      </c>
    </row>
    <row r="99" spans="1:24">
      <c r="A99" s="11" t="str">
        <v>设置导航播报</v>
      </c>
      <c r="B99" s="60"/>
      <c r="C99" s="60"/>
      <c r="D99" s="60"/>
      <c r="E99" s="11" t="str">
        <v>关闭导航播报</v>
      </c>
      <c r="F99" s="164" t="str">
        <v>Y</v>
      </c>
      <c r="G99" s="270"/>
      <c r="H99" s="194"/>
      <c r="I99" s="12" t="str">
        <v>静音开关</v>
      </c>
      <c r="J99" s="139"/>
      <c r="M99" s="150" t="str">
        <v>✅</v>
      </c>
      <c r="N99" s="110"/>
      <c r="O99" s="150" t="str">
        <v>✅</v>
      </c>
      <c r="P99" s="11" t="str">
        <v>✅</v>
      </c>
      <c r="R99" s="11" t="str">
        <v>✅</v>
      </c>
      <c r="S99" s="11" t="str">
        <v>✅</v>
      </c>
      <c r="T99" s="11" t="str">
        <v>✅</v>
      </c>
      <c r="X99" s="11" t="inlineStr">
        <is>
          <r>
            <t>@刘晓帝</t>
          </r>
        </is>
      </c>
    </row>
    <row r="100" spans="1:24">
      <c r="A100" s="11" t="str">
        <v>设置导航播报</v>
      </c>
      <c r="B100" s="60"/>
      <c r="C100" s="60"/>
      <c r="D100" s="60"/>
      <c r="E100" s="11" t="str">
        <v>打开巡航播报</v>
      </c>
      <c r="F100" s="164" t="str">
        <v>Y</v>
      </c>
      <c r="G100" s="270"/>
      <c r="H100" s="194"/>
      <c r="I100" s="12" t="str">
        <v>静音开关</v>
      </c>
      <c r="J100" s="139"/>
      <c r="M100" s="150" t="str">
        <v>✅</v>
      </c>
      <c r="N100" s="46" t="str">
        <v>是否和导航播报是同一功能，目前接口是同一个</v>
      </c>
      <c r="O100" s="150" t="str">
        <v>✅</v>
      </c>
      <c r="P100" s="11" t="str">
        <v>✅</v>
      </c>
      <c r="R100" s="11" t="str">
        <v>✅</v>
      </c>
      <c r="S100" s="11" t="str">
        <v>✅</v>
      </c>
      <c r="T100" s="11" t="str">
        <v>✅</v>
      </c>
      <c r="X100" s="11" t="inlineStr">
        <is>
          <r>
            <t>@刘晓帝</t>
          </r>
        </is>
      </c>
    </row>
    <row r="101" spans="1:24">
      <c r="A101" s="11" t="str">
        <v>设置导航播报</v>
      </c>
      <c r="B101" s="60"/>
      <c r="C101" s="110"/>
      <c r="D101" s="110"/>
      <c r="E101" s="11" t="str">
        <v>关闭巡航播报</v>
      </c>
      <c r="F101" s="164" t="str">
        <v>Y</v>
      </c>
      <c r="G101" s="256"/>
      <c r="H101" s="194"/>
      <c r="I101" s="12" t="str">
        <v>静音开关</v>
      </c>
      <c r="J101" s="139"/>
      <c r="M101" s="150" t="str">
        <v>✅</v>
      </c>
      <c r="N101" s="110"/>
      <c r="O101" s="150" t="str">
        <v>✅</v>
      </c>
      <c r="P101" s="11" t="str">
        <v>✅</v>
      </c>
      <c r="R101" s="11" t="str">
        <v>✅</v>
      </c>
      <c r="S101" s="11" t="str">
        <v>✅</v>
      </c>
      <c r="T101" s="11" t="str">
        <v>✅</v>
      </c>
      <c r="X101" s="11" t="inlineStr">
        <is>
          <r>
            <t>@刘晓帝</t>
          </r>
        </is>
      </c>
    </row>
    <row r="102" spans="1:24">
      <c r="A102" s="11" t="str">
        <v>设置导航播报</v>
      </c>
      <c r="B102" s="60"/>
      <c r="C102" s="46" t="str">
        <v>导航播报模式切换</v>
      </c>
      <c r="D102" s="46" t="str">
        <v>P0</v>
      </c>
      <c r="E102" s="11" t="str">
        <v>将导航播报设为详细播报</v>
      </c>
      <c r="F102" s="164" t="str">
        <v>Y</v>
      </c>
      <c r="H102" s="194"/>
      <c r="I102" s="11" t="str">
        <v>导航播报模式调节</v>
      </c>
      <c r="J102" s="139"/>
      <c r="M102" s="150" t="str">
        <v>✅</v>
      </c>
      <c r="N102" s="150" t="str">
        <v>✅</v>
      </c>
      <c r="P102" s="11" t="str">
        <v>✅</v>
      </c>
      <c r="Q102" s="11" t="str">
        <v>❌</v>
      </c>
      <c r="R102" s="11" t="str">
        <v>✅</v>
      </c>
      <c r="S102" s="11" t="str">
        <v>✅</v>
      </c>
      <c r="T102" s="11" t="str">
        <v>✅</v>
      </c>
      <c r="W102" s="11" t="str">
        <v>✅</v>
      </c>
      <c r="X102" s="11" t="inlineStr">
        <is>
          <r>
            <t>@刘晓帝</t>
          </r>
        </is>
      </c>
    </row>
    <row r="103" spans="1:24">
      <c r="A103" s="11" t="str">
        <v>设置导航播报</v>
      </c>
      <c r="B103" s="60"/>
      <c r="C103" s="60"/>
      <c r="D103" s="60"/>
      <c r="E103" s="11" t="str">
        <v>将导航播报模式设为简洁</v>
      </c>
      <c r="F103" s="164" t="str">
        <v>Y</v>
      </c>
      <c r="H103" s="194"/>
      <c r="I103" s="11" t="str">
        <v>导航播报模式调节</v>
      </c>
      <c r="J103" s="139"/>
      <c r="M103" s="150" t="str">
        <v>✅</v>
      </c>
      <c r="N103" s="150" t="str">
        <v>✅</v>
      </c>
      <c r="P103" s="11" t="str">
        <v>✅</v>
      </c>
      <c r="Q103" s="11" t="str">
        <v>✅</v>
      </c>
      <c r="R103" s="11" t="str">
        <v>✅</v>
      </c>
      <c r="S103" s="11" t="str">
        <v>✅</v>
      </c>
      <c r="T103" s="11" t="str">
        <v>✅</v>
      </c>
      <c r="X103" s="11" t="inlineStr">
        <is>
          <r>
            <t>@刘晓帝</t>
          </r>
        </is>
      </c>
    </row>
    <row r="104" spans="1:21">
      <c r="A104" s="11" t="str">
        <v>设置导航播报</v>
      </c>
      <c r="B104" s="60"/>
      <c r="C104" s="60"/>
      <c r="D104" s="60"/>
      <c r="E104" s="307" t="str">
        <v>将导航播报设为智能播报</v>
      </c>
      <c r="F104" s="164" t="str">
        <v>Y</v>
      </c>
      <c r="H104" s="194"/>
      <c r="I104" s="11" t="str">
        <v>导航播报模式调节</v>
      </c>
      <c r="J104" s="139"/>
      <c r="M104" s="150" t="str">
        <v>✅</v>
      </c>
      <c r="N104" s="150" t="str">
        <v>✅</v>
      </c>
      <c r="P104" s="11" t="str">
        <v>✅</v>
      </c>
      <c r="U104" s="11" t="str">
        <v>✅</v>
      </c>
    </row>
    <row r="105" spans="1:20">
      <c r="A105" s="11" t="str">
        <v>设置导航播报</v>
      </c>
      <c r="B105" s="60"/>
      <c r="C105" s="110"/>
      <c r="D105" s="110"/>
      <c r="E105" s="307" t="str">
        <v>将导航播报模式设为极简</v>
      </c>
      <c r="F105" s="164" t="str">
        <v>Y</v>
      </c>
      <c r="H105" s="194"/>
      <c r="I105" s="11" t="str">
        <v>导航播报模式调节</v>
      </c>
      <c r="J105" s="139"/>
      <c r="M105" s="150" t="str">
        <v>✅</v>
      </c>
      <c r="N105" s="150" t="str">
        <v>✅</v>
      </c>
      <c r="P105" s="11" t="str">
        <v>✅</v>
      </c>
      <c r="S105" s="11" t="str">
        <v>✅</v>
      </c>
      <c r="T105" s="11" t="str">
        <v>✅</v>
      </c>
    </row>
    <row r="106" spans="1:24">
      <c r="A106" s="11" t="str">
        <v>设置导航播报</v>
      </c>
      <c r="B106" s="60"/>
      <c r="C106" s="46" t="str">
        <v>打开特定类别巡航播报</v>
      </c>
      <c r="D106" s="46" t="str">
        <v>P1</v>
      </c>
      <c r="E106" s="11" t="str">
        <v>打开前方路况播报</v>
      </c>
      <c r="F106" s="164" t="str">
        <v>Y</v>
      </c>
      <c r="H106" s="194"/>
      <c r="I106" s="12" t="str">
        <v>导航路况播报开关</v>
      </c>
      <c r="J106" s="139"/>
      <c r="M106" s="150" t="str">
        <v>✅</v>
      </c>
      <c r="N106" s="150" t="str">
        <v>✅</v>
      </c>
      <c r="P106" s="11" t="str">
        <v>✅</v>
      </c>
      <c r="Q106" s="11" t="str">
        <v>✅</v>
      </c>
      <c r="R106" s="11" t="str">
        <v>✅</v>
      </c>
      <c r="S106" s="11" t="str">
        <v>✅</v>
      </c>
      <c r="T106" s="11" t="str">
        <v>❌</v>
      </c>
      <c r="U106" s="11" t="str">
        <v>✅</v>
      </c>
      <c r="V106" s="11" t="str">
        <v>✅</v>
      </c>
      <c r="W106" s="11" t="str">
        <v>✅</v>
      </c>
      <c r="X106" s="11" t="inlineStr">
        <is>
          <r>
            <t>@刘晓帝</t>
          </r>
        </is>
      </c>
    </row>
    <row r="107" spans="1:24">
      <c r="A107" s="11" t="str">
        <v>设置导航播报</v>
      </c>
      <c r="B107" s="60"/>
      <c r="C107" s="60"/>
      <c r="D107" s="60"/>
      <c r="E107" s="11" t="str">
        <v>打开电子眼播报</v>
      </c>
      <c r="F107" s="164" t="str">
        <v>Y</v>
      </c>
      <c r="H107" s="194"/>
      <c r="I107" s="12" t="str">
        <v>导航电子眼播报开关</v>
      </c>
      <c r="J107" s="139"/>
      <c r="M107" s="150" t="str">
        <v>✅</v>
      </c>
      <c r="N107" s="150" t="str">
        <v>✅</v>
      </c>
      <c r="P107" s="11" t="str">
        <v>✅</v>
      </c>
      <c r="Q107" s="11" t="str">
        <v>✅</v>
      </c>
      <c r="R107" s="11" t="str">
        <v>✅</v>
      </c>
      <c r="S107" s="11" t="str">
        <v>✅</v>
      </c>
      <c r="T107" s="11" t="str">
        <v>✅</v>
      </c>
      <c r="X107" s="11" t="inlineStr">
        <is>
          <r>
            <t>@刘晓帝</t>
          </r>
        </is>
      </c>
    </row>
    <row r="108" spans="1:27">
      <c r="A108" s="11" t="str">
        <v>设置导航播报</v>
      </c>
      <c r="B108" s="60"/>
      <c r="C108" s="110"/>
      <c r="D108" s="110"/>
      <c r="E108" s="11" t="str">
        <v>打开安全提醒播报</v>
      </c>
      <c r="F108" s="164" t="str">
        <v>Y</v>
      </c>
      <c r="H108" s="194"/>
      <c r="I108" s="12" t="str">
        <v>导航提醒播报开关</v>
      </c>
      <c r="J108" s="139"/>
      <c r="M108" s="150" t="str">
        <v>✅</v>
      </c>
      <c r="N108" s="150" t="str">
        <v>✅</v>
      </c>
      <c r="P108" s="11" t="str">
        <v>✅</v>
      </c>
      <c r="Q108" s="11" t="str">
        <v>✅</v>
      </c>
      <c r="R108" s="11" t="str">
        <v>❌</v>
      </c>
      <c r="S108" s="11" t="str">
        <v>✅</v>
      </c>
      <c r="T108" s="11" t="str">
        <v>✅</v>
      </c>
      <c r="W108" s="11" t="str">
        <v>✅</v>
      </c>
      <c r="X108" s="11" t="inlineStr">
        <is>
          <r>
            <t>@刘晓帝</t>
          </r>
        </is>
      </c>
      <c r="AA108" s="184" t="str">
        <v>202605252029066F7A033CA18E5E3F33D3</v>
      </c>
    </row>
    <row r="109" spans="1:24">
      <c r="A109" s="11" t="str">
        <v>设置导航播报</v>
      </c>
      <c r="B109" s="60"/>
      <c r="C109" s="46" t="str">
        <v>关闭特定类别巡航播报</v>
      </c>
      <c r="D109" s="46" t="str">
        <v>P1</v>
      </c>
      <c r="E109" s="11" t="str">
        <v>关闭前方路况播报</v>
      </c>
      <c r="F109" s="164" t="str">
        <v>Y</v>
      </c>
      <c r="H109" s="194"/>
      <c r="I109" s="12" t="str">
        <v>导航路况播报开关</v>
      </c>
      <c r="J109" s="139"/>
      <c r="M109" s="150" t="str">
        <v>✅</v>
      </c>
      <c r="N109" s="150" t="str">
        <v>✅</v>
      </c>
      <c r="P109" s="11" t="str">
        <v>✅</v>
      </c>
      <c r="Q109" s="11" t="str">
        <v>✅</v>
      </c>
      <c r="R109" s="11" t="str">
        <v>✅</v>
      </c>
      <c r="S109" s="11" t="str">
        <v>✅</v>
      </c>
      <c r="T109" s="11" t="str">
        <v>❌</v>
      </c>
      <c r="U109" s="11" t="str">
        <v>✅</v>
      </c>
      <c r="V109" s="11" t="str">
        <v>✅</v>
      </c>
      <c r="W109" s="11" t="str">
        <v>✅</v>
      </c>
      <c r="X109" s="11" t="inlineStr">
        <is>
          <r>
            <t>@刘晓帝</t>
          </r>
        </is>
      </c>
    </row>
    <row r="110" spans="1:24">
      <c r="A110" s="11" t="str">
        <v>设置导航播报</v>
      </c>
      <c r="B110" s="60"/>
      <c r="C110" s="60"/>
      <c r="D110" s="60"/>
      <c r="E110" s="16" t="str">
        <v>关闭电子眼播报</v>
      </c>
      <c r="F110" s="164" t="str">
        <v>Y</v>
      </c>
      <c r="H110" s="194"/>
      <c r="I110" s="11" t="str">
        <v>导航电子眼播报开关</v>
      </c>
      <c r="J110" s="139"/>
      <c r="M110" s="150" t="str">
        <v>✅</v>
      </c>
      <c r="N110" s="150" t="str">
        <v>✅</v>
      </c>
      <c r="P110" s="11" t="str">
        <v>✅</v>
      </c>
      <c r="Q110" s="11" t="str">
        <v>✅</v>
      </c>
      <c r="R110" s="11" t="str">
        <v>✅</v>
      </c>
      <c r="S110" s="11" t="str">
        <v>✅</v>
      </c>
      <c r="T110" s="11" t="str">
        <v>✅</v>
      </c>
      <c r="X110" s="11" t="inlineStr">
        <is>
          <r>
            <t>@刘晓帝</t>
          </r>
        </is>
      </c>
    </row>
    <row r="111" spans="1:24">
      <c r="A111" s="11" t="str">
        <v>设置导航播报</v>
      </c>
      <c r="B111" s="110"/>
      <c r="C111" s="110"/>
      <c r="D111" s="110"/>
      <c r="E111" s="16" t="str">
        <v>关闭安全提醒播报</v>
      </c>
      <c r="F111" s="164" t="str">
        <v>Y</v>
      </c>
      <c r="H111" s="194"/>
      <c r="I111" s="11" t="str">
        <v>导航提醒播报开关</v>
      </c>
      <c r="J111" s="139"/>
      <c r="M111" s="150" t="str">
        <v>✅</v>
      </c>
      <c r="N111" s="150" t="str">
        <v>✅</v>
      </c>
      <c r="P111" s="11" t="str">
        <v>✅</v>
      </c>
      <c r="Q111" s="11" t="str">
        <v>❌</v>
      </c>
      <c r="R111" s="11" t="str">
        <v>✅</v>
      </c>
      <c r="S111" s="11" t="str">
        <v>✅</v>
      </c>
      <c r="T111" s="11" t="str">
        <v>❌</v>
      </c>
      <c r="U111" s="11" t="str">
        <v>✅</v>
      </c>
      <c r="V111" s="11" t="str">
        <v>✅</v>
      </c>
      <c r="W111" s="11" t="str">
        <v>✅</v>
      </c>
      <c r="X111" s="11" t="inlineStr">
        <is>
          <r>
            <t>@刘晓帝</t>
          </r>
        </is>
      </c>
    </row>
    <row r="112" spans="1:24">
      <c r="A112" s="244" t="str">
        <v>查询行程信息</v>
      </c>
      <c r="B112" s="299" t="str">
        <v>查询行程信息</v>
      </c>
      <c r="C112" s="308" t="str">
        <v>剩余路程里程</v>
      </c>
      <c r="D112" s="308" t="str">
        <v>P0</v>
      </c>
      <c r="E112" s="308" t="str">
        <v>剩余里程</v>
      </c>
      <c r="F112" s="16" t="str">
        <v>Y</v>
      </c>
      <c r="H112" s="194"/>
      <c r="I112" s="81" t="str">
        <v>端状态问答</v>
      </c>
      <c r="J112" s="139"/>
      <c r="M112" s="150" t="str">
        <v>✅</v>
      </c>
      <c r="N112" s="150" t="str">
        <v>✅</v>
      </c>
      <c r="P112" s="11" t="str">
        <v>✅</v>
      </c>
      <c r="S112" s="11" t="str">
        <v>✅</v>
      </c>
      <c r="T112" s="11" t="str">
        <v>✅</v>
      </c>
      <c r="X112" s="11" t="inlineStr">
        <is>
          <r>
            <t>@刘晓帝</t>
          </r>
        </is>
      </c>
    </row>
    <row r="113" spans="1:24">
      <c r="A113" s="244" t="str">
        <v>查询行程信息</v>
      </c>
      <c r="B113" s="300"/>
      <c r="C113" s="309" t="str">
        <v>剩余路程时间/预计到达时间</v>
      </c>
      <c r="D113" s="309" t="str">
        <v>P0</v>
      </c>
      <c r="E113" s="244" t="str">
        <v>距离目的地还要多久能到达</v>
      </c>
      <c r="F113" s="16" t="str">
        <v>Y</v>
      </c>
      <c r="H113" s="194"/>
      <c r="I113" s="81" t="str">
        <v>端状态问答</v>
      </c>
      <c r="J113" s="139"/>
      <c r="M113" s="150" t="str">
        <v>✅</v>
      </c>
      <c r="N113" s="150" t="str">
        <v>✅</v>
      </c>
      <c r="P113" s="11" t="str">
        <v>✅</v>
      </c>
      <c r="S113" s="11" t="str">
        <v>✅</v>
      </c>
      <c r="T113" s="11" t="str">
        <v>✅</v>
      </c>
      <c r="X113" s="11" t="inlineStr">
        <is>
          <r>
            <t>@刘晓帝</t>
          </r>
        </is>
      </c>
    </row>
    <row r="114" spans="1:24">
      <c r="A114" s="244" t="str">
        <v>查询行程信息</v>
      </c>
      <c r="B114" s="300"/>
      <c r="C114" s="310"/>
      <c r="D114" s="310"/>
      <c r="E114" s="244" t="str">
        <v>预计什么时候到目的地</v>
      </c>
      <c r="F114" s="16" t="str">
        <v>Y</v>
      </c>
      <c r="H114" s="194"/>
      <c r="I114" s="81" t="str">
        <v>端状态问答</v>
      </c>
      <c r="J114" s="139"/>
      <c r="M114" s="150" t="str">
        <v>✅</v>
      </c>
      <c r="N114" s="150" t="str">
        <v>✅</v>
      </c>
      <c r="P114" s="11" t="str">
        <v>✅</v>
      </c>
      <c r="S114" s="11" t="str">
        <v>✅</v>
      </c>
      <c r="T114" s="11" t="str">
        <v>✅</v>
      </c>
      <c r="X114" s="11" t="inlineStr">
        <is>
          <r>
            <t>@刘晓帝</t>
          </r>
        </is>
      </c>
    </row>
    <row r="115" spans="1:24">
      <c r="A115" s="244" t="str">
        <v>查询行程信息</v>
      </c>
      <c r="B115" s="300"/>
      <c r="C115" s="311" t="str">
        <v>限速查询</v>
      </c>
      <c r="D115" s="311" t="str">
        <v>P0</v>
      </c>
      <c r="E115" s="244" t="str">
        <v>现在限速多少</v>
      </c>
      <c r="F115" s="16" t="str">
        <v>Y</v>
      </c>
      <c r="H115" s="194"/>
      <c r="I115" s="81" t="str">
        <v>端状态问答</v>
      </c>
      <c r="J115" s="139"/>
      <c r="M115" s="150" t="str">
        <v>✅</v>
      </c>
      <c r="N115" s="150" t="str">
        <v>✅</v>
      </c>
      <c r="P115" s="11" t="str">
        <v>✅</v>
      </c>
      <c r="U115" s="11" t="str">
        <v>✅</v>
      </c>
      <c r="X115" s="11" t="inlineStr">
        <is>
          <r>
            <t>@刘晓帝</t>
          </r>
        </is>
      </c>
    </row>
    <row r="116" spans="1:24">
      <c r="A116" s="244" t="str">
        <v>查询行程信息</v>
      </c>
      <c r="B116" s="300"/>
      <c r="C116" s="312"/>
      <c r="D116" s="312"/>
      <c r="E116" s="244" t="str">
        <v>我超速了吗</v>
      </c>
      <c r="F116" s="16" t="str">
        <v>Y</v>
      </c>
      <c r="H116" s="194"/>
      <c r="I116" s="81" t="str">
        <v>端状态问答</v>
      </c>
      <c r="J116" s="139"/>
      <c r="M116" s="150" t="str">
        <v>✅</v>
      </c>
      <c r="N116" s="150" t="str">
        <v>✅</v>
      </c>
      <c r="P116" s="11" t="str">
        <v>✅</v>
      </c>
      <c r="U116" s="11" t="str">
        <v>✅</v>
      </c>
      <c r="X116" s="11" t="inlineStr">
        <is>
          <r>
            <t>@刘晓帝</t>
          </r>
        </is>
      </c>
    </row>
    <row r="117" spans="1:24">
      <c r="A117" s="244" t="str">
        <v>查询行程信息</v>
      </c>
      <c r="B117" s="300"/>
      <c r="C117" s="244" t="str">
        <v>查询到目的地</v>
      </c>
      <c r="D117" s="244" t="str">
        <v>P0</v>
      </c>
      <c r="E117" s="244" t="str">
        <v>目的地是什么</v>
      </c>
      <c r="F117" s="16" t="str">
        <v>Y</v>
      </c>
      <c r="H117" s="194"/>
      <c r="I117" s="81" t="str">
        <v>端状态问答</v>
      </c>
      <c r="J117" s="139"/>
      <c r="M117" s="150" t="str">
        <v>✅</v>
      </c>
      <c r="N117" s="150" t="str">
        <v>✅</v>
      </c>
      <c r="P117" s="11" t="str">
        <v>✅</v>
      </c>
      <c r="S117" s="11" t="str">
        <v>✅</v>
      </c>
      <c r="T117" s="11" t="str">
        <v>✅</v>
      </c>
      <c r="X117" s="11" t="inlineStr">
        <is>
          <r>
            <t>@刘晓帝</t>
          </r>
        </is>
      </c>
    </row>
    <row r="118" spans="1:24">
      <c r="A118" s="244" t="str">
        <v>查询行程信息</v>
      </c>
      <c r="B118" s="300"/>
      <c r="C118" s="299" t="str">
        <v>查询到目的地剩余续航/剩余里程</v>
      </c>
      <c r="D118" s="299" t="str">
        <v>P0</v>
      </c>
      <c r="E118" s="244" t="str">
        <v>到目的地剩余多少电</v>
      </c>
      <c r="F118" s="164" t="str">
        <v>Y</v>
      </c>
      <c r="G118" s="255" t="str">
        <v>
只有剩余里程，没有剩余续航或电量
 </v>
      </c>
      <c r="H118" s="194"/>
      <c r="I118" s="81" t="str">
        <v>端状态问答</v>
      </c>
      <c r="J118" s="139"/>
      <c r="M118" s="150" t="str">
        <v>✅</v>
      </c>
      <c r="N118" s="11" t="str">
        <v>✅</v>
      </c>
      <c r="P118" s="11" t="str">
        <v>❌</v>
      </c>
      <c r="U118" s="11" t="str">
        <v>block</v>
      </c>
      <c r="X118" s="11" t="inlineStr">
        <is>
          <r>
            <t>@刘晓帝</t>
          </r>
        </is>
      </c>
    </row>
    <row r="119" spans="1:24">
      <c r="A119" s="244" t="str">
        <v>查询行程信息</v>
      </c>
      <c r="B119" s="301"/>
      <c r="C119" s="301"/>
      <c r="D119" s="301"/>
      <c r="E119" s="244" t="str">
        <v>到目的地剩余多少里程</v>
      </c>
      <c r="F119" s="164" t="str">
        <v>Y</v>
      </c>
      <c r="G119" s="256"/>
      <c r="H119" s="194"/>
      <c r="I119" s="81" t="str">
        <v>端状态问答</v>
      </c>
      <c r="J119" s="139"/>
      <c r="M119" s="150" t="str">
        <v>✅</v>
      </c>
      <c r="N119" s="150" t="str">
        <v>✅</v>
      </c>
      <c r="P119" s="11" t="str">
        <v>✅</v>
      </c>
      <c r="S119" s="11" t="str">
        <v>✅</v>
      </c>
      <c r="T119" s="11" t="str">
        <v>✅</v>
      </c>
      <c r="X119" s="11" t="inlineStr">
        <is>
          <r>
            <t>@刘晓帝</t>
          </r>
        </is>
      </c>
    </row>
    <row r="120" spans="1:28">
      <c r="A120" s="11" t="str">
        <v>查询路况</v>
      </c>
      <c r="B120" s="46" t="str">
        <v>查询路况</v>
      </c>
      <c r="C120" s="157" t="str">
        <v>路况显示控制</v>
      </c>
      <c r="D120" s="157" t="str">
        <v>P0</v>
      </c>
      <c r="E120" s="11" t="str">
        <v>打开路况</v>
      </c>
      <c r="F120" s="164" t="str">
        <v>Y</v>
      </c>
      <c r="H120" s="194"/>
      <c r="I120" s="11" t="str">
        <v>路况显示开关</v>
      </c>
      <c r="J120" s="139"/>
      <c r="M120" s="150" t="str">
        <v>✅</v>
      </c>
      <c r="N120" s="150" t="str">
        <v>✅</v>
      </c>
      <c r="P120" s="11" t="str">
        <v>✅</v>
      </c>
      <c r="R120" s="11" t="str">
        <v>✅</v>
      </c>
      <c r="S120" s="11" t="str">
        <v>✅</v>
      </c>
      <c r="T120" s="11" t="str">
        <v>❌</v>
      </c>
      <c r="U120" s="11" t="str">
        <v>❌</v>
      </c>
      <c r="V120" s="11" t="str">
        <v>✅</v>
      </c>
      <c r="W120" s="11" t="str">
        <v>✅</v>
      </c>
      <c r="X120" s="11" t="inlineStr">
        <is>
          <r>
            <t>@刘晓帝</t>
          </r>
        </is>
      </c>
      <c r="AA120" s="16" t="str">
        <v>20260627145326C85B7D429EB6D9C98B9C</v>
      </c>
      <c r="AB120" s="46" t="str">
        <v>走到了路况播报了</v>
      </c>
    </row>
    <row r="121" spans="1:28">
      <c r="A121" s="11" t="str">
        <v>查询路况</v>
      </c>
      <c r="B121" s="60"/>
      <c r="C121" s="160"/>
      <c r="D121" s="160"/>
      <c r="E121" s="11" t="str">
        <v>关闭路况</v>
      </c>
      <c r="F121" s="164" t="str">
        <v>Y</v>
      </c>
      <c r="H121" s="194"/>
      <c r="I121" s="11" t="str">
        <v>路况显示开关</v>
      </c>
      <c r="J121" s="139"/>
      <c r="M121" s="150" t="str">
        <v>✅</v>
      </c>
      <c r="N121" s="150" t="str">
        <v>✅</v>
      </c>
      <c r="P121" s="11" t="str">
        <v>✅</v>
      </c>
      <c r="R121" s="11" t="str">
        <v>✅</v>
      </c>
      <c r="S121" s="11" t="str">
        <v>✅</v>
      </c>
      <c r="T121" s="11" t="str">
        <v>❌</v>
      </c>
      <c r="U121" s="11" t="str">
        <v>❌</v>
      </c>
      <c r="V121" s="11" t="str">
        <v>✅</v>
      </c>
      <c r="W121" s="11" t="str">
        <v>✅</v>
      </c>
      <c r="X121" s="11" t="inlineStr">
        <is>
          <r>
            <t>@刘晓帝</t>
          </r>
        </is>
      </c>
      <c r="AA121" s="16" t="str">
        <v>20260627145334C62A18725E77148E12E8</v>
      </c>
      <c r="AB121" s="110"/>
    </row>
    <row r="122" spans="1:24">
      <c r="A122" s="11" t="str">
        <v>查询路况</v>
      </c>
      <c r="B122" s="60"/>
      <c r="C122" s="46" t="str">
        <v>查询自车当前位置拥堵情况</v>
      </c>
      <c r="D122" s="46" t="str">
        <v>P0</v>
      </c>
      <c r="E122" s="244" t="str">
        <v>还要堵多久</v>
      </c>
      <c r="F122" s="164" t="str">
        <v>Y</v>
      </c>
      <c r="G122" s="255" t="str">
        <v>获取拥堵信息</v>
      </c>
      <c r="H122" s="194"/>
      <c r="I122" s="81" t="str">
        <v>端状态问答</v>
      </c>
      <c r="J122" s="139"/>
      <c r="M122" s="150" t="str">
        <v>✅</v>
      </c>
      <c r="N122" s="150" t="str">
        <v>✅</v>
      </c>
      <c r="P122" s="11" t="str">
        <v>block</v>
      </c>
      <c r="U122" s="11" t="str">
        <v>block</v>
      </c>
      <c r="X122" s="11" t="inlineStr">
        <is>
          <r>
            <t>@刘晓帝</t>
          </r>
        </is>
      </c>
    </row>
    <row r="123" spans="1:24">
      <c r="A123" s="11" t="str">
        <v>查询路况</v>
      </c>
      <c r="B123" s="60"/>
      <c r="C123" s="110"/>
      <c r="D123" s="110"/>
      <c r="E123" s="244" t="str">
        <v>堵了多长距离</v>
      </c>
      <c r="F123" s="164" t="str">
        <v>Y</v>
      </c>
      <c r="G123" s="270"/>
      <c r="H123" s="194"/>
      <c r="I123" s="81" t="str">
        <v>端状态问答</v>
      </c>
      <c r="J123" s="139"/>
      <c r="M123" s="150" t="str">
        <v>✅</v>
      </c>
      <c r="N123" s="150" t="str">
        <v>✅</v>
      </c>
      <c r="P123" s="11" t="str">
        <v>block</v>
      </c>
      <c r="U123" s="11" t="str">
        <v>block</v>
      </c>
      <c r="X123" s="11" t="inlineStr">
        <is>
          <r>
            <t>@刘晓帝</t>
          </r>
        </is>
      </c>
    </row>
    <row r="124" spans="1:24">
      <c r="A124" s="11" t="str">
        <v>查询路况</v>
      </c>
      <c r="B124" s="60"/>
      <c r="C124" s="46" t="str">
        <v>查询前方拥堵情况</v>
      </c>
      <c r="D124" s="46" t="str">
        <v>P0</v>
      </c>
      <c r="E124" s="244" t="str">
        <v>这条路堵车么</v>
      </c>
      <c r="F124" s="164" t="str">
        <v>Y</v>
      </c>
      <c r="G124" s="270"/>
      <c r="H124" s="194"/>
      <c r="I124" s="81" t="str">
        <v>端状态问答</v>
      </c>
      <c r="J124" s="139"/>
      <c r="M124" s="150" t="str">
        <v>✅</v>
      </c>
      <c r="N124" s="150" t="str">
        <v>✅</v>
      </c>
      <c r="P124" s="11" t="str">
        <v>block</v>
      </c>
      <c r="U124" s="11" t="str">
        <v>block</v>
      </c>
      <c r="X124" s="11" t="inlineStr">
        <is>
          <r>
            <t>@刘晓帝</t>
          </r>
        </is>
      </c>
    </row>
    <row r="125" spans="1:24">
      <c r="A125" s="11" t="str">
        <v>查询路况</v>
      </c>
      <c r="B125" s="110"/>
      <c r="C125" s="110"/>
      <c r="D125" s="110"/>
      <c r="E125" s="244" t="str">
        <v>距离堵车位置有多远</v>
      </c>
      <c r="F125" s="164" t="str">
        <v>Y</v>
      </c>
      <c r="G125" s="256"/>
      <c r="H125" s="194"/>
      <c r="I125" s="81" t="str">
        <v>端状态问答</v>
      </c>
      <c r="J125" s="139"/>
      <c r="M125" s="150" t="str">
        <v>✅</v>
      </c>
      <c r="N125" s="150" t="str">
        <v>✅</v>
      </c>
      <c r="P125" s="11" t="str">
        <v>block</v>
      </c>
      <c r="U125" s="11" t="str">
        <v>block</v>
      </c>
      <c r="X125" s="11" t="inlineStr">
        <is>
          <r>
            <t>@刘晓帝</t>
          </r>
        </is>
      </c>
    </row>
    <row r="126" spans="1:24">
      <c r="A126" s="11" t="str">
        <v>设置路线偏好</v>
      </c>
      <c r="B126" s="46" t="str">
        <v>设置路线偏好</v>
      </c>
      <c r="C126" s="46" t="str">
        <v>设置具体偏好</v>
      </c>
      <c r="D126" s="166" t="str">
        <v>P0</v>
      </c>
      <c r="E126" s="11" t="str">
        <v>高速优先</v>
      </c>
      <c r="F126" s="16" t="str">
        <v>Y</v>
      </c>
      <c r="H126" s="194"/>
      <c r="I126" s="11" t="str">
        <v>导航路线切换</v>
      </c>
      <c r="J126" s="139"/>
      <c r="M126" s="150" t="str">
        <v>✅</v>
      </c>
      <c r="N126" s="150" t="str">
        <v>✅</v>
      </c>
      <c r="P126" s="11" t="str">
        <v>✅</v>
      </c>
      <c r="Q126" s="11" t="str">
        <v>✅</v>
      </c>
      <c r="R126" s="11" t="str">
        <v>✅</v>
      </c>
      <c r="S126" s="11" t="str">
        <v>✅</v>
      </c>
      <c r="T126" s="11" t="str">
        <v>✅</v>
      </c>
      <c r="X126" s="11" t="inlineStr">
        <is>
          <r>
            <t>@刘晓帝</t>
          </r>
        </is>
      </c>
    </row>
    <row r="127" spans="1:24">
      <c r="A127" s="11" t="str">
        <v>设置路线偏好</v>
      </c>
      <c r="B127" s="60"/>
      <c r="C127" s="60"/>
      <c r="D127" s="168"/>
      <c r="E127" s="11" t="str">
        <v>不走高速</v>
      </c>
      <c r="F127" s="16" t="str">
        <v>Y</v>
      </c>
      <c r="H127" s="194"/>
      <c r="I127" s="11" t="str">
        <v>导航路线切换</v>
      </c>
      <c r="J127" s="139"/>
      <c r="M127" s="150" t="str">
        <v>✅</v>
      </c>
      <c r="N127" s="150" t="str">
        <v>✅</v>
      </c>
      <c r="P127" s="11" t="str">
        <v>✅</v>
      </c>
      <c r="Q127" s="11" t="str">
        <v>✅</v>
      </c>
      <c r="R127" s="11" t="str">
        <v>✅</v>
      </c>
      <c r="S127" s="11" t="str">
        <v>✅</v>
      </c>
      <c r="T127" s="11" t="str">
        <v>✅</v>
      </c>
      <c r="X127" s="11" t="inlineStr">
        <is>
          <r>
            <t>@刘晓帝</t>
          </r>
        </is>
      </c>
    </row>
    <row r="128" spans="1:24">
      <c r="A128" s="11" t="str">
        <v>设置路线偏好</v>
      </c>
      <c r="B128" s="60"/>
      <c r="C128" s="60"/>
      <c r="D128" s="168"/>
      <c r="E128" s="11" t="str">
        <v>时间短的路线优先</v>
      </c>
      <c r="F128" s="16" t="str">
        <v>Y</v>
      </c>
      <c r="H128" s="194"/>
      <c r="I128" s="11" t="str">
        <v>导航路线切换</v>
      </c>
      <c r="J128" s="139"/>
      <c r="M128" s="150" t="str">
        <v>✅</v>
      </c>
      <c r="N128" s="150" t="str">
        <v>✅</v>
      </c>
      <c r="P128" s="11" t="str">
        <v>✅</v>
      </c>
      <c r="Q128" s="11" t="str">
        <v>✅</v>
      </c>
      <c r="R128" s="11" t="str">
        <v>✅</v>
      </c>
      <c r="S128" s="11" t="str">
        <v>✅</v>
      </c>
      <c r="T128" s="11" t="str">
        <v>✅</v>
      </c>
      <c r="X128" s="11" t="inlineStr">
        <is>
          <r>
            <t>@刘晓帝</t>
          </r>
        </is>
      </c>
    </row>
    <row r="129" spans="1:24">
      <c r="A129" s="11" t="str">
        <v>设置路线偏好</v>
      </c>
      <c r="B129" s="60"/>
      <c r="C129" s="60"/>
      <c r="D129" s="168"/>
      <c r="E129" s="11" t="str">
        <v>少收费道路优先</v>
      </c>
      <c r="F129" s="16" t="str">
        <v>Y</v>
      </c>
      <c r="H129" s="194"/>
      <c r="I129" s="11" t="str">
        <v>导航路线切换</v>
      </c>
      <c r="J129" s="139"/>
      <c r="M129" s="150" t="str">
        <v>✅</v>
      </c>
      <c r="N129" s="150" t="str">
        <v>✅</v>
      </c>
      <c r="P129" s="11" t="str">
        <v>✅</v>
      </c>
      <c r="Q129" s="11" t="str">
        <v>✅</v>
      </c>
      <c r="R129" s="11" t="str">
        <v>✅</v>
      </c>
      <c r="S129" s="11" t="str">
        <v>✅</v>
      </c>
      <c r="T129" s="11" t="str">
        <v>✅</v>
      </c>
      <c r="X129" s="11" t="inlineStr">
        <is>
          <r>
            <t>@刘晓帝</t>
          </r>
        </is>
      </c>
    </row>
    <row r="130" spans="1:24">
      <c r="A130" s="11" t="str">
        <v>设置路线偏好</v>
      </c>
      <c r="B130" s="60"/>
      <c r="C130" s="60"/>
      <c r="D130" s="168"/>
      <c r="E130" s="11" t="str">
        <v>躲避拥堵</v>
      </c>
      <c r="F130" s="16" t="str">
        <v>Y</v>
      </c>
      <c r="H130" s="194"/>
      <c r="I130" s="11" t="str">
        <v>导航路线切换</v>
      </c>
      <c r="J130" s="139"/>
      <c r="M130" s="150" t="str">
        <v>✅</v>
      </c>
      <c r="N130" s="150" t="str">
        <v>✅</v>
      </c>
      <c r="P130" s="11" t="str">
        <v>✅</v>
      </c>
      <c r="Q130" s="11" t="str">
        <v>❌</v>
      </c>
      <c r="R130" s="11" t="str">
        <v>✅</v>
      </c>
      <c r="S130" s="11" t="str">
        <v>✅</v>
      </c>
      <c r="T130" s="11" t="str">
        <v>✅</v>
      </c>
      <c r="W130" s="11" t="str">
        <v>✅</v>
      </c>
      <c r="X130" s="11" t="inlineStr">
        <is>
          <r>
            <t>@刘晓帝</t>
          </r>
        </is>
      </c>
    </row>
    <row r="131" spans="1:24">
      <c r="A131" s="11" t="str">
        <v>设置路线偏好</v>
      </c>
      <c r="B131" s="60"/>
      <c r="C131" s="110"/>
      <c r="D131" s="30"/>
      <c r="E131" s="11" t="str">
        <v>智能推荐的路线</v>
      </c>
      <c r="F131" s="16" t="str">
        <v>Y</v>
      </c>
      <c r="H131" s="194"/>
      <c r="I131" s="11" t="str">
        <v>导航路线切换</v>
      </c>
      <c r="J131" s="139"/>
      <c r="M131" s="150" t="str">
        <v>✅</v>
      </c>
      <c r="N131" s="150" t="str">
        <v>✅</v>
      </c>
      <c r="P131" s="11" t="str">
        <v>✅</v>
      </c>
      <c r="Q131" s="11" t="str">
        <v>✅</v>
      </c>
      <c r="R131" s="11" t="str">
        <v>✅</v>
      </c>
      <c r="S131" s="11" t="str">
        <v>✅</v>
      </c>
      <c r="T131" s="11" t="str">
        <v>✅</v>
      </c>
      <c r="X131" s="11" t="inlineStr">
        <is>
          <r>
            <t>@刘晓帝</t>
          </r>
        </is>
      </c>
    </row>
    <row r="132" spans="1:24">
      <c r="A132" s="11" t="str">
        <v>设置路线偏好</v>
      </c>
      <c r="B132" s="60"/>
      <c r="C132" s="46" t="str">
        <v>打开/关闭避开限行</v>
      </c>
      <c r="D132" s="46" t="str">
        <v>P0</v>
      </c>
      <c r="E132" s="11" t="str">
        <v>打开避开限行</v>
      </c>
      <c r="F132" s="16" t="str">
        <v>Y</v>
      </c>
      <c r="H132" s="194"/>
      <c r="I132" s="11" t="str">
        <v>导航避开限行开关</v>
      </c>
      <c r="J132" s="139"/>
      <c r="M132" s="150" t="str">
        <v>✅</v>
      </c>
      <c r="N132" s="150" t="str">
        <v>✅</v>
      </c>
      <c r="O132" s="11" t="str">
        <v>需要添加车牌号</v>
      </c>
      <c r="P132" s="11" t="str">
        <v>✅</v>
      </c>
      <c r="Q132" s="11" t="str">
        <v>✅</v>
      </c>
      <c r="R132" s="11" t="str">
        <v>✅</v>
      </c>
      <c r="S132" s="11" t="str">
        <v>✅</v>
      </c>
      <c r="T132" s="11" t="str">
        <v>✅</v>
      </c>
      <c r="X132" s="11" t="inlineStr">
        <is>
          <r>
            <t>@刘晓帝</t>
          </r>
        </is>
      </c>
    </row>
    <row r="133" spans="1:24">
      <c r="A133" s="11" t="str">
        <v>设置路线偏好</v>
      </c>
      <c r="B133" s="110"/>
      <c r="C133" s="110"/>
      <c r="D133" s="110"/>
      <c r="E133" s="11" t="str">
        <v>关闭避开限行</v>
      </c>
      <c r="F133" s="16" t="str">
        <v>Y</v>
      </c>
      <c r="H133" s="194"/>
      <c r="I133" s="11" t="str">
        <v>导航避开限行开关</v>
      </c>
      <c r="J133" s="139"/>
      <c r="M133" s="150" t="str">
        <v>✅</v>
      </c>
      <c r="N133" s="150" t="str">
        <v>✅</v>
      </c>
      <c r="P133" s="11" t="str">
        <v>✅</v>
      </c>
      <c r="Q133" s="11" t="str">
        <v>✅</v>
      </c>
      <c r="R133" s="11" t="str">
        <v>✅</v>
      </c>
      <c r="S133" s="11" t="str">
        <v>✅</v>
      </c>
      <c r="T133" s="11" t="str">
        <v>✅</v>
      </c>
      <c r="X133" s="11" t="inlineStr">
        <is>
          <r>
            <t>@刘晓帝</t>
          </r>
        </is>
      </c>
    </row>
    <row r="134" spans="1:24">
      <c r="A134" s="11" t="str">
        <v>获取限号信息</v>
      </c>
      <c r="B134" s="46" t="str">
        <v>获取限号信息</v>
      </c>
      <c r="C134" s="11" t="str">
        <v>自车限行查询</v>
      </c>
      <c r="D134" s="16" t="str">
        <v>P0</v>
      </c>
      <c r="E134" s="67" t="str">
        <v>今天限行么？</v>
      </c>
      <c r="F134" s="16" t="str">
        <v>N</v>
      </c>
      <c r="H134" s="194"/>
      <c r="I134" s="11" t="str">
        <v>Planner承接</v>
      </c>
      <c r="J134" s="139"/>
      <c r="X134" s="11" t="inlineStr">
        <is>
          <r>
            <t>@刘晓帝</t>
          </r>
        </is>
      </c>
    </row>
    <row r="135" spans="1:24">
      <c r="A135" s="11" t="str">
        <v>获取限号信息</v>
      </c>
      <c r="B135" s="110"/>
      <c r="C135" s="11" t="str">
        <v>限行查询</v>
      </c>
      <c r="D135" s="16" t="str">
        <v>P0</v>
      </c>
      <c r="E135" s="67" t="str">
        <v>上海的限行政策。</v>
      </c>
      <c r="F135" s="16" t="str">
        <v>N</v>
      </c>
      <c r="H135" s="190"/>
      <c r="I135" s="11" t="str">
        <v>Planner承接</v>
      </c>
      <c r="J135" s="139"/>
      <c r="X135" s="11" t="inlineStr">
        <is>
          <r>
            <t>@刘晓帝</t>
          </r>
        </is>
      </c>
    </row>
    <row r="136" spans="1:24">
      <c r="A136" s="11" t="str">
        <v>语音查找目的地/途经点天气</v>
      </c>
      <c r="B136" s="46" t="str">
        <v>语音查找目的地/途经点天气</v>
      </c>
      <c r="C136" s="11" t="str">
        <v>语音查找目的地天气</v>
      </c>
      <c r="D136" s="16" t="str">
        <v>P0</v>
      </c>
      <c r="E136" s="67" t="str">
        <v>目的地天气怎么样？</v>
      </c>
      <c r="F136" s="164" t="str">
        <v>地点信息：Y</v>
      </c>
      <c r="G136" s="255" t="str">
        <v>上汽提供目的地/途经点信息，字节根据地点信息查询天气</v>
      </c>
      <c r="H136" s="11" t="str">
        <v>天气模块调研</v>
      </c>
      <c r="I136" s="11" t="str">
        <v>Planner承接</v>
      </c>
      <c r="J136" s="139"/>
      <c r="X136" s="11" t="inlineStr">
        <is>
          <r>
            <t>@刘晓帝</t>
          </r>
        </is>
      </c>
    </row>
    <row r="137" spans="1:24">
      <c r="A137" s="11" t="str">
        <v>语音查找目的地/途经点天气</v>
      </c>
      <c r="B137" s="60"/>
      <c r="C137" s="11" t="str">
        <v>语音查找途经点天气</v>
      </c>
      <c r="D137" s="16" t="str">
        <v>P0</v>
      </c>
      <c r="E137" s="67" t="str">
        <v>途经点天气怎么样？</v>
      </c>
      <c r="F137" s="164" t="str">
        <v>地点信息：Y</v>
      </c>
      <c r="G137" s="270"/>
      <c r="I137" s="11" t="str">
        <v>Planner承接</v>
      </c>
      <c r="J137" s="139"/>
      <c r="X137" s="11" t="inlineStr">
        <is>
          <r>
            <t>@刘晓帝</t>
          </r>
        </is>
      </c>
    </row>
    <row r="138" spans="1:24">
      <c r="A138" s="11" t="str">
        <v>语音查找目的地/途经点天气</v>
      </c>
      <c r="B138" s="110"/>
      <c r="C138" s="11" t="str">
        <v>语音查找指定途经点天气</v>
      </c>
      <c r="D138" s="16" t="str">
        <v>P0</v>
      </c>
      <c r="E138" s="67" t="str">
        <v>第1个途经点天气怎么样？</v>
      </c>
      <c r="F138" s="164" t="str">
        <v>地点信息：Y</v>
      </c>
      <c r="G138" s="256"/>
      <c r="H138" s="11" t="str">
        <v>天气模块调研</v>
      </c>
      <c r="I138" s="11" t="str">
        <v>Planner承接</v>
      </c>
      <c r="J138" s="156"/>
      <c r="X138" s="11" t="inlineStr">
        <is>
          <r>
            <t>@刘晓帝</t>
          </r>
        </is>
      </c>
    </row>
    <row r="139" spans="2:7">
      <c r="B139" s="11" t="str">
        <v>行程规划</v>
      </c>
      <c r="G139" s="164" t="str">
        <v>邹泽文确认sop+1 实施</v>
      </c>
    </row>
  </sheetData>
  <mergeCells count="100">
    <mergeCell ref="B2:B3"/>
    <mergeCell ref="J2:J138"/>
    <mergeCell ref="H2:H135"/>
    <mergeCell ref="B4:B33"/>
    <mergeCell ref="C4:C5"/>
    <mergeCell ref="D4:D5"/>
    <mergeCell ref="C6:C7"/>
    <mergeCell ref="D6:D7"/>
    <mergeCell ref="C8:C15"/>
    <mergeCell ref="D8:D15"/>
    <mergeCell ref="C17:C18"/>
    <mergeCell ref="D17:D18"/>
    <mergeCell ref="C19:C23"/>
    <mergeCell ref="D19:D23"/>
    <mergeCell ref="C24:C26"/>
    <mergeCell ref="D24:D26"/>
    <mergeCell ref="C27:C28"/>
    <mergeCell ref="D27:D28"/>
    <mergeCell ref="C29:C31"/>
    <mergeCell ref="D29:D31"/>
    <mergeCell ref="C32:C33"/>
    <mergeCell ref="D32:D33"/>
    <mergeCell ref="B34:B40"/>
    <mergeCell ref="C35:C36"/>
    <mergeCell ref="D35:D36"/>
    <mergeCell ref="C37:C38"/>
    <mergeCell ref="D37:D38"/>
    <mergeCell ref="C39:C40"/>
    <mergeCell ref="D39:D40"/>
    <mergeCell ref="C41:C42"/>
    <mergeCell ref="B41:B44"/>
    <mergeCell ref="D41:D42"/>
    <mergeCell ref="C43:C44"/>
    <mergeCell ref="D43:D44"/>
    <mergeCell ref="B45:B64"/>
    <mergeCell ref="C46:C47"/>
    <mergeCell ref="D46:D47"/>
    <mergeCell ref="C49:C51"/>
    <mergeCell ref="D49:D51"/>
    <mergeCell ref="C52:C57"/>
    <mergeCell ref="D52:D57"/>
    <mergeCell ref="C59:C61"/>
    <mergeCell ref="D59:D61"/>
    <mergeCell ref="C62:C64"/>
    <mergeCell ref="G62:G64"/>
    <mergeCell ref="D62:D64"/>
    <mergeCell ref="B65:B66"/>
    <mergeCell ref="B68:B69"/>
    <mergeCell ref="G71:G74"/>
    <mergeCell ref="B71:B85"/>
    <mergeCell ref="G75:G81"/>
    <mergeCell ref="D76:D78"/>
    <mergeCell ref="C76:C78"/>
    <mergeCell ref="D79:D81"/>
    <mergeCell ref="C79:C81"/>
    <mergeCell ref="D82:D83"/>
    <mergeCell ref="G82:G83"/>
    <mergeCell ref="C82:C83"/>
    <mergeCell ref="D84:D85"/>
    <mergeCell ref="C84:C85"/>
    <mergeCell ref="B86:B97"/>
    <mergeCell ref="L88:L90"/>
    <mergeCell ref="L96:L97"/>
    <mergeCell ref="D98:D101"/>
    <mergeCell ref="N98:N99"/>
    <mergeCell ref="G98:G101"/>
    <mergeCell ref="C98:C101"/>
    <mergeCell ref="B98:B111"/>
    <mergeCell ref="N100:N101"/>
    <mergeCell ref="C102:C105"/>
    <mergeCell ref="D102:D105"/>
    <mergeCell ref="C106:C108"/>
    <mergeCell ref="D106:D108"/>
    <mergeCell ref="C109:C111"/>
    <mergeCell ref="D109:D111"/>
    <mergeCell ref="B112:B119"/>
    <mergeCell ref="C113:C114"/>
    <mergeCell ref="D113:D114"/>
    <mergeCell ref="C115:C116"/>
    <mergeCell ref="D115:D116"/>
    <mergeCell ref="C118:C119"/>
    <mergeCell ref="G118:G119"/>
    <mergeCell ref="D118:D119"/>
    <mergeCell ref="AB120:AB121"/>
    <mergeCell ref="C120:C121"/>
    <mergeCell ref="B120:B125"/>
    <mergeCell ref="D120:D121"/>
    <mergeCell ref="C122:C123"/>
    <mergeCell ref="G122:G125"/>
    <mergeCell ref="D122:D123"/>
    <mergeCell ref="C124:C125"/>
    <mergeCell ref="D124:D125"/>
    <mergeCell ref="C126:C131"/>
    <mergeCell ref="B126:B133"/>
    <mergeCell ref="D126:D131"/>
    <mergeCell ref="C132:C133"/>
    <mergeCell ref="D132:D133"/>
    <mergeCell ref="B134:B135"/>
    <mergeCell ref="B136:B138"/>
    <mergeCell ref="G136:G138"/>
  </mergeCells>
  <hyperlinks>
    <hyperlink ref="J2" r:id="rId1"/>
  </hyperlinks>
  <pageMargins left="0.7" right="0.7" top="0.75" bottom="0.75" header="0.3" footer="0.3"/>
  <pageSetup orientation="portrait"/>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3" width="30" style="1" customWidth="1"/>
    <col min="4" max="4" width="11.84126966676594" style="1" customWidth="1"/>
    <col min="5" max="5" width="37.857142857142854" style="1" customWidth="1"/>
    <col min="6" max="6" width="15.84126966676594" style="1" customWidth="1"/>
    <col min="7" max="7" width="15" style="1" customWidth="1"/>
    <col min="8" max="8" width="19.285714285714285" style="1" customWidth="1"/>
    <col min="9" max="29" width="15" style="1" customWidth="1"/>
  </cols>
  <sheetData>
    <row r="1" spans="1:22">
      <c r="A1" s="163" t="str">
        <v>功能名称</v>
      </c>
      <c r="B1" s="163" t="str">
        <v>功能名称</v>
      </c>
      <c r="C1" s="163" t="str">
        <v>二级功能名称</v>
      </c>
      <c r="D1" s="163" t="str">
        <v>优先级</v>
      </c>
      <c r="E1" s="163" t="str">
        <v>语音指令示例</v>
      </c>
      <c r="F1" s="163" t="inlineStr">
        <is>
          <r>
            <t>上汽接口是否支持</t>
          </r>
          <r>
            <t>@周怀君</t>
          </r>
        </is>
      </c>
      <c r="G1" s="163" t="inlineStr">
        <is>
          <r>
            <t>实车状态</t>
          </r>
          <r>
            <t>@方令平</t>
          </r>
        </is>
      </c>
      <c r="H1" s="163" t="inlineStr">
        <is>
          <r>
            <t>FC函数</t>
          </r>
          <r>
            <t>@左晨</t>
          </r>
        </is>
      </c>
      <c r="I1" s="163" t="inlineStr">
        <is>
          <r>
            <t xml:space="preserve">控制PRD </t>
          </r>
          <r>
            <t>@左晨</t>
          </r>
        </is>
      </c>
      <c r="J1" s="163" t="inlineStr">
        <is>
          <r>
            <t xml:space="preserve">端状态PRD </t>
          </r>
          <r>
            <t>@陈西钺</t>
          </r>
        </is>
      </c>
      <c r="K1" s="163" t="inlineStr">
        <is>
          <r>
            <t>接口识别</t>
          </r>
          <r>
            <t>@汪帅</t>
          </r>
        </is>
      </c>
      <c r="L1" s="163" t="inlineStr">
        <is>
          <r>
            <t>研发进展</t>
          </r>
          <r>
            <t>@汪帅</t>
          </r>
        </is>
      </c>
      <c r="M1" s="163" t="inlineStr">
        <is>
          <r>
            <t>研发备注</t>
          </r>
          <r>
            <t>@汪帅</t>
          </r>
        </is>
      </c>
      <c r="N1" s="163" t="inlineStr">
        <is>
          <r>
            <t xml:space="preserve">测试用例 </t>
          </r>
          <r>
            <t>@赵晓健</t>
          </r>
        </is>
      </c>
      <c r="O1" s="163" t="inlineStr">
        <is>
          <r>
            <t xml:space="preserve">测试进展 </t>
          </r>
          <r>
            <t>@赵晓健</t>
          </r>
        </is>
      </c>
      <c r="P1" s="163" t="str">
        <v>0427测试结果</v>
      </c>
      <c r="Q1" s="163" t="str">
        <v>测试QA</v>
      </c>
      <c r="R1" s="163" t="inlineStr">
        <is>
          <r>
            <t xml:space="preserve">产品走查进展 </t>
          </r>
          <r>
            <t>@左晨</t>
          </r>
        </is>
      </c>
      <c r="S1" s="163" t="str">
        <v>产品走查备注</v>
      </c>
      <c r="T1" s="165" t="str">
        <v>当前责任方</v>
      </c>
      <c r="U1" s="165" t="str">
        <v>当前责任人</v>
      </c>
      <c r="V1" s="165" t="str">
        <v>问题分类</v>
      </c>
    </row>
    <row r="2" spans="1:17">
      <c r="A2" s="262" t="str">
        <v>支付</v>
      </c>
      <c r="B2" s="313" t="str">
        <v>支付</v>
      </c>
      <c r="C2" s="262" t="str">
        <v>支付功能 - 打开支付宝付款码</v>
      </c>
      <c r="D2" s="262" t="str">
        <v>P1</v>
      </c>
      <c r="E2" s="262" t="str">
        <v>打开支付宝付款码</v>
      </c>
      <c r="F2" s="314">
        <v>4.17</v>
      </c>
      <c r="H2" s="262" t="str">
        <v>付款码开关</v>
      </c>
      <c r="Q2" s="11" t="inlineStr">
        <is>
          <r>
            <t>@刘晓帝</t>
          </r>
        </is>
      </c>
    </row>
    <row r="3" spans="1:17">
      <c r="A3" s="262" t="str">
        <v>支付</v>
      </c>
      <c r="B3" s="315"/>
      <c r="C3" s="262" t="str">
        <v>支付功能 - 打开支付宝扫一扫</v>
      </c>
      <c r="D3" s="262" t="str">
        <v>P1</v>
      </c>
      <c r="E3" s="262" t="str">
        <v>打开支付宝扫一扫</v>
      </c>
      <c r="F3" s="314">
        <v>4.17</v>
      </c>
      <c r="H3" s="316" t="str">
        <v>扫一扫开关</v>
      </c>
      <c r="Q3" s="11" t="inlineStr">
        <is>
          <r>
            <t>@刘晓帝</t>
          </r>
        </is>
      </c>
    </row>
    <row r="4" spans="1:17">
      <c r="A4" s="262" t="str">
        <v>支付</v>
      </c>
      <c r="B4" s="315"/>
      <c r="C4" s="262" t="str">
        <v>支付功能 - 打开微信付款码</v>
      </c>
      <c r="D4" s="262" t="str">
        <v>P1</v>
      </c>
      <c r="E4" s="262" t="str">
        <v>打开微信付款码</v>
      </c>
      <c r="F4" s="314">
        <v>4.17</v>
      </c>
      <c r="H4" s="262" t="str">
        <v>付款码开关</v>
      </c>
      <c r="Q4" s="11" t="inlineStr">
        <is>
          <r>
            <t>@刘晓帝</t>
          </r>
        </is>
      </c>
    </row>
    <row r="5" spans="1:17">
      <c r="A5" s="262" t="str">
        <v>支付</v>
      </c>
      <c r="B5" s="317"/>
      <c r="C5" s="262" t="str">
        <v>支付功能 - 打开微信扫一扫</v>
      </c>
      <c r="D5" s="262" t="str">
        <v>P1</v>
      </c>
      <c r="E5" s="262" t="str">
        <v>打开微信扫一扫</v>
      </c>
      <c r="F5" s="314">
        <v>4.17</v>
      </c>
      <c r="H5" s="316" t="str">
        <v>扫一扫开关</v>
      </c>
      <c r="Q5" s="11" t="inlineStr">
        <is>
          <r>
            <t>@刘晓帝</t>
          </r>
        </is>
      </c>
    </row>
    <row r="6" spans="1:17">
      <c r="A6" s="196" t="str">
        <v>日历</v>
      </c>
      <c r="B6" s="196" t="str">
        <v>日历</v>
      </c>
      <c r="C6" s="196" t="str">
        <v>待定</v>
      </c>
      <c r="D6" s="196" t="str">
        <v>P1</v>
      </c>
      <c r="E6" s="196" t="str">
        <v>待定</v>
      </c>
      <c r="F6" s="196" t="str">
        <v>❌</v>
      </c>
      <c r="G6" s="196" t="str">
        <v>❌</v>
      </c>
      <c r="H6" s="196" t="str">
        <v>待定</v>
      </c>
      <c r="K6" s="92" t="str">
        <v>CarLinkService-debug.apk
语音控制日历的apk，接口sdk和文档还是之前的不需要更新《is4pr语音控制生态域方案-20260313-1015.docx》</v>
      </c>
      <c r="Q6" s="11" t="inlineStr">
        <is>
          <r>
            <t>@刘晓帝</t>
          </r>
        </is>
      </c>
    </row>
    <row r="7" spans="1:17">
      <c r="A7" s="262" t="str">
        <v>小红书</v>
      </c>
      <c r="B7" s="313" t="str">
        <v>小红书</v>
      </c>
      <c r="C7" s="262" t="str">
        <v>搜索功能 - 打开小红书的搜索功能（未指定搜索内容）</v>
      </c>
      <c r="D7" s="262" t="str">
        <v>P1</v>
      </c>
      <c r="E7" s="262" t="str">
        <v>打开小红书搜索；打开小红书搜一搜</v>
      </c>
      <c r="F7" s="314">
        <v>4.17</v>
      </c>
      <c r="H7" s="318" t="str">
        <v>小红书搜索</v>
      </c>
      <c r="Q7" s="11" t="inlineStr">
        <is>
          <r>
            <t>@刘晓帝</t>
          </r>
        </is>
      </c>
    </row>
    <row r="8" spans="1:17">
      <c r="A8" s="262" t="str">
        <v>小红书</v>
      </c>
      <c r="B8" s="317"/>
      <c r="C8" s="262" t="str">
        <v>搜索功能 - 打开小红书搜索具体内容</v>
      </c>
      <c r="D8" s="262" t="str">
        <v>P1</v>
      </c>
      <c r="E8" s="262" t="str">
        <v>打开小红书搜索不用的纸做的小手工；打开小红书搜索土豆泥火鸡面</v>
      </c>
      <c r="F8" s="314">
        <v>4.17</v>
      </c>
      <c r="H8" s="319"/>
      <c r="Q8" s="11" t="inlineStr">
        <is>
          <r>
            <t>@刘晓帝</t>
          </r>
        </is>
      </c>
    </row>
    <row r="9" spans="1:17">
      <c r="A9" s="262" t="str">
        <v>点外卖</v>
      </c>
      <c r="B9" s="313" t="str">
        <v>点外卖</v>
      </c>
      <c r="C9" s="262" t="str">
        <v>点外卖功能 - 点外卖</v>
      </c>
      <c r="D9" s="262" t="str">
        <v>P1</v>
      </c>
      <c r="E9" s="262" t="str">
        <v>给我点份汉堡；帮我在美团点个外卖；帮我在美团上点一杯奶茶</v>
      </c>
      <c r="F9" s="314">
        <v>4.17</v>
      </c>
      <c r="H9" s="320" t="str">
        <v>FC不支持</v>
      </c>
      <c r="Q9" s="11" t="inlineStr">
        <is>
          <r>
            <t>@刘晓帝</t>
          </r>
        </is>
      </c>
    </row>
    <row r="10" spans="1:17">
      <c r="A10" s="262" t="str">
        <v>点外卖</v>
      </c>
      <c r="B10" s="317"/>
      <c r="C10" s="262" t="str">
        <v>点外卖功能 - 历史外卖下单</v>
      </c>
      <c r="D10" s="262" t="str">
        <v>P1</v>
      </c>
      <c r="E10" s="262" t="str">
        <v>美团外卖再来一单；帮我点一下上一单外卖；帮我点上一次的外卖订单</v>
      </c>
      <c r="F10" s="314">
        <v>4.17</v>
      </c>
      <c r="H10" s="320" t="str">
        <v>FC不支持</v>
      </c>
      <c r="O10" s="11" t="str">
        <v> </v>
      </c>
      <c r="Q10" s="11" t="inlineStr">
        <is>
          <r>
            <t>@刘晓帝</t>
          </r>
        </is>
      </c>
    </row>
    <row r="11" spans="2:11">
      <c r="B11" s="2" t="str">
        <v>通用手车互联</v>
      </c>
      <c r="C11" s="2" t="str">
        <v>用手机+xxxx指令</v>
      </c>
      <c r="H11" s="2" t="str">
        <v>待定（工具名称）</v>
      </c>
      <c r="K11" s="2" t="str">
        <v>怀君确认都已提供</v>
      </c>
    </row>
    <row r="12" spans="11:11">
      <c r="K12" s="2" t="str">
        <v>需要字节产品拆解完成才能排开发</v>
      </c>
    </row>
  </sheetData>
  <mergeCells count="4">
    <mergeCell ref="B2:B5"/>
    <mergeCell ref="H7:H8"/>
    <mergeCell ref="B7:B8"/>
    <mergeCell ref="B9:B10"/>
  </mergeCells>
  <hyperlinks>
    <hyperlink ref="K6" r:id="rId1"/>
  </hyperlink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3" width="27.92063474823348" style="1" customWidth="1"/>
    <col min="4" max="4" width="27.857142857142858" style="1" customWidth="1"/>
    <col min="5" max="5" width="57.777777605376336" style="1" customWidth="1"/>
    <col min="6" max="8" width="36.714285714285715" style="1" customWidth="1"/>
    <col min="9" max="10" width="44.34920617680489" style="1" customWidth="1"/>
    <col min="11" max="22" width="15" style="1" customWidth="1"/>
    <col min="23" max="24" width="27.10318580663982" style="1" customWidth="1"/>
    <col min="25" max="32" width="15" style="1" customWidth="1"/>
  </cols>
  <sheetData>
    <row r="1" spans="1:26">
      <c r="A1" s="163" t="str">
        <v>功能名称</v>
      </c>
      <c r="B1" s="163" t="str">
        <v>功能名称</v>
      </c>
      <c r="C1" s="163" t="str">
        <v>二级功能名称</v>
      </c>
      <c r="D1" s="163" t="str">
        <v>优先级</v>
      </c>
      <c r="E1" s="163" t="str">
        <v>语音指令示例</v>
      </c>
      <c r="F1" s="163" t="inlineStr">
        <is>
          <r>
            <t>上汽接口是否支持</t>
          </r>
          <r>
            <t>@周怀君</t>
          </r>
        </is>
      </c>
      <c r="G1" s="163" t="str">
        <v>上汽排期</v>
      </c>
      <c r="H1" s="163" t="str">
        <v>PRD</v>
      </c>
      <c r="I1" s="163" t="inlineStr">
        <is>
          <r>
            <t>FC函数</t>
          </r>
          <r>
            <t>@左晨</t>
          </r>
        </is>
      </c>
      <c r="J1" s="163" t="inlineStr">
        <is>
          <r>
            <t>接口识别</t>
          </r>
          <r>
            <t>@汪帅</t>
          </r>
        </is>
      </c>
      <c r="K1" s="163" t="inlineStr">
        <is>
          <r>
            <t>字节研发进展</t>
          </r>
          <r>
            <t>@汪帅</t>
          </r>
        </is>
      </c>
      <c r="L1" s="163" t="inlineStr">
        <is>
          <r>
            <t>研发备注</t>
          </r>
          <r>
            <t>@汪帅</t>
          </r>
        </is>
      </c>
      <c r="M1" s="163" t="inlineStr">
        <is>
          <r>
            <t xml:space="preserve">测试用例 </t>
          </r>
          <r>
            <t>@赵晓健</t>
          </r>
        </is>
      </c>
      <c r="N1" s="163" t="inlineStr">
        <is>
          <r>
            <t xml:space="preserve">测试进展 </t>
          </r>
          <r>
            <t>@赵晓健</t>
          </r>
        </is>
      </c>
      <c r="O1" s="163" t="str">
        <v>0519测试结果</v>
      </c>
      <c r="P1" s="163" t="str">
        <v>0605测试结果</v>
      </c>
      <c r="Q1" s="163" t="str">
        <v>0612测试结果</v>
      </c>
      <c r="R1" s="163" t="str">
        <v>0627测试结果</v>
      </c>
      <c r="S1" s="163" t="str">
        <v>0717测试结果</v>
      </c>
      <c r="T1" s="163" t="str">
        <v>测试QA</v>
      </c>
      <c r="U1" s="163" t="inlineStr">
        <is>
          <r>
            <t xml:space="preserve">产品走查进展 </t>
          </r>
          <r>
            <t>@左晨</t>
          </r>
        </is>
      </c>
      <c r="V1" s="163" t="str">
        <v>产品走查备注</v>
      </c>
      <c r="X1" s="165" t="str">
        <v>当前责任方</v>
      </c>
      <c r="Y1" s="165" t="str">
        <v>当前责任人</v>
      </c>
      <c r="Z1" s="165" t="str">
        <v>问题分类</v>
      </c>
    </row>
    <row r="2" spans="1:24">
      <c r="A2" s="11" t="str">
        <v>应用控制</v>
      </c>
      <c r="B2" s="46" t="str">
        <v>应用控制</v>
      </c>
      <c r="C2" s="11" t="str">
        <v>打开关闭具体应用</v>
      </c>
      <c r="D2" s="11" t="str">
        <v>P0</v>
      </c>
      <c r="E2" s="16" t="str">
        <v>打开地图
【应用名称：USB视频、趣味车外喇叭、相机、相册、演示厅、设置、高德地图、QQ音乐、酷我音乐、喜马拉雅、U盘音乐、蓝牙音乐、情景空间、场景大师、收音机、ROEWE PILOT、腾讯视频、能量管理、蓝牙电话、360、行车影像、应用市场、主题皮肤、个人中心、生态互联、视频投屏】</v>
      </c>
      <c r="F2" s="92" t="str">
        <v>Y 附件：语音打开应用</v>
      </c>
      <c r="G2" s="11" t="str">
        <v>系统原生能力（包名在zxd上可以查到）--已支持
备注：媒体中心需要搜集包名和调用方法（QQ音乐、酷我音乐等）-- 4/30
</v>
      </c>
      <c r="H2" s="61" t="str">
        <v>
【通用】Vehicle_Platform1.0_IS4PR_Yu_Yin_Kong_Zhi_Yu_Yin_Kong_Zhi_Tong_Yong_Mo_Kuai__PRD.pdf</v>
      </c>
      <c r="I2" s="11" t="str">
        <v>指定应用开关</v>
      </c>
      <c r="J2" s="11" t="str">
        <v>✅</v>
      </c>
      <c r="K2" s="11" t="str">
        <v>✅</v>
      </c>
      <c r="N2" s="11" t="str">
        <v>❌</v>
      </c>
      <c r="O2" s="11" t="str">
        <v>❌</v>
      </c>
      <c r="P2" s="11" t="str">
        <v>❌</v>
      </c>
      <c r="Q2" s="11" t="str">
        <v>❌</v>
      </c>
      <c r="R2" s="11" t="str">
        <v>❌</v>
      </c>
      <c r="S2" s="11" t="str">
        <v>❌</v>
      </c>
      <c r="T2" s="11" t="inlineStr">
        <is>
          <r>
            <t>@郑永超</t>
          </r>
        </is>
      </c>
      <c r="W2" s="17" t="str">
        <v>20260716160804A21F9679032FF48A6DBE
202607161610110F1DB23626FED3B08AE0202607161626014B85922E5C64BDB69ACF
20260716162832393F5EA7E88F22A44FA0
20260716163016C28D050EFC3F0D841014
20260716163135F80B9F31A317228245F5
20260716163247485AFC72A5F08A6721CE
20260716163351F63377D9939D0A804862
20260716163421DDD44AD2B3801C91194E
202607161636583630E7882114FD1BF454</v>
      </c>
      <c r="X2" s="11" t="str">
        <v>蓝牙电话打开失败
收音机打开失败
腾讯视频打开失败
关闭影像记录失败
应用市场打开失败
打开主题皮肤失败
打开生态互联失败
打开有线投屏失败
打开U盘视频
打开相机失败</v>
      </c>
    </row>
    <row r="3" spans="1:20">
      <c r="A3" s="11" t="str">
        <v>应用控制</v>
      </c>
      <c r="B3" s="110"/>
      <c r="C3" s="11" t="str">
        <v>打开关闭指定屏幕的应用</v>
      </c>
      <c r="D3" s="11" t="str">
        <v>P0</v>
      </c>
      <c r="E3" s="16" t="str">
        <v>关于中控屏的地图
【应用名称：USB视频、趣味车外喇叭、相机、相册、演示厅、设置、高德地图、QQ音乐、喜马拉雅、U盘音乐、蓝牙音乐、情景空间、场景大师、收音机、ROEWE PILOT、腾讯视频、能量管理、蓝牙电话、360、行车影像、应用市场、主题皮肤、个人中心、生态互联、视频投屏、网易云音乐、酷狗音乐、汽水音乐、最美天气、应用宝车载版、地图导航、】
【屏幕：中控屏、副驾屏、尾端屏/后排屏/吸顶屏】</v>
      </c>
      <c r="F3" s="11" t="str">
        <v>Y</v>
      </c>
      <c r="G3" s="11" t="str">
        <v>打开：系统原生能力（搜集包名）--4/30
关闭：系统原生能力（拉桌面）--已支持</v>
      </c>
      <c r="H3" s="156"/>
      <c r="I3" s="217" t="str">
        <v>指定应用开关</v>
      </c>
      <c r="J3" s="11" t="str">
        <v>✅</v>
      </c>
      <c r="K3" s="11" t="str">
        <v>✅</v>
      </c>
      <c r="N3" s="11" t="str">
        <v>❌</v>
      </c>
      <c r="O3" s="11" t="str">
        <v>❌</v>
      </c>
      <c r="P3" s="11" t="str">
        <v>❌</v>
      </c>
      <c r="Q3" s="11" t="str">
        <v>❌</v>
      </c>
      <c r="R3" s="11" t="str">
        <v>❌</v>
      </c>
      <c r="S3" s="11" t="str">
        <v>❌</v>
      </c>
      <c r="T3" s="11" t="inlineStr">
        <is>
          <r>
            <t>@郑永超</t>
          </r>
        </is>
      </c>
    </row>
    <row r="4" spans="1:20">
      <c r="A4" s="11" t="str">
        <v>页面控制</v>
      </c>
      <c r="B4" s="11" t="str">
        <v>页面控制</v>
      </c>
      <c r="C4" s="11" t="str">
        <v>打开/关闭具体页面</v>
      </c>
      <c r="D4" s="11" t="str">
        <v>P0</v>
      </c>
      <c r="E4" s="11" t="str">
        <v>打开/关闭+显示页面
页面支持范围【智能语音、蓝牙、网络、热点、声音、音效、显示、音量、连接、安全、我的爱车、灯光、车辆、辅助驾驶、驾驶体验、通用、驾驶模式、制动控制】
</v>
      </c>
      <c r="F4" s="92" t="str">
        <v>Y 附件：语音控制页面</v>
      </c>
      <c r="G4" s="11" t="str">
        <v>部分已支持--2026/4/30
打开页面-2026/5/8
待产品明确关闭页面的方案：是否直接关闭应用（拉桌面）?</v>
      </c>
      <c r="H4" s="92" t="str">
        <v>Vehicle_Platform1.0_IS4PR_Yu_Yin_Kong_Zhi_IS4PR_Yu_Yin_Kong_Zhi_Ye_Mian__PRD.pdf </v>
      </c>
      <c r="I4" s="11" t="inlineStr">
        <is>
          <r>
            <t xml:space="preserve">语音设置页面【智能语音】
</t>
          </r>
          <r>
            <t xml:space="preserve">蓝牙设置页面【蓝牙】
</t>
          </r>
          <r>
            <t xml:space="preserve">移动网络设置页面【网络】
</t>
          </r>
          <r>
            <t xml:space="preserve">热点设置页面【热点】
</t>
          </r>
          <r>
            <t xml:space="preserve">声音设置页面【声音】
</t>
          </r>
          <r>
            <t xml:space="preserve">音效设置页面【音效】
</t>
          </r>
          <r>
            <t xml:space="preserve">屏幕显示设置页面【显示】
</t>
          </r>
          <r>
            <t xml:space="preserve">连接设置页面【连接】
</t>
          </r>
          <r>
            <t xml:space="preserve">车灯设置页面【灯光】
</t>
          </r>
          <r>
            <t xml:space="preserve">车辆设置页面开关【车辆】
</t>
          </r>
          <r>
            <t xml:space="preserve">驾驶设置页面【驾驶模式】
</t>
          </r>
          <r>
            <t xml:space="preserve">
</t>
          </r>
          <r>
            <t xml:space="preserve">
</t>
          </r>
          <r>
            <t>部分FC不支持</t>
          </r>
          <r>
            <t>@廖婉婷</t>
          </r>
          <r>
            <t xml:space="preserve">-音量，安全，我的爱车，辅助驾驶，通用，驾驶体验，制动控制
</t>
          </r>
          <r>
            <t xml:space="preserve">音量设置页面【音量】
</t>
          </r>
          <r>
            <t xml:space="preserve">特殊设置页面（page=安全）【安全】
</t>
          </r>
          <r>
            <t xml:space="preserve">特殊设置页面（page=我的爱车）【我的爱车】
</t>
          </r>
          <r>
            <t xml:space="preserve">驾驶设置页面（page=辅助驾驶）【辅助驾驶】
</t>
          </r>
          <r>
            <t xml:space="preserve">特殊设置页面（page=通用）【通用】
</t>
          </r>
          <r>
            <t xml:space="preserve">驾驶设置页面（page=驾驶体验）【驾驶体验】
</t>
          </r>
          <r>
            <t xml:space="preserve">驾驶设置页面（page=驾驶模式）【驾驶模式】
</t>
          </r>
          <r>
            <t>特殊设置页面（page=制动控制）【制动控制】</t>
          </r>
        </is>
      </c>
      <c r="J4" s="11" t="str">
        <v>✅</v>
      </c>
      <c r="K4" s="11" t="str">
        <v>✅</v>
      </c>
      <c r="N4" s="11" t="str">
        <v>✅</v>
      </c>
      <c r="R4" s="11" t="str">
        <v>✅</v>
      </c>
      <c r="S4" s="11" t="str">
        <v>✅</v>
      </c>
      <c r="T4" s="11" t="inlineStr">
        <is>
          <r>
            <t>@郑永超</t>
          </r>
        </is>
      </c>
    </row>
    <row r="5" ht="46" customHeight="1" spans="1:9">
      <c r="A5" s="11" t="str">
        <v>退出语音</v>
      </c>
      <c r="B5" s="11" t="str">
        <v>退出语音</v>
      </c>
      <c r="C5" s="11" t="str">
        <v>退出语音</v>
      </c>
      <c r="D5" s="11" t="str">
        <v>P0</v>
      </c>
      <c r="E5" s="11" t="str">
        <v>退出语音，退出豆包，退下豆包</v>
      </c>
      <c r="H5" s="11"/>
      <c r="I5" s="11" t="str">
        <v>退出语音</v>
      </c>
    </row>
  </sheetData>
  <mergeCells count="2">
    <mergeCell ref="H2:H3"/>
    <mergeCell ref="B2:B3"/>
  </mergeCells>
  <hyperlinks>
    <hyperlink ref="F2" r:id="rId1"/>
    <hyperlink ref="H2" r:id="rId2"/>
    <hyperlink ref="F4" r:id="rId3"/>
    <hyperlink ref="H4" r:id="rId4"/>
  </hyperlinks>
  <pageMargins left="0.7" right="0.7" top="0.75" bottom="0.75" header="0.3" footer="0.3"/>
  <pageSetup orientation="portrait"/>
  <drawing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81.28571428571429" style="1" customWidth="1"/>
    <col min="2" max="20" width="15" style="1" customWidth="1"/>
  </cols>
  <sheetData>
    <row r="1" spans="1:1">
      <c r="A1" s="59" t="str">
        <v>DNA1.0-车控功能-0429变更版本 </v>
      </c>
    </row>
  </sheetData>
  <hyperlinks>
    <hyperlink ref="A1" r:id="rId1"/>
  </hyperlink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40.857142857142854" style="1" customWidth="1"/>
    <col min="2" max="20" width="15" style="1" customWidth="1"/>
  </cols>
  <sheetData>
    <row r="1" spans="1:1">
      <c r="A1" s="59" t="str">
        <v>DNA-车控工具返回及NLG话术文档 </v>
      </c>
    </row>
  </sheetData>
  <hyperlinks>
    <hyperlink ref="A1" r:id="rId1"/>
  </hyperlink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4" width="91.57142857142857" style="1" customWidth="1"/>
    <col min="5" max="19" width="15" style="1" customWidth="1"/>
  </cols>
  <sheetData>
    <row r="1" spans="1:6">
      <c r="A1" s="3" t="str">
        <v>No.</v>
      </c>
      <c r="B1" s="3" t="str">
        <v>应用名称</v>
      </c>
      <c r="C1" s="3" t="str">
        <v>包名</v>
      </c>
      <c r="D1" s="3" t="str">
        <v>打开指令</v>
      </c>
      <c r="E1" s="3" t="str">
        <v>备注</v>
      </c>
      <c r="F1" s="2" t="str">
        <v>后排打开指令</v>
      </c>
    </row>
    <row r="2" spans="1:4">
      <c r="A2" s="3">
        <v>1</v>
      </c>
      <c r="B2" s="3" t="str">
        <v>USB视频</v>
      </c>
      <c r="C2" s="3" t="str">
        <v>com.zone.hmi.usbvideo</v>
      </c>
      <c r="D2" s="3" t="str">
        <v>adb shell am start com.zone.hmi.usbvideo/com.zone.hmi.usbvideo.view.main.UsbVideoMainActivity</v>
      </c>
    </row>
    <row r="3" spans="1:4">
      <c r="A3" s="3">
        <v>2</v>
      </c>
      <c r="B3" s="3" t="str">
        <v>趣味车外喇叭</v>
      </c>
      <c r="C3" s="3" t="str">
        <v>com.zone.service.carvoice</v>
      </c>
      <c r="D3" s="3" t="str">
        <v>adb shell am start com.zone.service.carvoice/com.zone.service.carvoice.MainActivity</v>
      </c>
    </row>
    <row r="4" spans="1:4">
      <c r="A4" s="3">
        <v>3</v>
      </c>
      <c r="B4" s="3" t="str">
        <v>相机</v>
      </c>
      <c r="C4" s="3" t="str">
        <v>com.zone.hmi.carlog</v>
      </c>
      <c r="D4" s="3" t="str">
        <v>adb shell am start com.zone.hmi.carlog/com.zone.hmi.carlog.CarLogCameraActivity</v>
      </c>
    </row>
    <row r="5" spans="1:4">
      <c r="A5" s="3">
        <v>4</v>
      </c>
      <c r="B5" s="3" t="str">
        <v>相册</v>
      </c>
      <c r="C5" s="3" t="str">
        <v>com.zone.hmi.photoalbum</v>
      </c>
      <c r="D5" s="3" t="str">
        <v>adb shell am start com.zone.hmi.photoalbum/com.zone.hmi.photoalbum.PhotoAlbumActivity</v>
      </c>
    </row>
    <row r="6" spans="1:4">
      <c r="A6" s="3">
        <v>5</v>
      </c>
      <c r="B6" s="3" t="str">
        <v>演示厅</v>
      </c>
      <c r="C6" s="3" t="str">
        <v>com.zone.hmi.showroom</v>
      </c>
      <c r="D6" s="3" t="str">
        <v>adb shell am start com.zone.hmi.showroom/com.zone.hmi.showroom.MainActivity</v>
      </c>
    </row>
    <row r="7" spans="1:4">
      <c r="A7" s="3">
        <v>6</v>
      </c>
      <c r="B7" s="3" t="str">
        <v>设置</v>
      </c>
      <c r="C7" s="3" t="str">
        <v>com.zone.hmi.settings</v>
      </c>
      <c r="D7" s="3" t="str">
        <v>adb shell am start com.zone.hmi.settings/com.zone.hmi.settings.ui.MainFragmentActivity</v>
      </c>
    </row>
    <row r="8" spans="1:4">
      <c r="A8" s="3">
        <v>7</v>
      </c>
      <c r="B8" s="3" t="str">
        <v>高德地图</v>
      </c>
      <c r="C8" s="3" t="str">
        <v>com.zone.service.naviservice</v>
      </c>
      <c r="D8" s="3" t="str">
        <v>adb shell am start com.zone.service.naviservice/com.autonavi.amapauto.activity.StartupActivity</v>
      </c>
    </row>
    <row r="9" spans="1:6">
      <c r="A9" s="321">
        <v>8</v>
      </c>
      <c r="B9" s="6" t="str">
        <v>QQ音乐</v>
      </c>
      <c r="C9" s="6" t="str">
        <v>com.zone.hmi.multimedia</v>
      </c>
      <c r="D9" s="6" t="str">
        <v>adb shell am start -n com.zone.hmi.multimedia/.MainActivity --ei objectMedia 8</v>
      </c>
      <c r="F9" s="322" t="str">
        <v>adb shell am start -n com.zone.hmi.backmultimedia/.MainActivity --ei objectMedia 8 --user 11 --display 2</v>
      </c>
    </row>
    <row r="10" spans="1:6">
      <c r="A10" s="321">
        <v>9</v>
      </c>
      <c r="B10" s="6" t="str">
        <v>酷我音乐</v>
      </c>
      <c r="C10" s="6" t="str">
        <v>com.zone.hmi.multimedia</v>
      </c>
      <c r="D10" s="6" t="str">
        <v>adb shell am start -n com.zone.hmi.multimedia/.MainActivity --ei objectMedia 4</v>
      </c>
      <c r="F10" s="322" t="str">
        <v>adb shell am start -n com.zone.hmi.backmultimedia/.MainActivity --ei objectMedia 4 --user 11 --display 2</v>
      </c>
    </row>
    <row r="11" spans="1:6">
      <c r="A11" s="321">
        <v>10</v>
      </c>
      <c r="B11" s="6" t="str">
        <v>喜马拉雅</v>
      </c>
      <c r="C11" s="6" t="str">
        <v>com.ximalaya.ting.android.car</v>
      </c>
      <c r="D11" s="6" t="str">
        <v>adb shell am start com.ximalaya.ting.android.car/com.ximalaya.ting.app.ui.splash.SplashActivity</v>
      </c>
      <c r="F11" s="322" t="str">
        <v>adb shell am start -n com.ximalaya.ting.android.car/com.ximalaya.ting.app.ui.splash.SplashActivity --user 11 --display 2</v>
      </c>
    </row>
    <row r="12" spans="1:4">
      <c r="A12" s="3">
        <v>11</v>
      </c>
      <c r="B12" s="3" t="str">
        <v>U盘音乐</v>
      </c>
      <c r="C12" s="3" t="str">
        <v>com.zone.hmi.multimedia</v>
      </c>
      <c r="D12" s="3" t="str">
        <v>adb shell am start -n com.zone.hmi.multimedia/.MainActivity --ei objectMedia 2</v>
      </c>
    </row>
    <row r="13" spans="1:4">
      <c r="A13" s="3">
        <v>12</v>
      </c>
      <c r="B13" s="3" t="str">
        <v>蓝牙音乐</v>
      </c>
      <c r="C13" s="3" t="str">
        <v>com.zone.hmi.multimedia</v>
      </c>
      <c r="D13" s="3" t="str">
        <v>adb shell am start -n com.zone.hmi.multimedia/.MainActivity --ei objectMedia 1</v>
      </c>
    </row>
    <row r="14" spans="1:4">
      <c r="A14" s="3">
        <v>13</v>
      </c>
      <c r="B14" s="3" t="str">
        <v>情景空间</v>
      </c>
      <c r="C14" s="3" t="str">
        <v>com.zone.hmi.smartscene</v>
      </c>
      <c r="D14" s="3" t="str">
        <v>adb shell am start com.zone.hmi.smartscene/com.zone.hmi.smartscene.view.MainActivity</v>
      </c>
    </row>
    <row r="15" spans="1:4">
      <c r="A15" s="3">
        <v>14</v>
      </c>
      <c r="B15" s="3" t="str">
        <v>场景大师</v>
      </c>
      <c r="C15" s="3" t="str">
        <v>com.zone.hmi.scenemaster</v>
      </c>
      <c r="D15" s="3" t="str">
        <v>adb shell am start com.zone.hmi.scenemaster/com.zone.hmi.scenemaster.view.MainActivity</v>
      </c>
    </row>
    <row r="16" spans="1:4">
      <c r="A16" s="3">
        <v>15</v>
      </c>
      <c r="B16" s="3" t="str">
        <v>收音机</v>
      </c>
      <c r="C16" s="3" t="str">
        <v>com.zone.hmi.multimedia</v>
      </c>
      <c r="D16" s="3" t="str">
        <v>adb shell am start -n com.zone.hmi.multimedia/.MainActivity --ei objectMedia 3</v>
      </c>
    </row>
    <row r="17" spans="1:5">
      <c r="A17" s="3">
        <v>16</v>
      </c>
      <c r="B17" s="3" t="str">
        <v>ROEWE PILOT</v>
      </c>
      <c r="C17" s="3" t="str">
        <v>com.zone.hmi.pilotview</v>
      </c>
      <c r="D17" s="3" t="str">
        <v>adb shell am start com.zone.hmi.pilotview/.Main</v>
      </c>
      <c r="E17" s="3" t="str">
        <v>需要有智驾配置字，L2++才有</v>
      </c>
    </row>
    <row r="18" spans="1:6">
      <c r="A18" s="321">
        <v>17</v>
      </c>
      <c r="B18" s="6" t="str">
        <v>腾讯视频</v>
      </c>
      <c r="C18" s="6" t="str">
        <v>com.tencent.qqlive.audiobox</v>
      </c>
      <c r="D18" s="6" t="str">
        <v>adb shell am start com.tencent.qqlive.audiobox/com.tencent.qqliveaudiobox.activity.MainActivity</v>
      </c>
      <c r="F18" s="322" t="str">
        <v>adb shell am start -n com.tencent.qqlive.audiobox/com.tencent.qqliveaudiobox.activity.MainActivity --user 11 --display 2</v>
      </c>
    </row>
    <row r="19" spans="1:4">
      <c r="A19" s="3">
        <v>18</v>
      </c>
      <c r="B19" s="3" t="str">
        <v>能量管理</v>
      </c>
      <c r="C19" s="3" t="str">
        <v>com.zone.hmi.vehicleenergy</v>
      </c>
      <c r="D19" s="3" t="str">
        <v>adb shell am start com.zone.hmi.vehicleenergy/com.zone.hmi.vehicleenergy.MainActivity</v>
      </c>
    </row>
    <row r="20" spans="1:4">
      <c r="A20" s="3">
        <v>19</v>
      </c>
      <c r="B20" s="3" t="str">
        <v>蓝牙电话</v>
      </c>
      <c r="C20" s="3" t="str">
        <v>com.zone.hmi.btphone</v>
      </c>
      <c r="D20" s="3" t="str">
        <v>adb shell am start com.zone.hmi.btphone/com.zone.hmi.btphone.BtPhoneMainActivity</v>
      </c>
    </row>
    <row r="21" spans="1:5">
      <c r="A21" s="3">
        <v>20</v>
      </c>
      <c r="B21" s="4">
        <v>360</v>
      </c>
      <c r="C21" s="3" t="str">
        <v>非android app</v>
      </c>
      <c r="D21" s="3" t="str">
        <v>初始化
AvmManager avmManager = AvmManager.getInstance();
avmManager.init(context);
使用
avmManager.setAvmViewStatus(source, status)
//语音的source是com.zone.api.avm.type.SourceID#ID_SPEECH，打开360的status是com.zone.api.avm.type.Avm#AVM_OPEN</v>
      </c>
      <c r="E21" s="3" t="str">
        <v>非android app</v>
      </c>
    </row>
    <row r="22" spans="1:4">
      <c r="A22" s="3">
        <v>21</v>
      </c>
      <c r="B22" s="3" t="str">
        <v>行车影像</v>
      </c>
      <c r="C22" s="3" t="str">
        <v>com.zone.hmi.dvr</v>
      </c>
      <c r="D22" s="3" t="str">
        <v>adb shell am start com.zone.hmi.dvr/com.zone.hmi.dvr.DvrActivity</v>
      </c>
    </row>
    <row r="23" spans="1:6">
      <c r="A23" s="321">
        <v>22</v>
      </c>
      <c r="B23" s="6" t="str">
        <v>应用市场</v>
      </c>
      <c r="C23" s="6" t="str">
        <v>com.zone.hmi.appstore</v>
      </c>
      <c r="D23" s="6" t="str">
        <v>adb shell am start com.zone.hmi.appstore/com.zone.hmi.appstore.AppStoreActivity</v>
      </c>
      <c r="F23" s="322" t="str">
        <v>adb shell am start -n com.zone.hmi.appstore/com.zone.hmi.appstore.AppStoreActivity --user 11 --display 2</v>
      </c>
    </row>
    <row r="24" spans="1:4">
      <c r="A24" s="3">
        <v>23</v>
      </c>
      <c r="B24" s="3" t="str">
        <v>主题皮肤</v>
      </c>
      <c r="C24" s="3" t="str">
        <v>com.zone.hmi.themecenter</v>
      </c>
      <c r="D24" s="3" t="str">
        <v>adb shell am start com.zone.hmi.themecenter/com.zone.hmi.themecenter.feature.presentation.MyWallpapersActivity</v>
      </c>
    </row>
    <row r="25" spans="1:4">
      <c r="A25" s="3">
        <v>24</v>
      </c>
      <c r="B25" s="3" t="str">
        <v>个人中心</v>
      </c>
      <c r="C25" s="3" t="str">
        <v>com.zone.hmi.account</v>
      </c>
      <c r="D25" s="3" t="str">
        <v>adb shell am start com.zone.hmi.account/com.zone.hmi.account.MainActivity</v>
      </c>
    </row>
    <row r="26" spans="1:4">
      <c r="A26" s="3">
        <v>25</v>
      </c>
      <c r="B26" s="3" t="str">
        <v>生态互联</v>
      </c>
      <c r="C26" s="3" t="str">
        <v>com.zone.hmi.carlink</v>
      </c>
      <c r="D26" s="3" t="str">
        <v>adb shell am start com.zone.hmi.carlink/com.zone.hmi.carlink.UCarActivity</v>
      </c>
    </row>
    <row r="27" spans="1:6">
      <c r="A27" s="321">
        <v>26</v>
      </c>
      <c r="B27" s="6" t="str">
        <v>视频投屏</v>
      </c>
      <c r="C27" s="6" t="str">
        <v>com.zone.service.projection</v>
      </c>
      <c r="D27" s="6" t="str">
        <v>adb shell am start -n com.zone.service.projection/.view.SplashActivity</v>
      </c>
      <c r="F27" s="322" t="str">
        <v>adb shell am start -n com.zone.service.projection/.view.SplashActivity --display 2</v>
      </c>
    </row>
    <row r="28" spans="1:6">
      <c r="A28" s="321">
        <v>27</v>
      </c>
      <c r="B28" s="6" t="str">
        <v>网易云</v>
      </c>
      <c r="C28" s="6" t="str">
        <v>com.zone.hmi.multimedia</v>
      </c>
      <c r="D28" s="6" t="str">
        <v>adb shell am start -n com.zone.hmi.multimedia/.MainActivity --ei objectMedia 7</v>
      </c>
      <c r="F28" s="322" t="str">
        <v>adb shell am start -n com.zone.hmi.backmultimedia/.MainActivity --ei objectMedia 7 --user 11 --display 2</v>
      </c>
    </row>
    <row r="29" spans="1:6">
      <c r="A29" s="321">
        <v>28</v>
      </c>
      <c r="B29" s="323" t="str">
        <v>有线投屏</v>
      </c>
      <c r="C29" s="324" t="str">
        <v>com.zone.hmi.wiredprojection</v>
      </c>
      <c r="D29" s="324" t="str">
        <v>adb shell am start -n com.zone.hmi.wiredprojection/com.zone.hmi.wiredprojection.main.MainActivity
</v>
      </c>
      <c r="F29" s="325" t="str">
        <v>adb shell am start -n com.zone.hmi.wiredprojection/com.zone.hmi.wiredprojection.main.MainActivity --display 2</v>
      </c>
    </row>
    <row r="30" spans="1:6">
      <c r="A30" s="321">
        <v>29</v>
      </c>
      <c r="B30" s="323" t="str">
        <v>咪咕快游</v>
      </c>
      <c r="C30" s="324" t="str">
        <v>com.migu.miguplay.car</v>
      </c>
      <c r="D30" s="324" t="str">
        <v>adb shell am start -n com.migu.miguplay.car/com.migu.miguplay.car.ui.HomeActivity</v>
      </c>
      <c r="F30" s="325" t="str">
        <v>adb shell am start -n com.migu.miguplay.car/com.migu.miguplay.car.ui.HomeActivity --user 11 --display 2</v>
      </c>
    </row>
    <row r="31" spans="1:6">
      <c r="A31" s="321">
        <v>30</v>
      </c>
      <c r="B31" s="323" t="str">
        <v>浏览器</v>
      </c>
      <c r="C31" s="324" t="str">
        <v>com.jidouauto.browser</v>
      </c>
      <c r="D31" s="324" t="str">
        <v>adb shell am start -n com.jidouauto.browser/com.google.android.apps.chrome.Main</v>
      </c>
      <c r="F31" s="325" t="str">
        <v>adb shell am start -n com.jidouauto.browser/com.google.android.apps.chrome.Main --user 11 --display 2</v>
      </c>
    </row>
    <row r="32" spans="1:6">
      <c r="A32" s="321">
        <v>31</v>
      </c>
      <c r="B32" s="323" t="str">
        <v>全民K歌</v>
      </c>
      <c r="C32" s="324" t="str">
        <v>com.tencent.karaoketv</v>
      </c>
      <c r="D32" s="324" t="str">
        <v>adb shell am start -n com.tencent.karaoketv/com.loostone.player.quanminktv.display.view.HomeActivity2</v>
      </c>
      <c r="F32" s="325" t="str">
        <v>adb shell am start -n com.tencent.karaoketv/com.loostone.player.quanminktv.display.view.HomeActivity2 --display 2</v>
      </c>
    </row>
    <row r="33" spans="1:6">
      <c r="A33" s="3">
        <v>32</v>
      </c>
      <c r="B33" s="326" t="str">
        <v>AI驾驶报告</v>
      </c>
      <c r="C33" s="327" t="str">
        <v>com.saic.aistorydrive </v>
      </c>
      <c r="D33" s="327" t="str">
        <v>adb shell am start com.saic.aistorydrive/.MainActivity</v>
      </c>
      <c r="E33" s="2" t="str">
        <v>高优先级</v>
      </c>
      <c r="F33" s="2" t="str">
        <v>左晨和婉婷确认过的，婉婷已经更新到【指定应用开关】的FC里了，余明明已实现</v>
      </c>
    </row>
    <row r="36" spans="1:6">
      <c r="A36" s="3" t="str">
        <v>台架或实车自己提取app包名或启动指令的方法(适用于所有android独立apk应用)：</v>
      </c>
      <c r="F36" s="328" t="str">
        <v>后排打开指令相对前排，多了displayid的指定，分身的应用多了user 11的指定(该方法为原生隐藏方法，需要反射调用，并且需要声明权限)</v>
      </c>
    </row>
    <row r="37" spans="1:6">
      <c r="A37" s="3" t="str">
        <v>1、台架从all apps启动app</v>
      </c>
      <c r="F37" s="328" t="str">
        <v>PS：哪些应用有分身，以产品输入为准</v>
      </c>
    </row>
    <row r="38" spans="1:6">
      <c r="A38" s="3" t="str">
        <v>2、adb执行命令am stack list，查看第一条task信息，比如</v>
      </c>
      <c r="F38" s="328" t="str">
        <v>PS：后排媒体中心(涉及QQ、酷我、网易云)的包名相对前排有变更，需要注意一下</v>
      </c>
    </row>
    <row r="39" spans="2:2">
      <c r="B39" s="3" t="str">
        <v>is4pr:/ $ am stack list</v>
      </c>
    </row>
    <row r="40" spans="2:2">
      <c r="B40" s="3" t="str">
        <v>RootTask id=139 bounds=[0,0][2560,1440] displayId=0 userId=0</v>
      </c>
    </row>
    <row r="41" spans="2:2">
      <c r="B41" s="3" t="str">
        <v>configuration={1.0 ?mcc?mnc [zh_CN] ldltr sw960dp w1706dp h816dp 240dpi xlrg long land car finger qwerty/v/v -nav/h winConfig={ mBounds=Rect(0, 0 - 2560, 1440) mAppBounds=Rect(0, 0 - 2560, 1312) mMaxBounds=Rect(0, 0 - 2560, 1440) mWindowingMode=fullscreen mDisplayWindowingMode=fullscreen mActivityType=standard mAlwaysOnTop=undefined mRotation=ROTATION_0 mTaskDisplayAreaId=0} s.47 fontWeightAdjustment=0}</v>
      </c>
    </row>
    <row r="42" spans="2:2">
      <c r="B42" s="3" t="str">
        <v>taskId=139: com.zone.service.projection/com.zone.service.projection.view.MainActivity bounds=[0,0][2560,1440] userId=0 visible=true topActivity=ComponentInfo{com.zone.service.projection/com.zone.service.projection.view.MainActivity}</v>
      </c>
    </row>
    <row r="43" spans="1:1">
      <c r="A43" s="3" t="str">
        <v>3、提取task信息中的包名和类名</v>
      </c>
    </row>
    <row r="44" spans="2:2">
      <c r="B44" s="3" t="str">
        <v>包名是com.zone.service.projection</v>
      </c>
    </row>
    <row r="45" spans="2:2">
      <c r="B45" s="3" t="str">
        <v>类名是com.zone.service.projection.view.MainActivity</v>
      </c>
    </row>
    <row r="46" spans="2:2">
      <c r="B46" s="3" t="str">
        <v>启动命令：am start com.zone.service.projection/com.zone.service.projection.view.MainActivity</v>
      </c>
    </row>
  </sheetData>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 width="15" style="1" customWidth="1"/>
    <col min="3" max="3" width="32.920634748233475" style="1" customWidth="1"/>
    <col min="4" max="4" width="48.49206331966205" style="1" customWidth="1"/>
    <col min="5" max="5" width="49.20634903394777" style="1" customWidth="1"/>
    <col min="6" max="10" width="15" style="1" customWidth="1"/>
  </cols>
  <sheetData>
    <row r="1" spans="1:5">
      <c r="A1" s="329" t="str">
        <v>我的爱车</v>
      </c>
      <c r="B1" s="329" t="str">
        <v>NA</v>
      </c>
      <c r="C1" s="329" t="str">
        <v>com.zone.intent.tab.mycar</v>
      </c>
      <c r="D1" s="329" t="str">
        <v>NA</v>
      </c>
      <c r="E1" s="330" t="str">
        <v>1.跳转代码 (NA表示无subAction)
Intent intent = new Intent();
intent.setAction(对应的Action);
intent.putExtra("SUB_ACTION"，对应的subaction);
intent.setComponent(
 new ComponentName("com.zone.hmi.settings",
 "com.zone.hmi.settings.ui.MainActivity"
 ));
intent.setFlags(Intent.FLAG_ACTIVITY_NEW_TASK);
startActivity(intent);
2.测试命令
adb shell am start -a 对应的action -n com.zone.hmi.settings/com.zone.hmi.settings.ui.MainActivity --es 
SUB_ACTION 对应的subaction
</v>
      </c>
    </row>
    <row r="2" spans="1:5">
      <c r="A2" s="330" t="str">
        <v>灯光</v>
      </c>
      <c r="B2" s="329" t="str">
        <v>车外灯</v>
      </c>
      <c r="C2" s="330" t="str">
        <v>com.zone.intent.tab.light</v>
      </c>
      <c r="D2" s="329" t="str">
        <v>subAction_outer_light_show_page</v>
      </c>
      <c r="E2" s="331"/>
    </row>
    <row r="3" spans="1:5">
      <c r="A3" s="332"/>
      <c r="B3" s="329" t="str">
        <v>车内灯</v>
      </c>
      <c r="C3" s="332"/>
      <c r="D3" s="329" t="str">
        <v>subAction_ambient_light_show_page</v>
      </c>
      <c r="E3" s="331"/>
    </row>
    <row r="4" spans="1:5">
      <c r="A4" s="330" t="str">
        <v>座椅</v>
      </c>
      <c r="B4" s="329" t="str">
        <v>主驾</v>
      </c>
      <c r="C4" s="330" t="str">
        <v>com.zone.intent.tab.searadjust</v>
      </c>
      <c r="D4" s="329" t="str">
        <v>subAction_seat_show_driver_seat</v>
      </c>
      <c r="E4" s="331"/>
    </row>
    <row r="5" spans="1:5">
      <c r="A5" s="331"/>
      <c r="B5" s="329" t="str">
        <v>副驾</v>
      </c>
      <c r="C5" s="331"/>
      <c r="D5" s="329" t="str">
        <v>subAction_seat_show_passenger_seat</v>
      </c>
      <c r="E5" s="331"/>
    </row>
    <row r="6" spans="1:5">
      <c r="A6" s="331"/>
      <c r="B6" s="329" t="str">
        <v>后右</v>
      </c>
      <c r="C6" s="331"/>
      <c r="D6" s="329" t="str">
        <v>subAction_seat_show_back_right_seat</v>
      </c>
      <c r="E6" s="331"/>
    </row>
    <row r="7" spans="1:5">
      <c r="A7" s="332"/>
      <c r="B7" s="329" t="str">
        <v>后左</v>
      </c>
      <c r="C7" s="332"/>
      <c r="D7" s="329" t="str">
        <v>subAction_seat_show_back_left_seat</v>
      </c>
      <c r="E7" s="331"/>
    </row>
    <row r="8" spans="1:5">
      <c r="A8" s="330" t="str">
        <v>车辆</v>
      </c>
      <c r="B8" s="329" t="str">
        <v>门窗</v>
      </c>
      <c r="C8" s="330" t="str">
        <v>com.zone.intent.tab.vehiclesettings</v>
      </c>
      <c r="D8" s="329" t="str">
        <v>subAction_vehicle_door_window_show_page</v>
      </c>
      <c r="E8" s="331"/>
    </row>
    <row r="9" spans="1:5">
      <c r="A9" s="331"/>
      <c r="B9" s="329" t="str">
        <v>快捷按键</v>
      </c>
      <c r="C9" s="331"/>
      <c r="D9" s="329" t="str">
        <v>subAction_vehicle_quick_set_show_page</v>
      </c>
      <c r="E9" s="331"/>
    </row>
    <row r="10" spans="1:5">
      <c r="A10" s="331"/>
      <c r="B10" s="329" t="str">
        <v>冰箱</v>
      </c>
      <c r="C10" s="331"/>
      <c r="D10" s="329" t="str">
        <v>subAction_vehicle_fridge_show_page</v>
      </c>
      <c r="E10" s="331"/>
    </row>
    <row r="11" spans="1:5">
      <c r="A11" s="331"/>
      <c r="B11" s="329" t="str">
        <v>雨刮后视镜</v>
      </c>
      <c r="C11" s="331"/>
      <c r="D11" s="329" t="str">
        <v>subAction_vehicle_wiper_rear_show_page</v>
      </c>
      <c r="E11" s="331"/>
    </row>
    <row r="12" spans="1:5">
      <c r="A12" s="332"/>
      <c r="B12" s="329" t="str">
        <v>数字钥匙</v>
      </c>
      <c r="C12" s="332"/>
      <c r="D12" s="329" t="str">
        <v>subAction_vehicle_digital_show_page</v>
      </c>
      <c r="E12" s="331"/>
    </row>
    <row r="13" spans="1:5">
      <c r="A13" s="330" t="str">
        <v>辅助驾驶</v>
      </c>
      <c r="B13" s="329" t="str">
        <v>行车辅助</v>
      </c>
      <c r="C13" s="330" t="str">
        <v>com.zone.intent.tab.driveassist</v>
      </c>
      <c r="D13" s="329" t="str">
        <v>subAction_drive_assist_show_driving_assistance</v>
      </c>
      <c r="E13" s="331"/>
    </row>
    <row r="14" spans="1:5">
      <c r="A14" s="331"/>
      <c r="B14" s="329" t="str">
        <v>主动安全</v>
      </c>
      <c r="C14" s="331"/>
      <c r="D14" s="329" t="str">
        <v>subAction_drive_assist_show_active_safety</v>
      </c>
      <c r="E14" s="331"/>
    </row>
    <row r="15" spans="1:5">
      <c r="A15" s="332"/>
      <c r="B15" s="329" t="str">
        <v>泊车设置</v>
      </c>
      <c r="C15" s="332"/>
      <c r="D15" s="329" t="str">
        <v>subAction_drive_assist_show_parking_setting</v>
      </c>
      <c r="E15" s="331"/>
    </row>
    <row r="16" spans="1:5">
      <c r="A16" s="330" t="str">
        <v>驾驶体验</v>
      </c>
      <c r="B16" s="329" t="str">
        <v>驾驶模式</v>
      </c>
      <c r="C16" s="330" t="str">
        <v>com.zone.intent.tab.driveexperience</v>
      </c>
      <c r="D16" s="329" t="str">
        <v>subAction_drive_mode_show_page</v>
      </c>
      <c r="E16" s="331"/>
    </row>
    <row r="17" spans="1:5">
      <c r="A17" s="332"/>
      <c r="B17" s="329" t="str">
        <v>制动控制</v>
      </c>
      <c r="C17" s="332"/>
      <c r="D17" s="329" t="str">
        <v>subAction_brake_control_show_page</v>
      </c>
      <c r="E17" s="331"/>
    </row>
    <row r="18" spans="1:5">
      <c r="A18" s="329" t="str">
        <v>豆包设置</v>
      </c>
      <c r="B18" s="329" t="str">
        <v>NA</v>
      </c>
      <c r="C18" s="329" t="str">
        <v>com.zone.intent.tab.doubao</v>
      </c>
      <c r="D18" s="329" t="str">
        <v>NA</v>
      </c>
      <c r="E18" s="331"/>
    </row>
    <row r="19" spans="1:5">
      <c r="A19" s="330" t="str">
        <v>智能化</v>
      </c>
      <c r="B19" s="329" t="str">
        <v>智能视觉</v>
      </c>
      <c r="C19" s="330" t="str">
        <v>com.zone.intent.tab.intelligence</v>
      </c>
      <c r="D19" s="329" t="str">
        <v>subAction_intelligent_vision_show_page</v>
      </c>
      <c r="E19" s="331"/>
    </row>
    <row r="20" spans="1:5">
      <c r="A20" s="332"/>
      <c r="B20" s="329" t="str">
        <v>智能推荐</v>
      </c>
      <c r="C20" s="332"/>
      <c r="D20" s="329" t="str">
        <v>subAction_intelligent_suggestion_show_page</v>
      </c>
      <c r="E20" s="331"/>
    </row>
    <row r="21" spans="1:5">
      <c r="A21" s="329" t="str">
        <v>显示</v>
      </c>
      <c r="B21" s="329" t="str">
        <v>NA</v>
      </c>
      <c r="C21" s="329" t="str">
        <v>com.zone.intent.tab.display</v>
      </c>
      <c r="D21" s="329" t="str">
        <v>NA</v>
      </c>
      <c r="E21" s="331"/>
    </row>
    <row r="22" spans="1:5">
      <c r="A22" s="330" t="str">
        <v>声音</v>
      </c>
      <c r="B22" s="329" t="str">
        <v>音量</v>
      </c>
      <c r="C22" s="330" t="str">
        <v>com.zone.intent.tab.sound</v>
      </c>
      <c r="D22" s="329" t="str">
        <v>subAction_volume_show_page</v>
      </c>
      <c r="E22" s="331"/>
    </row>
    <row r="23" spans="1:5">
      <c r="A23" s="331"/>
      <c r="B23" s="329" t="str">
        <v>音效</v>
      </c>
      <c r="C23" s="331"/>
      <c r="D23" s="329" t="str">
        <v>subAction_sound_effect_show_page</v>
      </c>
      <c r="E23" s="331"/>
    </row>
    <row r="24" spans="1:5">
      <c r="A24" s="332"/>
      <c r="B24" s="329" t="str">
        <v>语音</v>
      </c>
      <c r="C24" s="332"/>
      <c r="D24" s="329" t="str">
        <v>subAction_speech_show_page</v>
      </c>
      <c r="E24" s="331"/>
    </row>
    <row r="25" spans="1:5">
      <c r="A25" s="330" t="str">
        <v>连接</v>
      </c>
      <c r="B25" s="329" t="str">
        <v>蓝牙</v>
      </c>
      <c r="C25" s="330" t="str">
        <v>com.zone.intent.tab.connect</v>
      </c>
      <c r="D25" s="329" t="str">
        <v>subAction_bt_show_page</v>
      </c>
      <c r="E25" s="331"/>
    </row>
    <row r="26" spans="1:5">
      <c r="A26" s="331"/>
      <c r="B26" s="329" t="str">
        <v>网络</v>
      </c>
      <c r="C26" s="331"/>
      <c r="D26" s="329" t="str">
        <v>subAction_wifi_show_page</v>
      </c>
      <c r="E26" s="331"/>
    </row>
    <row r="27" spans="1:5">
      <c r="A27" s="331"/>
      <c r="B27" s="329" t="str">
        <v>热点</v>
      </c>
      <c r="C27" s="331"/>
      <c r="D27" s="329" t="str">
        <v>subAction_hotspot_show_page</v>
      </c>
      <c r="E27" s="331"/>
    </row>
    <row r="28" spans="1:5">
      <c r="A28" s="332"/>
      <c r="B28" s="329" t="str">
        <v>蜂窝数据</v>
      </c>
      <c r="C28" s="332"/>
      <c r="D28" s="329" t="str">
        <v>subAction_cellular_show_page</v>
      </c>
      <c r="E28" s="331"/>
    </row>
    <row r="29" spans="1:5">
      <c r="A29" s="329" t="str">
        <v>安全</v>
      </c>
      <c r="B29" s="329" t="str">
        <v>NA</v>
      </c>
      <c r="C29" s="329" t="str">
        <v>com.zone.intent.tab.security</v>
      </c>
      <c r="D29" s="329" t="str">
        <v>NA</v>
      </c>
      <c r="E29" s="331"/>
    </row>
    <row r="30" spans="1:5">
      <c r="A30" s="330" t="str">
        <v>通用</v>
      </c>
      <c r="B30" s="330" t="str">
        <v>NA</v>
      </c>
      <c r="C30" s="330" t="str">
        <v>com.zone.intent.tab.software</v>
      </c>
      <c r="D30" s="330" t="str">
        <v>NA</v>
      </c>
      <c r="E30" s="331"/>
    </row>
    <row r="31" spans="1:5">
      <c r="A31" s="333" t="str">
        <v>负一屏</v>
      </c>
      <c r="B31" s="333" t="str">
        <v>NA</v>
      </c>
      <c r="C31" s="333" t="str">
        <v>通过广播：
action : com.zone.intent.action_OPEN_STATUS_BAR_PANEL
key: panelName
values: main_control_center_panel</v>
      </c>
      <c r="D31" s="333" t="str">
        <v>NA</v>
      </c>
      <c r="E31" s="333" t="str">
        <v>adb shell am broadcast -a com.zone.intent.action_OPEN_STATUS_BAR_PANEL --es panelName main_control_center_panel</v>
      </c>
    </row>
  </sheetData>
  <mergeCells count="17">
    <mergeCell ref="E1:E30"/>
    <mergeCell ref="A2:A3"/>
    <mergeCell ref="C2:C3"/>
    <mergeCell ref="A4:A7"/>
    <mergeCell ref="C4:C7"/>
    <mergeCell ref="A8:A12"/>
    <mergeCell ref="C8:C12"/>
    <mergeCell ref="A13:A15"/>
    <mergeCell ref="C13:C15"/>
    <mergeCell ref="A16:A17"/>
    <mergeCell ref="C16:C17"/>
    <mergeCell ref="A19:A20"/>
    <mergeCell ref="C19:C20"/>
    <mergeCell ref="A22:A24"/>
    <mergeCell ref="C22:C24"/>
    <mergeCell ref="A25:A28"/>
    <mergeCell ref="C25:C28"/>
  </mergeCells>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5" width="15" style="1" customWidth="1"/>
  </cols>
  <sheetData>
    <row r="1" spans="1:25">
      <c r="A1" s="334" t="str">
        <v>主tab</v>
      </c>
      <c r="B1" s="335"/>
      <c r="C1" s="334" t="str">
        <v>子tab</v>
      </c>
      <c r="D1" s="336"/>
      <c r="E1" s="335"/>
      <c r="F1" s="334" t="str">
        <v>Action</v>
      </c>
      <c r="G1" s="336"/>
      <c r="H1" s="336"/>
      <c r="I1" s="336"/>
      <c r="J1" s="335"/>
      <c r="K1" s="337" t="str">
        <v>subAction（关闭一级tab）</v>
      </c>
      <c r="L1" s="338"/>
      <c r="M1" s="338"/>
      <c r="N1" s="338"/>
      <c r="O1" s="339"/>
      <c r="P1" s="334" t="str">
        <v>subAction</v>
      </c>
      <c r="Q1" s="336"/>
      <c r="R1" s="336"/>
      <c r="S1" s="336"/>
      <c r="T1" s="335"/>
      <c r="U1" s="334" t="str">
        <v>备注</v>
      </c>
      <c r="V1" s="336"/>
      <c r="W1" s="336"/>
      <c r="X1" s="336"/>
      <c r="Y1" s="336"/>
    </row>
    <row r="2" spans="1:25">
      <c r="A2" s="340"/>
      <c r="B2" s="341"/>
      <c r="C2" s="340"/>
      <c r="D2" s="342"/>
      <c r="E2" s="341"/>
      <c r="F2" s="340"/>
      <c r="G2" s="342"/>
      <c r="H2" s="342"/>
      <c r="I2" s="342"/>
      <c r="J2" s="341"/>
      <c r="K2" s="343"/>
      <c r="L2" s="344"/>
      <c r="M2" s="344"/>
      <c r="N2" s="344"/>
      <c r="O2" s="345"/>
      <c r="P2" s="340"/>
      <c r="Q2" s="342"/>
      <c r="R2" s="342"/>
      <c r="S2" s="342"/>
      <c r="T2" s="341"/>
      <c r="U2" s="346"/>
      <c r="V2" s="347"/>
      <c r="W2" s="347"/>
      <c r="X2" s="347"/>
      <c r="Y2" s="347"/>
    </row>
    <row r="3" spans="1:25">
      <c r="A3" s="348" t="str">
        <v>我的爱车</v>
      </c>
      <c r="B3" s="349"/>
      <c r="C3" s="348" t="str">
        <v>NA</v>
      </c>
      <c r="D3" s="350"/>
      <c r="E3" s="349"/>
      <c r="F3" s="336" t="str">
        <v>com.zone.settings.action.CLOSE_PAGE</v>
      </c>
      <c r="G3" s="336"/>
      <c r="H3" s="336"/>
      <c r="I3" s="336"/>
      <c r="J3" s="335"/>
      <c r="K3" s="351" t="str">
        <v>subAction_mycar_close_page</v>
      </c>
      <c r="L3" s="352"/>
      <c r="M3" s="352"/>
      <c r="N3" s="352"/>
      <c r="O3" s="353"/>
      <c r="P3" s="354" t="str">
        <v>subAction_mycar_close_page</v>
      </c>
      <c r="Q3" s="355"/>
      <c r="R3" s="355"/>
      <c r="S3" s="355"/>
      <c r="T3" s="356"/>
      <c r="U3" s="334" t="str">
        <v>
1.测试命令
adb shell am broadcast -a com.zone.settings.action.CLOSE_PAGE -p com.zone.hmi.settings --es SUB_ACTION 对应页面的subAction
 </v>
      </c>
      <c r="V3" s="336"/>
      <c r="W3" s="336"/>
      <c r="X3" s="336"/>
      <c r="Y3" s="336"/>
    </row>
    <row r="4" spans="1:25">
      <c r="A4" s="357" t="str">
        <v>灯光</v>
      </c>
      <c r="B4" s="358"/>
      <c r="C4" s="348" t="str">
        <v>车外灯</v>
      </c>
      <c r="D4" s="350"/>
      <c r="E4" s="349"/>
      <c r="F4" s="347"/>
      <c r="G4" s="347"/>
      <c r="H4" s="347"/>
      <c r="I4" s="347"/>
      <c r="J4" s="359"/>
      <c r="K4" s="337" t="str">
        <v>subAction_light_close_page</v>
      </c>
      <c r="L4" s="338"/>
      <c r="M4" s="338"/>
      <c r="N4" s="338"/>
      <c r="O4" s="339"/>
      <c r="P4" s="354" t="str">
        <v>subAction_outer_light_close_page</v>
      </c>
      <c r="Q4" s="355"/>
      <c r="R4" s="355"/>
      <c r="S4" s="355"/>
      <c r="T4" s="356"/>
      <c r="U4" s="346"/>
      <c r="V4" s="347"/>
      <c r="W4" s="347"/>
      <c r="X4" s="347"/>
      <c r="Y4" s="347"/>
    </row>
    <row r="5" spans="1:25">
      <c r="A5" s="360"/>
      <c r="B5" s="361"/>
      <c r="C5" s="348" t="str">
        <v>车内灯</v>
      </c>
      <c r="D5" s="350"/>
      <c r="E5" s="349"/>
      <c r="F5" s="347"/>
      <c r="G5" s="347"/>
      <c r="H5" s="347"/>
      <c r="I5" s="347"/>
      <c r="J5" s="359"/>
      <c r="K5" s="343"/>
      <c r="L5" s="344"/>
      <c r="M5" s="344"/>
      <c r="N5" s="344"/>
      <c r="O5" s="345"/>
      <c r="P5" s="354" t="str">
        <v>subAction_ambient_light_close_page</v>
      </c>
      <c r="Q5" s="355"/>
      <c r="R5" s="355"/>
      <c r="S5" s="355"/>
      <c r="T5" s="356"/>
      <c r="U5" s="346"/>
      <c r="V5" s="347"/>
      <c r="W5" s="347"/>
      <c r="X5" s="347"/>
      <c r="Y5" s="347"/>
    </row>
    <row r="6" spans="1:25">
      <c r="A6" s="357" t="str">
        <v>座椅</v>
      </c>
      <c r="B6" s="358"/>
      <c r="C6" s="348" t="str">
        <v>主驾</v>
      </c>
      <c r="D6" s="350"/>
      <c r="E6" s="349"/>
      <c r="F6" s="347"/>
      <c r="G6" s="347"/>
      <c r="H6" s="347"/>
      <c r="I6" s="347"/>
      <c r="J6" s="359"/>
      <c r="K6" s="337" t="str">
        <v>subAction_seat_close_page</v>
      </c>
      <c r="L6" s="338"/>
      <c r="M6" s="338"/>
      <c r="N6" s="338"/>
      <c r="O6" s="339"/>
      <c r="P6" s="354" t="str">
        <v>subAction_seat_close_driver_seat</v>
      </c>
      <c r="Q6" s="355"/>
      <c r="R6" s="355"/>
      <c r="S6" s="355"/>
      <c r="T6" s="356"/>
      <c r="U6" s="346"/>
      <c r="V6" s="347"/>
      <c r="W6" s="347"/>
      <c r="X6" s="347"/>
      <c r="Y6" s="347"/>
    </row>
    <row r="7" spans="1:25">
      <c r="A7" s="362"/>
      <c r="B7" s="363"/>
      <c r="C7" s="348" t="str">
        <v>副驾</v>
      </c>
      <c r="D7" s="350"/>
      <c r="E7" s="349"/>
      <c r="F7" s="347"/>
      <c r="G7" s="347"/>
      <c r="H7" s="347"/>
      <c r="I7" s="347"/>
      <c r="J7" s="359"/>
      <c r="K7" s="364"/>
      <c r="L7" s="365"/>
      <c r="M7" s="365"/>
      <c r="N7" s="365"/>
      <c r="O7" s="366"/>
      <c r="P7" s="354" t="str">
        <v>subAction_seat_close_passenger_seat</v>
      </c>
      <c r="Q7" s="355"/>
      <c r="R7" s="355"/>
      <c r="S7" s="355"/>
      <c r="T7" s="356"/>
      <c r="U7" s="346"/>
      <c r="V7" s="347"/>
      <c r="W7" s="347"/>
      <c r="X7" s="347"/>
      <c r="Y7" s="347"/>
    </row>
    <row r="8" spans="1:25">
      <c r="A8" s="362"/>
      <c r="B8" s="363"/>
      <c r="C8" s="348" t="str">
        <v>后右</v>
      </c>
      <c r="D8" s="350"/>
      <c r="E8" s="349"/>
      <c r="F8" s="347"/>
      <c r="G8" s="347"/>
      <c r="H8" s="347"/>
      <c r="I8" s="347"/>
      <c r="J8" s="359"/>
      <c r="K8" s="364"/>
      <c r="L8" s="365"/>
      <c r="M8" s="365"/>
      <c r="N8" s="365"/>
      <c r="O8" s="366"/>
      <c r="P8" s="354" t="str">
        <v>subAction_seat_close_back_right_seat</v>
      </c>
      <c r="Q8" s="355"/>
      <c r="R8" s="355"/>
      <c r="S8" s="355"/>
      <c r="T8" s="356"/>
      <c r="U8" s="346"/>
      <c r="V8" s="347"/>
      <c r="W8" s="347"/>
      <c r="X8" s="347"/>
      <c r="Y8" s="347"/>
    </row>
    <row r="9" spans="1:25">
      <c r="A9" s="360"/>
      <c r="B9" s="361"/>
      <c r="C9" s="348" t="str">
        <v>后左</v>
      </c>
      <c r="D9" s="350"/>
      <c r="E9" s="349"/>
      <c r="F9" s="347"/>
      <c r="G9" s="347"/>
      <c r="H9" s="347"/>
      <c r="I9" s="347"/>
      <c r="J9" s="359"/>
      <c r="K9" s="343"/>
      <c r="L9" s="344"/>
      <c r="M9" s="344"/>
      <c r="N9" s="344"/>
      <c r="O9" s="345"/>
      <c r="P9" s="354" t="str">
        <v>subAction_seat_close_back_left_seat</v>
      </c>
      <c r="Q9" s="355"/>
      <c r="R9" s="355"/>
      <c r="S9" s="355"/>
      <c r="T9" s="356"/>
      <c r="U9" s="346"/>
      <c r="V9" s="347"/>
      <c r="W9" s="347"/>
      <c r="X9" s="347"/>
      <c r="Y9" s="347"/>
    </row>
    <row r="10" spans="1:25">
      <c r="A10" s="357" t="str">
        <v>车辆</v>
      </c>
      <c r="B10" s="358"/>
      <c r="C10" s="348" t="str">
        <v>门窗</v>
      </c>
      <c r="D10" s="350"/>
      <c r="E10" s="349"/>
      <c r="F10" s="347"/>
      <c r="G10" s="347"/>
      <c r="H10" s="347"/>
      <c r="I10" s="347"/>
      <c r="J10" s="359"/>
      <c r="K10" s="337" t="str">
        <v>subAction_vehicle_close_page</v>
      </c>
      <c r="L10" s="338"/>
      <c r="M10" s="338"/>
      <c r="N10" s="338"/>
      <c r="O10" s="338"/>
      <c r="P10" s="354" t="str">
        <v>subAction_vehicle_door_window_close_page</v>
      </c>
      <c r="Q10" s="355"/>
      <c r="R10" s="355"/>
      <c r="S10" s="355"/>
      <c r="T10" s="355"/>
      <c r="U10" s="346"/>
      <c r="V10" s="347"/>
      <c r="W10" s="347"/>
      <c r="X10" s="347"/>
      <c r="Y10" s="347"/>
    </row>
    <row r="11" spans="1:25">
      <c r="A11" s="362"/>
      <c r="B11" s="363"/>
      <c r="C11" s="348" t="str">
        <v>快捷按键</v>
      </c>
      <c r="D11" s="350"/>
      <c r="E11" s="349"/>
      <c r="F11" s="347"/>
      <c r="G11" s="347"/>
      <c r="H11" s="347"/>
      <c r="I11" s="347"/>
      <c r="J11" s="359"/>
      <c r="K11" s="364"/>
      <c r="L11" s="365"/>
      <c r="M11" s="365"/>
      <c r="N11" s="365"/>
      <c r="O11" s="365"/>
      <c r="P11" s="354" t="str">
        <v>subAction_vehicle_quick_set_close_page</v>
      </c>
      <c r="Q11" s="355"/>
      <c r="R11" s="355"/>
      <c r="S11" s="355"/>
      <c r="T11" s="355"/>
      <c r="U11" s="346"/>
      <c r="V11" s="347"/>
      <c r="W11" s="347"/>
      <c r="X11" s="347"/>
      <c r="Y11" s="347"/>
    </row>
    <row r="12" spans="1:25">
      <c r="A12" s="362"/>
      <c r="B12" s="363"/>
      <c r="C12" s="348" t="str">
        <v>冰箱</v>
      </c>
      <c r="D12" s="350"/>
      <c r="E12" s="349"/>
      <c r="F12" s="347"/>
      <c r="G12" s="347"/>
      <c r="H12" s="347"/>
      <c r="I12" s="347"/>
      <c r="J12" s="359"/>
      <c r="K12" s="364"/>
      <c r="L12" s="365"/>
      <c r="M12" s="365"/>
      <c r="N12" s="365"/>
      <c r="O12" s="365"/>
      <c r="P12" s="354" t="str">
        <v>subAction_vehicle_fridge_close_page</v>
      </c>
      <c r="Q12" s="355"/>
      <c r="R12" s="355"/>
      <c r="S12" s="355"/>
      <c r="T12" s="355"/>
      <c r="U12" s="346"/>
      <c r="V12" s="347"/>
      <c r="W12" s="347"/>
      <c r="X12" s="347"/>
      <c r="Y12" s="347"/>
    </row>
    <row r="13" spans="1:25">
      <c r="A13" s="362"/>
      <c r="B13" s="363"/>
      <c r="C13" s="348" t="str">
        <v>雨刮后视镜</v>
      </c>
      <c r="D13" s="350"/>
      <c r="E13" s="349"/>
      <c r="F13" s="347"/>
      <c r="G13" s="347"/>
      <c r="H13" s="347"/>
      <c r="I13" s="347"/>
      <c r="J13" s="359"/>
      <c r="K13" s="364"/>
      <c r="L13" s="365"/>
      <c r="M13" s="365"/>
      <c r="N13" s="365"/>
      <c r="O13" s="365"/>
      <c r="P13" s="354" t="str">
        <v>subAction_vehicle_wiper_rear_close_page</v>
      </c>
      <c r="Q13" s="355"/>
      <c r="R13" s="355"/>
      <c r="S13" s="355"/>
      <c r="T13" s="355"/>
      <c r="U13" s="346"/>
      <c r="V13" s="347"/>
      <c r="W13" s="347"/>
      <c r="X13" s="347"/>
      <c r="Y13" s="347"/>
    </row>
    <row r="14" spans="1:25">
      <c r="A14" s="360"/>
      <c r="B14" s="361"/>
      <c r="C14" s="348" t="str">
        <v>数字钥匙</v>
      </c>
      <c r="D14" s="350"/>
      <c r="E14" s="349"/>
      <c r="F14" s="347"/>
      <c r="G14" s="347"/>
      <c r="H14" s="347"/>
      <c r="I14" s="347"/>
      <c r="J14" s="359"/>
      <c r="K14" s="343"/>
      <c r="L14" s="344"/>
      <c r="M14" s="344"/>
      <c r="N14" s="344"/>
      <c r="O14" s="344"/>
      <c r="P14" s="354" t="str">
        <v>subAction_vehicle_digital_close_page</v>
      </c>
      <c r="Q14" s="355"/>
      <c r="R14" s="355"/>
      <c r="S14" s="355"/>
      <c r="T14" s="355"/>
      <c r="U14" s="346"/>
      <c r="V14" s="347"/>
      <c r="W14" s="347"/>
      <c r="X14" s="347"/>
      <c r="Y14" s="347"/>
    </row>
    <row r="15" spans="1:25">
      <c r="A15" s="357" t="str">
        <v>辅助驾驶</v>
      </c>
      <c r="B15" s="358"/>
      <c r="C15" s="348" t="str">
        <v>行车辅助</v>
      </c>
      <c r="D15" s="350"/>
      <c r="E15" s="349"/>
      <c r="F15" s="347"/>
      <c r="G15" s="347"/>
      <c r="H15" s="347"/>
      <c r="I15" s="347"/>
      <c r="J15" s="359"/>
      <c r="K15" s="337" t="str">
        <v>subAction_drive_assist_close_page</v>
      </c>
      <c r="L15" s="338"/>
      <c r="M15" s="338"/>
      <c r="N15" s="338"/>
      <c r="O15" s="339"/>
      <c r="P15" s="354" t="str">
        <v>subAction_drive_assist_close_driving_assistance</v>
      </c>
      <c r="Q15" s="355"/>
      <c r="R15" s="355"/>
      <c r="S15" s="355"/>
      <c r="T15" s="356"/>
      <c r="U15" s="346"/>
      <c r="V15" s="347"/>
      <c r="W15" s="347"/>
      <c r="X15" s="347"/>
      <c r="Y15" s="347"/>
    </row>
    <row r="16" spans="1:25">
      <c r="A16" s="362"/>
      <c r="B16" s="363"/>
      <c r="C16" s="348" t="str">
        <v>主动安全</v>
      </c>
      <c r="D16" s="350"/>
      <c r="E16" s="349"/>
      <c r="F16" s="347"/>
      <c r="G16" s="347"/>
      <c r="H16" s="347"/>
      <c r="I16" s="347"/>
      <c r="J16" s="359"/>
      <c r="K16" s="364"/>
      <c r="L16" s="365"/>
      <c r="M16" s="365"/>
      <c r="N16" s="365"/>
      <c r="O16" s="366"/>
      <c r="P16" s="354" t="str">
        <v>subAction_drive_assist_close_active_safety</v>
      </c>
      <c r="Q16" s="355"/>
      <c r="R16" s="355"/>
      <c r="S16" s="355"/>
      <c r="T16" s="356"/>
      <c r="U16" s="346"/>
      <c r="V16" s="347"/>
      <c r="W16" s="347"/>
      <c r="X16" s="347"/>
      <c r="Y16" s="347"/>
    </row>
    <row r="17" spans="1:25">
      <c r="A17" s="360"/>
      <c r="B17" s="361"/>
      <c r="C17" s="348" t="str">
        <v>泊车设置</v>
      </c>
      <c r="D17" s="350"/>
      <c r="E17" s="349"/>
      <c r="F17" s="347"/>
      <c r="G17" s="347"/>
      <c r="H17" s="347"/>
      <c r="I17" s="347"/>
      <c r="J17" s="359"/>
      <c r="K17" s="343"/>
      <c r="L17" s="344"/>
      <c r="M17" s="344"/>
      <c r="N17" s="344"/>
      <c r="O17" s="345"/>
      <c r="P17" s="354" t="str">
        <v>subAction_drive_assist_close_parking_setting</v>
      </c>
      <c r="Q17" s="355"/>
      <c r="R17" s="355"/>
      <c r="S17" s="355"/>
      <c r="T17" s="356"/>
      <c r="U17" s="346"/>
      <c r="V17" s="347"/>
      <c r="W17" s="347"/>
      <c r="X17" s="347"/>
      <c r="Y17" s="347"/>
    </row>
    <row r="18" spans="1:25">
      <c r="A18" s="357" t="str">
        <v>驾驶体验</v>
      </c>
      <c r="B18" s="358"/>
      <c r="C18" s="348" t="str">
        <v>驾驶模式</v>
      </c>
      <c r="D18" s="350"/>
      <c r="E18" s="349"/>
      <c r="F18" s="347"/>
      <c r="G18" s="347"/>
      <c r="H18" s="347"/>
      <c r="I18" s="347"/>
      <c r="J18" s="359"/>
      <c r="K18" s="337" t="str">
        <v>subAction_drive_exe_close_page</v>
      </c>
      <c r="L18" s="338"/>
      <c r="M18" s="338"/>
      <c r="N18" s="338"/>
      <c r="O18" s="339"/>
      <c r="P18" s="354" t="str">
        <v>subAction_drive_mode_close_page</v>
      </c>
      <c r="Q18" s="355"/>
      <c r="R18" s="355"/>
      <c r="S18" s="355"/>
      <c r="T18" s="356"/>
      <c r="U18" s="346"/>
      <c r="V18" s="347"/>
      <c r="W18" s="347"/>
      <c r="X18" s="347"/>
      <c r="Y18" s="347"/>
    </row>
    <row r="19" spans="1:25">
      <c r="A19" s="360"/>
      <c r="B19" s="361"/>
      <c r="C19" s="348" t="str">
        <v>制动控制</v>
      </c>
      <c r="D19" s="350"/>
      <c r="E19" s="349"/>
      <c r="F19" s="347"/>
      <c r="G19" s="347"/>
      <c r="H19" s="347"/>
      <c r="I19" s="347"/>
      <c r="J19" s="359"/>
      <c r="K19" s="343"/>
      <c r="L19" s="344"/>
      <c r="M19" s="344"/>
      <c r="N19" s="344"/>
      <c r="O19" s="345"/>
      <c r="P19" s="354" t="str">
        <v>subAction_brake_control_close_page</v>
      </c>
      <c r="Q19" s="355"/>
      <c r="R19" s="355"/>
      <c r="S19" s="355"/>
      <c r="T19" s="356"/>
      <c r="U19" s="346"/>
      <c r="V19" s="347"/>
      <c r="W19" s="347"/>
      <c r="X19" s="347"/>
      <c r="Y19" s="347"/>
    </row>
    <row r="20" spans="1:25">
      <c r="A20" s="348" t="str">
        <v>豆包设置</v>
      </c>
      <c r="B20" s="349"/>
      <c r="C20" s="348" t="str">
        <v>NA</v>
      </c>
      <c r="D20" s="350"/>
      <c r="E20" s="349"/>
      <c r="F20" s="347"/>
      <c r="G20" s="347"/>
      <c r="H20" s="347"/>
      <c r="I20" s="347"/>
      <c r="J20" s="359"/>
      <c r="K20" s="351" t="str">
        <v>subAction_doubao_close_page</v>
      </c>
      <c r="L20" s="352"/>
      <c r="M20" s="352"/>
      <c r="N20" s="352"/>
      <c r="O20" s="353"/>
      <c r="P20" s="354" t="str">
        <v>subAction_doubao_close_page</v>
      </c>
      <c r="Q20" s="355"/>
      <c r="R20" s="355"/>
      <c r="S20" s="355"/>
      <c r="T20" s="356"/>
      <c r="U20" s="346"/>
      <c r="V20" s="347"/>
      <c r="W20" s="347"/>
      <c r="X20" s="347"/>
      <c r="Y20" s="347"/>
    </row>
    <row r="21" spans="1:25">
      <c r="A21" s="357" t="str">
        <v>智能化</v>
      </c>
      <c r="B21" s="358"/>
      <c r="C21" s="348" t="str">
        <v>智能视觉</v>
      </c>
      <c r="D21" s="350"/>
      <c r="E21" s="349"/>
      <c r="F21" s="347"/>
      <c r="G21" s="347"/>
      <c r="H21" s="347"/>
      <c r="I21" s="347"/>
      <c r="J21" s="359"/>
      <c r="K21" s="337" t="str">
        <v>subAction_intelligent_close_page</v>
      </c>
      <c r="L21" s="338"/>
      <c r="M21" s="338"/>
      <c r="N21" s="338"/>
      <c r="O21" s="339"/>
      <c r="P21" s="354" t="str">
        <v>subAction_intelligent_vision_close_page</v>
      </c>
      <c r="Q21" s="355"/>
      <c r="R21" s="355"/>
      <c r="S21" s="355"/>
      <c r="T21" s="356"/>
      <c r="U21" s="346"/>
      <c r="V21" s="347"/>
      <c r="W21" s="347"/>
      <c r="X21" s="347"/>
      <c r="Y21" s="347"/>
    </row>
    <row r="22" spans="1:25">
      <c r="A22" s="360"/>
      <c r="B22" s="361"/>
      <c r="C22" s="348" t="str">
        <v>智能推荐</v>
      </c>
      <c r="D22" s="350"/>
      <c r="E22" s="349"/>
      <c r="F22" s="347"/>
      <c r="G22" s="347"/>
      <c r="H22" s="347"/>
      <c r="I22" s="347"/>
      <c r="J22" s="359"/>
      <c r="K22" s="343"/>
      <c r="L22" s="344"/>
      <c r="M22" s="344"/>
      <c r="N22" s="344"/>
      <c r="O22" s="345"/>
      <c r="P22" s="354" t="str">
        <v>subAction_intelligent_suggestion_close_page</v>
      </c>
      <c r="Q22" s="355"/>
      <c r="R22" s="355"/>
      <c r="S22" s="355"/>
      <c r="T22" s="356"/>
      <c r="U22" s="346"/>
      <c r="V22" s="347"/>
      <c r="W22" s="347"/>
      <c r="X22" s="347"/>
      <c r="Y22" s="347"/>
    </row>
    <row r="23" spans="1:25">
      <c r="A23" s="348" t="str">
        <v>显示</v>
      </c>
      <c r="B23" s="349"/>
      <c r="C23" s="348" t="str">
        <v>NA</v>
      </c>
      <c r="D23" s="350"/>
      <c r="E23" s="349"/>
      <c r="F23" s="347"/>
      <c r="G23" s="347"/>
      <c r="H23" s="347"/>
      <c r="I23" s="347"/>
      <c r="J23" s="359"/>
      <c r="K23" s="351" t="str">
        <v>subAction_display_close_page</v>
      </c>
      <c r="L23" s="352"/>
      <c r="M23" s="352"/>
      <c r="N23" s="352"/>
      <c r="O23" s="353"/>
      <c r="P23" s="354" t="str">
        <v>subAction_display_close_page</v>
      </c>
      <c r="Q23" s="355"/>
      <c r="R23" s="355"/>
      <c r="S23" s="355"/>
      <c r="T23" s="356"/>
      <c r="U23" s="346"/>
      <c r="V23" s="347"/>
      <c r="W23" s="347"/>
      <c r="X23" s="347"/>
      <c r="Y23" s="347"/>
    </row>
    <row r="24" spans="1:25">
      <c r="A24" s="357" t="str">
        <v>声音</v>
      </c>
      <c r="B24" s="358"/>
      <c r="C24" s="348" t="str">
        <v>音量</v>
      </c>
      <c r="D24" s="350"/>
      <c r="E24" s="349"/>
      <c r="F24" s="347"/>
      <c r="G24" s="347"/>
      <c r="H24" s="347"/>
      <c r="I24" s="347"/>
      <c r="J24" s="359"/>
      <c r="K24" s="337" t="str">
        <v>subAction_sound_close_page</v>
      </c>
      <c r="L24" s="338"/>
      <c r="M24" s="338"/>
      <c r="N24" s="338"/>
      <c r="O24" s="339"/>
      <c r="P24" s="354" t="str">
        <v>subAction_volume_close_page</v>
      </c>
      <c r="Q24" s="355"/>
      <c r="R24" s="355"/>
      <c r="S24" s="355"/>
      <c r="T24" s="356"/>
      <c r="U24" s="346"/>
      <c r="V24" s="347"/>
      <c r="W24" s="347"/>
      <c r="X24" s="347"/>
      <c r="Y24" s="347"/>
    </row>
    <row r="25" spans="1:25">
      <c r="A25" s="362"/>
      <c r="B25" s="363"/>
      <c r="C25" s="348" t="str">
        <v>音效</v>
      </c>
      <c r="D25" s="350"/>
      <c r="E25" s="349"/>
      <c r="F25" s="347"/>
      <c r="G25" s="347"/>
      <c r="H25" s="347"/>
      <c r="I25" s="347"/>
      <c r="J25" s="359"/>
      <c r="K25" s="364"/>
      <c r="L25" s="365"/>
      <c r="M25" s="365"/>
      <c r="N25" s="365"/>
      <c r="O25" s="366"/>
      <c r="P25" s="354" t="str">
        <v>subAction_sound_effect_close_page</v>
      </c>
      <c r="Q25" s="355"/>
      <c r="R25" s="355"/>
      <c r="S25" s="355"/>
      <c r="T25" s="356"/>
      <c r="U25" s="346"/>
      <c r="V25" s="347"/>
      <c r="W25" s="347"/>
      <c r="X25" s="347"/>
      <c r="Y25" s="347"/>
    </row>
    <row r="26" spans="1:25">
      <c r="A26" s="360"/>
      <c r="B26" s="361"/>
      <c r="C26" s="348" t="str">
        <v>语音</v>
      </c>
      <c r="D26" s="350"/>
      <c r="E26" s="349"/>
      <c r="F26" s="347"/>
      <c r="G26" s="347"/>
      <c r="H26" s="347"/>
      <c r="I26" s="347"/>
      <c r="J26" s="359"/>
      <c r="K26" s="343"/>
      <c r="L26" s="344"/>
      <c r="M26" s="344"/>
      <c r="N26" s="344"/>
      <c r="O26" s="345"/>
      <c r="P26" s="354" t="str">
        <v>subAction_speech_close_page</v>
      </c>
      <c r="Q26" s="355"/>
      <c r="R26" s="355"/>
      <c r="S26" s="355"/>
      <c r="T26" s="356"/>
      <c r="U26" s="346"/>
      <c r="V26" s="347"/>
      <c r="W26" s="347"/>
      <c r="X26" s="347"/>
      <c r="Y26" s="347"/>
    </row>
    <row r="27" spans="1:25">
      <c r="A27" s="357" t="str">
        <v>连接</v>
      </c>
      <c r="B27" s="358"/>
      <c r="C27" s="348" t="str">
        <v>蓝牙</v>
      </c>
      <c r="D27" s="350"/>
      <c r="E27" s="349"/>
      <c r="F27" s="347"/>
      <c r="G27" s="347"/>
      <c r="H27" s="347"/>
      <c r="I27" s="347"/>
      <c r="J27" s="359"/>
      <c r="K27" s="337" t="str">
        <v>subAction_connect_close_page</v>
      </c>
      <c r="L27" s="338"/>
      <c r="M27" s="338"/>
      <c r="N27" s="338"/>
      <c r="O27" s="339"/>
      <c r="P27" s="354" t="str">
        <v>subAction_bt_close_page</v>
      </c>
      <c r="Q27" s="355"/>
      <c r="R27" s="355"/>
      <c r="S27" s="355"/>
      <c r="T27" s="356"/>
      <c r="U27" s="346"/>
      <c r="V27" s="347"/>
      <c r="W27" s="347"/>
      <c r="X27" s="347"/>
      <c r="Y27" s="347"/>
    </row>
    <row r="28" spans="1:25">
      <c r="A28" s="362"/>
      <c r="B28" s="363"/>
      <c r="C28" s="348" t="str">
        <v>网络</v>
      </c>
      <c r="D28" s="350"/>
      <c r="E28" s="349"/>
      <c r="F28" s="347"/>
      <c r="G28" s="347"/>
      <c r="H28" s="347"/>
      <c r="I28" s="347"/>
      <c r="J28" s="359"/>
      <c r="K28" s="364"/>
      <c r="L28" s="365"/>
      <c r="M28" s="365"/>
      <c r="N28" s="365"/>
      <c r="O28" s="366"/>
      <c r="P28" s="354" t="str">
        <v>subAction_wifi_close_page</v>
      </c>
      <c r="Q28" s="355"/>
      <c r="R28" s="355"/>
      <c r="S28" s="355"/>
      <c r="T28" s="356"/>
      <c r="U28" s="346"/>
      <c r="V28" s="347"/>
      <c r="W28" s="347"/>
      <c r="X28" s="347"/>
      <c r="Y28" s="347"/>
    </row>
    <row r="29" spans="1:25">
      <c r="A29" s="362"/>
      <c r="B29" s="363"/>
      <c r="C29" s="348" t="str">
        <v>热点</v>
      </c>
      <c r="D29" s="350"/>
      <c r="E29" s="349"/>
      <c r="F29" s="347"/>
      <c r="G29" s="347"/>
      <c r="H29" s="347"/>
      <c r="I29" s="347"/>
      <c r="J29" s="359"/>
      <c r="K29" s="364"/>
      <c r="L29" s="365"/>
      <c r="M29" s="365"/>
      <c r="N29" s="365"/>
      <c r="O29" s="366"/>
      <c r="P29" s="354" t="str">
        <v>subAction_hotspot_close_page</v>
      </c>
      <c r="Q29" s="355"/>
      <c r="R29" s="355"/>
      <c r="S29" s="355"/>
      <c r="T29" s="356"/>
      <c r="U29" s="346"/>
      <c r="V29" s="347"/>
      <c r="W29" s="347"/>
      <c r="X29" s="347"/>
      <c r="Y29" s="347"/>
    </row>
    <row r="30" spans="1:25">
      <c r="A30" s="360"/>
      <c r="B30" s="361"/>
      <c r="C30" s="348" t="str">
        <v>蜂窝数据</v>
      </c>
      <c r="D30" s="350"/>
      <c r="E30" s="349"/>
      <c r="F30" s="347"/>
      <c r="G30" s="347"/>
      <c r="H30" s="347"/>
      <c r="I30" s="347"/>
      <c r="J30" s="359"/>
      <c r="K30" s="343"/>
      <c r="L30" s="344"/>
      <c r="M30" s="344"/>
      <c r="N30" s="344"/>
      <c r="O30" s="345"/>
      <c r="P30" s="354" t="str">
        <v>subAction_cellular_close_page</v>
      </c>
      <c r="Q30" s="355"/>
      <c r="R30" s="355"/>
      <c r="S30" s="355"/>
      <c r="T30" s="356"/>
      <c r="U30" s="346"/>
      <c r="V30" s="347"/>
      <c r="W30" s="347"/>
      <c r="X30" s="347"/>
      <c r="Y30" s="347"/>
    </row>
    <row r="31" spans="1:25">
      <c r="A31" s="348" t="str">
        <v>安全</v>
      </c>
      <c r="B31" s="349"/>
      <c r="C31" s="348" t="str">
        <v>NA</v>
      </c>
      <c r="D31" s="350"/>
      <c r="E31" s="349"/>
      <c r="F31" s="347"/>
      <c r="G31" s="347"/>
      <c r="H31" s="347"/>
      <c r="I31" s="347"/>
      <c r="J31" s="359"/>
      <c r="K31" s="351" t="str">
        <v>subAction_security_close_page</v>
      </c>
      <c r="L31" s="352"/>
      <c r="M31" s="352"/>
      <c r="N31" s="352"/>
      <c r="O31" s="353"/>
      <c r="P31" s="354" t="str">
        <v>subAction_security_close_page</v>
      </c>
      <c r="Q31" s="355"/>
      <c r="R31" s="355"/>
      <c r="S31" s="355"/>
      <c r="T31" s="356"/>
      <c r="U31" s="346"/>
      <c r="V31" s="347"/>
      <c r="W31" s="347"/>
      <c r="X31" s="347"/>
      <c r="Y31" s="347"/>
    </row>
    <row r="32" spans="1:25">
      <c r="A32" s="348" t="str">
        <v>通用</v>
      </c>
      <c r="B32" s="349"/>
      <c r="C32" s="348" t="str">
        <v>NA</v>
      </c>
      <c r="D32" s="350"/>
      <c r="E32" s="349"/>
      <c r="F32" s="342"/>
      <c r="G32" s="342"/>
      <c r="H32" s="342"/>
      <c r="I32" s="342"/>
      <c r="J32" s="341"/>
      <c r="K32" s="351" t="str">
        <v>subAction_general_close_page</v>
      </c>
      <c r="L32" s="352"/>
      <c r="M32" s="352"/>
      <c r="N32" s="352"/>
      <c r="O32" s="353"/>
      <c r="P32" s="354" t="str">
        <v>subAction_general_close_page</v>
      </c>
      <c r="Q32" s="355"/>
      <c r="R32" s="355"/>
      <c r="S32" s="355"/>
      <c r="T32" s="356"/>
      <c r="U32" s="346"/>
      <c r="V32" s="347"/>
      <c r="W32" s="347"/>
      <c r="X32" s="347"/>
      <c r="Y32" s="347"/>
    </row>
    <row r="33" spans="1:25">
      <c r="A33" s="348" t="str">
        <v>负一屏</v>
      </c>
      <c r="B33" s="349"/>
      <c r="C33" s="348" t="str">
        <v>NA</v>
      </c>
      <c r="D33" s="350"/>
      <c r="E33" s="349"/>
      <c r="F33" s="348" t="str">
        <v>通过广播：
action : com.zone.intent.action_CLOSE_STATUS_BAR_PANEL
key: panelName
values: main_control_center_panel</v>
      </c>
      <c r="G33" s="350"/>
      <c r="H33" s="350"/>
      <c r="I33" s="350"/>
      <c r="J33" s="349"/>
      <c r="K33" s="1"/>
      <c r="L33" s="1"/>
      <c r="M33" s="1"/>
      <c r="N33" s="1"/>
      <c r="O33" s="1"/>
      <c r="P33" s="1"/>
      <c r="Q33" s="1"/>
      <c r="R33" s="1"/>
      <c r="S33" s="1"/>
      <c r="T33" s="1"/>
      <c r="U33" s="348" t="str">
        <v>adb shell am broadcast -a com.zone.intent.action_CLOSE_STATUS_BAR_PANEL --es panelName main_control_center_panel</v>
      </c>
      <c r="V33" s="350"/>
      <c r="W33" s="350"/>
      <c r="X33" s="350"/>
      <c r="Y33" s="349"/>
    </row>
  </sheetData>
  <mergeCells count="100">
    <mergeCell ref="A1:B2"/>
    <mergeCell ref="C1:E2"/>
    <mergeCell ref="F1:J2"/>
    <mergeCell ref="K1:O2"/>
    <mergeCell ref="P1:T2"/>
    <mergeCell ref="U1:Y2"/>
    <mergeCell ref="A3:B3"/>
    <mergeCell ref="C3:E3"/>
    <mergeCell ref="F3:J32"/>
    <mergeCell ref="K3:O3"/>
    <mergeCell ref="P3:T3"/>
    <mergeCell ref="U3:Y32"/>
    <mergeCell ref="A4:B5"/>
    <mergeCell ref="C4:E4"/>
    <mergeCell ref="K4:O5"/>
    <mergeCell ref="P4:T4"/>
    <mergeCell ref="C5:E5"/>
    <mergeCell ref="P5:T5"/>
    <mergeCell ref="A6:B9"/>
    <mergeCell ref="C6:E6"/>
    <mergeCell ref="K6:O9"/>
    <mergeCell ref="P6:T6"/>
    <mergeCell ref="C7:E7"/>
    <mergeCell ref="P7:T7"/>
    <mergeCell ref="C8:E8"/>
    <mergeCell ref="P8:T8"/>
    <mergeCell ref="C9:E9"/>
    <mergeCell ref="P9:T9"/>
    <mergeCell ref="A10:B14"/>
    <mergeCell ref="C10:E10"/>
    <mergeCell ref="K10:O14"/>
    <mergeCell ref="P10:T10"/>
    <mergeCell ref="C11:E11"/>
    <mergeCell ref="P11:T11"/>
    <mergeCell ref="C12:E12"/>
    <mergeCell ref="P12:T12"/>
    <mergeCell ref="C13:E13"/>
    <mergeCell ref="P13:T13"/>
    <mergeCell ref="C14:E14"/>
    <mergeCell ref="P14:T14"/>
    <mergeCell ref="A15:B17"/>
    <mergeCell ref="C15:E15"/>
    <mergeCell ref="K15:O17"/>
    <mergeCell ref="P15:T15"/>
    <mergeCell ref="C16:E16"/>
    <mergeCell ref="P16:T16"/>
    <mergeCell ref="C17:E17"/>
    <mergeCell ref="P17:T17"/>
    <mergeCell ref="A18:B19"/>
    <mergeCell ref="C18:E18"/>
    <mergeCell ref="K18:O19"/>
    <mergeCell ref="P18:T18"/>
    <mergeCell ref="C19:E19"/>
    <mergeCell ref="P19:T19"/>
    <mergeCell ref="A20:B20"/>
    <mergeCell ref="C20:E20"/>
    <mergeCell ref="K20:O20"/>
    <mergeCell ref="P20:T20"/>
    <mergeCell ref="A21:B22"/>
    <mergeCell ref="C21:E21"/>
    <mergeCell ref="K21:O22"/>
    <mergeCell ref="P21:T21"/>
    <mergeCell ref="C22:E22"/>
    <mergeCell ref="P22:T22"/>
    <mergeCell ref="A23:B23"/>
    <mergeCell ref="C23:E23"/>
    <mergeCell ref="K23:O23"/>
    <mergeCell ref="P23:T23"/>
    <mergeCell ref="A24:B26"/>
    <mergeCell ref="C24:E24"/>
    <mergeCell ref="K24:O26"/>
    <mergeCell ref="P24:T24"/>
    <mergeCell ref="C25:E25"/>
    <mergeCell ref="P25:T25"/>
    <mergeCell ref="C26:E26"/>
    <mergeCell ref="P26:T26"/>
    <mergeCell ref="A27:B30"/>
    <mergeCell ref="C27:E27"/>
    <mergeCell ref="K27:O30"/>
    <mergeCell ref="P27:T27"/>
    <mergeCell ref="C28:E28"/>
    <mergeCell ref="P28:T28"/>
    <mergeCell ref="C29:E29"/>
    <mergeCell ref="P29:T29"/>
    <mergeCell ref="C30:E30"/>
    <mergeCell ref="P30:T30"/>
    <mergeCell ref="A31:B31"/>
    <mergeCell ref="C31:E31"/>
    <mergeCell ref="K31:O31"/>
    <mergeCell ref="P31:T31"/>
    <mergeCell ref="A32:B32"/>
    <mergeCell ref="C32:E32"/>
    <mergeCell ref="K32:O32"/>
    <mergeCell ref="P32:T32"/>
    <mergeCell ref="A33:B33"/>
    <mergeCell ref="C33:E33"/>
    <mergeCell ref="F33:J33"/>
    <mergeCell ref="K33:O33"/>
    <mergeCell ref="P33:T33"/>
    <mergeCell ref="U33:Y33"/>
  </mergeCell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20" width="15" style="1" customWidth="1"/>
  </cols>
  <sheetData>
    <row r="1" spans="1:20">
      <c r="A1" s="334" t="str">
        <v>主tab</v>
      </c>
      <c r="B1" s="335"/>
      <c r="C1" s="334" t="str">
        <v>子tab</v>
      </c>
      <c r="D1" s="336"/>
      <c r="E1" s="335"/>
      <c r="F1" s="334" t="str">
        <v>Action</v>
      </c>
      <c r="G1" s="336"/>
      <c r="H1" s="336"/>
      <c r="I1" s="336"/>
      <c r="J1" s="335"/>
      <c r="K1" s="334" t="str">
        <v>subAction</v>
      </c>
      <c r="L1" s="336"/>
      <c r="M1" s="336"/>
      <c r="N1" s="336"/>
      <c r="O1" s="335"/>
      <c r="P1" s="334" t="str">
        <v>备注</v>
      </c>
      <c r="Q1" s="336"/>
      <c r="R1" s="336"/>
      <c r="S1" s="336"/>
      <c r="T1" s="336"/>
    </row>
    <row r="2" spans="1:20">
      <c r="A2" s="340"/>
      <c r="B2" s="341"/>
      <c r="C2" s="340"/>
      <c r="D2" s="342"/>
      <c r="E2" s="341"/>
      <c r="F2" s="340"/>
      <c r="G2" s="342"/>
      <c r="H2" s="342"/>
      <c r="I2" s="342"/>
      <c r="J2" s="341"/>
      <c r="K2" s="340"/>
      <c r="L2" s="342"/>
      <c r="M2" s="342"/>
      <c r="N2" s="342"/>
      <c r="O2" s="341"/>
      <c r="P2" s="346"/>
      <c r="Q2" s="347"/>
      <c r="R2" s="347"/>
      <c r="S2" s="347"/>
      <c r="T2" s="347"/>
    </row>
    <row r="3" spans="1:20">
      <c r="A3" s="348" t="str">
        <v>我的爱车</v>
      </c>
      <c r="B3" s="349"/>
      <c r="C3" s="348" t="str">
        <v>NA</v>
      </c>
      <c r="D3" s="350"/>
      <c r="E3" s="349"/>
      <c r="F3" s="336" t="str">
        <v>com.zone.settings.action.CLOSE_PAGE</v>
      </c>
      <c r="G3" s="336"/>
      <c r="H3" s="336"/>
      <c r="I3" s="336"/>
      <c r="J3" s="335"/>
      <c r="K3" s="354" t="str">
        <v>subAction_mycar_close_page</v>
      </c>
      <c r="L3" s="355"/>
      <c r="M3" s="355"/>
      <c r="N3" s="355"/>
      <c r="O3" s="356"/>
      <c r="P3" s="334" t="inlineStr">
        <is>
          <r>
            <rPr>
              <sz val="12"/>
              <color rgb="FF000000"/>
              <rFont val="Arial"/>
            </rPr>
            <t xml:space="preserve">
</t>
          </r>
          <r>
            <rPr>
              <sz val="12"/>
              <color rgb="FF000000"/>
              <rFont val="Arial"/>
            </rPr>
            <t xml:space="preserve">1.测试命令
adb shell am broadcast -a com.zone.settings.action.CLOSE_PAGE -p com.zone.hmi.settings --es SUB_ACTION </t>
          </r>
          <r>
            <rPr>
              <sz val="12"/>
              <color rgb="FFD83931"/>
              <rFont val="Arial"/>
            </rPr>
            <t xml:space="preserve">对应页面的subAction
</t>
          </r>
          <r>
            <rPr>
              <sz val="12"/>
              <color rgb="FFFF0000"/>
              <rFont val="Arial"/>
            </rPr>
            <t xml:space="preserve"> </t>
          </r>
        </is>
      </c>
      <c r="Q3" s="336"/>
      <c r="R3" s="336"/>
      <c r="S3" s="336"/>
      <c r="T3" s="336"/>
    </row>
    <row r="4" spans="1:20">
      <c r="A4" s="357" t="str">
        <v>灯光</v>
      </c>
      <c r="B4" s="358"/>
      <c r="C4" s="348" t="str">
        <v>车外灯</v>
      </c>
      <c r="D4" s="350"/>
      <c r="E4" s="349"/>
      <c r="F4" s="347"/>
      <c r="G4" s="347"/>
      <c r="H4" s="347"/>
      <c r="I4" s="347"/>
      <c r="J4" s="359"/>
      <c r="K4" s="354" t="str">
        <v>subAction_outer_light_close_page</v>
      </c>
      <c r="L4" s="355"/>
      <c r="M4" s="355"/>
      <c r="N4" s="355"/>
      <c r="O4" s="356"/>
      <c r="P4" s="346"/>
      <c r="Q4" s="347"/>
      <c r="R4" s="347"/>
      <c r="S4" s="347"/>
      <c r="T4" s="347"/>
    </row>
    <row r="5" spans="1:20">
      <c r="A5" s="360"/>
      <c r="B5" s="361"/>
      <c r="C5" s="348" t="str">
        <v>车内灯</v>
      </c>
      <c r="D5" s="350"/>
      <c r="E5" s="349"/>
      <c r="F5" s="347"/>
      <c r="G5" s="347"/>
      <c r="H5" s="347"/>
      <c r="I5" s="347"/>
      <c r="J5" s="359"/>
      <c r="K5" s="354" t="str">
        <v>subAction_ambient_light_close_page</v>
      </c>
      <c r="L5" s="355"/>
      <c r="M5" s="355"/>
      <c r="N5" s="355"/>
      <c r="O5" s="356"/>
      <c r="P5" s="346"/>
      <c r="Q5" s="347"/>
      <c r="R5" s="347"/>
      <c r="S5" s="347"/>
      <c r="T5" s="347"/>
    </row>
    <row r="6" spans="1:20">
      <c r="A6" s="357" t="str">
        <v>座椅</v>
      </c>
      <c r="B6" s="358"/>
      <c r="C6" s="348" t="str">
        <v>主驾</v>
      </c>
      <c r="D6" s="350"/>
      <c r="E6" s="349"/>
      <c r="F6" s="347"/>
      <c r="G6" s="347"/>
      <c r="H6" s="347"/>
      <c r="I6" s="347"/>
      <c r="J6" s="359"/>
      <c r="K6" s="354" t="str">
        <v>subAction_seat_close_driver_seat</v>
      </c>
      <c r="L6" s="355"/>
      <c r="M6" s="355"/>
      <c r="N6" s="355"/>
      <c r="O6" s="356"/>
      <c r="P6" s="346"/>
      <c r="Q6" s="347"/>
      <c r="R6" s="347"/>
      <c r="S6" s="347"/>
      <c r="T6" s="347"/>
    </row>
    <row r="7" spans="1:20">
      <c r="A7" s="362"/>
      <c r="B7" s="363"/>
      <c r="C7" s="348" t="str">
        <v>副驾</v>
      </c>
      <c r="D7" s="350"/>
      <c r="E7" s="349"/>
      <c r="F7" s="347"/>
      <c r="G7" s="347"/>
      <c r="H7" s="347"/>
      <c r="I7" s="347"/>
      <c r="J7" s="359"/>
      <c r="K7" s="354" t="str">
        <v>subAction_seat_close_passenger_seat</v>
      </c>
      <c r="L7" s="355"/>
      <c r="M7" s="355"/>
      <c r="N7" s="355"/>
      <c r="O7" s="356"/>
      <c r="P7" s="346"/>
      <c r="Q7" s="347"/>
      <c r="R7" s="347"/>
      <c r="S7" s="347"/>
      <c r="T7" s="347"/>
    </row>
    <row r="8" spans="1:20">
      <c r="A8" s="362"/>
      <c r="B8" s="363"/>
      <c r="C8" s="348" t="str">
        <v>后右</v>
      </c>
      <c r="D8" s="350"/>
      <c r="E8" s="349"/>
      <c r="F8" s="347"/>
      <c r="G8" s="347"/>
      <c r="H8" s="347"/>
      <c r="I8" s="347"/>
      <c r="J8" s="359"/>
      <c r="K8" s="354" t="str">
        <v>subAction_seat_close_back_right_seat</v>
      </c>
      <c r="L8" s="355"/>
      <c r="M8" s="355"/>
      <c r="N8" s="355"/>
      <c r="O8" s="356"/>
      <c r="P8" s="346"/>
      <c r="Q8" s="347"/>
      <c r="R8" s="347"/>
      <c r="S8" s="347"/>
      <c r="T8" s="347"/>
    </row>
    <row r="9" spans="1:20">
      <c r="A9" s="360"/>
      <c r="B9" s="361"/>
      <c r="C9" s="348" t="str">
        <v>后左</v>
      </c>
      <c r="D9" s="350"/>
      <c r="E9" s="349"/>
      <c r="F9" s="347"/>
      <c r="G9" s="347"/>
      <c r="H9" s="347"/>
      <c r="I9" s="347"/>
      <c r="J9" s="359"/>
      <c r="K9" s="354" t="str">
        <v>subAction_seat_close_back_left_seat</v>
      </c>
      <c r="L9" s="355"/>
      <c r="M9" s="355"/>
      <c r="N9" s="355"/>
      <c r="O9" s="356"/>
      <c r="P9" s="346"/>
      <c r="Q9" s="347"/>
      <c r="R9" s="347"/>
      <c r="S9" s="347"/>
      <c r="T9" s="347"/>
    </row>
    <row r="10" spans="1:20">
      <c r="A10" s="357" t="str">
        <v>车辆</v>
      </c>
      <c r="B10" s="358"/>
      <c r="C10" s="348" t="str">
        <v>门窗</v>
      </c>
      <c r="D10" s="350"/>
      <c r="E10" s="349"/>
      <c r="F10" s="347"/>
      <c r="G10" s="347"/>
      <c r="H10" s="347"/>
      <c r="I10" s="347"/>
      <c r="J10" s="359"/>
      <c r="K10" s="354" t="str">
        <v>subAction_vehicle_door_window_close_page</v>
      </c>
      <c r="L10" s="355"/>
      <c r="M10" s="355"/>
      <c r="N10" s="355"/>
      <c r="O10" s="355"/>
      <c r="P10" s="346"/>
      <c r="Q10" s="347"/>
      <c r="R10" s="347"/>
      <c r="S10" s="347"/>
      <c r="T10" s="347"/>
    </row>
    <row r="11" spans="1:20">
      <c r="A11" s="362"/>
      <c r="B11" s="363"/>
      <c r="C11" s="348" t="str">
        <v>快捷按键</v>
      </c>
      <c r="D11" s="350"/>
      <c r="E11" s="349"/>
      <c r="F11" s="347"/>
      <c r="G11" s="347"/>
      <c r="H11" s="347"/>
      <c r="I11" s="347"/>
      <c r="J11" s="359"/>
      <c r="K11" s="354" t="str">
        <v>subAction_vehicle_quick_set_close_page</v>
      </c>
      <c r="L11" s="355"/>
      <c r="M11" s="355"/>
      <c r="N11" s="355"/>
      <c r="O11" s="355"/>
      <c r="P11" s="346"/>
      <c r="Q11" s="347"/>
      <c r="R11" s="347"/>
      <c r="S11" s="347"/>
      <c r="T11" s="347"/>
    </row>
    <row r="12" spans="1:20">
      <c r="A12" s="362"/>
      <c r="B12" s="363"/>
      <c r="C12" s="348" t="str">
        <v>冰箱</v>
      </c>
      <c r="D12" s="350"/>
      <c r="E12" s="349"/>
      <c r="F12" s="347"/>
      <c r="G12" s="347"/>
      <c r="H12" s="347"/>
      <c r="I12" s="347"/>
      <c r="J12" s="359"/>
      <c r="K12" s="354" t="str">
        <v>subAction_vehicle_fridge_close_page</v>
      </c>
      <c r="L12" s="355"/>
      <c r="M12" s="355"/>
      <c r="N12" s="355"/>
      <c r="O12" s="355"/>
      <c r="P12" s="346"/>
      <c r="Q12" s="347"/>
      <c r="R12" s="347"/>
      <c r="S12" s="347"/>
      <c r="T12" s="347"/>
    </row>
    <row r="13" spans="1:20">
      <c r="A13" s="362"/>
      <c r="B13" s="363"/>
      <c r="C13" s="348" t="str">
        <v>雨刮后视镜</v>
      </c>
      <c r="D13" s="350"/>
      <c r="E13" s="349"/>
      <c r="F13" s="347"/>
      <c r="G13" s="347"/>
      <c r="H13" s="347"/>
      <c r="I13" s="347"/>
      <c r="J13" s="359"/>
      <c r="K13" s="354" t="str">
        <v>subAction_vehicle_wiper_rear_close_page</v>
      </c>
      <c r="L13" s="355"/>
      <c r="M13" s="355"/>
      <c r="N13" s="355"/>
      <c r="O13" s="355"/>
      <c r="P13" s="346"/>
      <c r="Q13" s="347"/>
      <c r="R13" s="347"/>
      <c r="S13" s="347"/>
      <c r="T13" s="347"/>
    </row>
    <row r="14" spans="1:20">
      <c r="A14" s="360"/>
      <c r="B14" s="361"/>
      <c r="C14" s="348" t="str">
        <v>数字钥匙</v>
      </c>
      <c r="D14" s="350"/>
      <c r="E14" s="349"/>
      <c r="F14" s="347"/>
      <c r="G14" s="347"/>
      <c r="H14" s="347"/>
      <c r="I14" s="347"/>
      <c r="J14" s="359"/>
      <c r="K14" s="354" t="str">
        <v>subAction_vehicle_digital_close_page</v>
      </c>
      <c r="L14" s="355"/>
      <c r="M14" s="355"/>
      <c r="N14" s="355"/>
      <c r="O14" s="355"/>
      <c r="P14" s="346"/>
      <c r="Q14" s="347"/>
      <c r="R14" s="347"/>
      <c r="S14" s="347"/>
      <c r="T14" s="347"/>
    </row>
    <row r="15" spans="1:20">
      <c r="A15" s="357" t="str">
        <v>辅助驾驶</v>
      </c>
      <c r="B15" s="358"/>
      <c r="C15" s="348" t="str">
        <v>行车辅助</v>
      </c>
      <c r="D15" s="350"/>
      <c r="E15" s="349"/>
      <c r="F15" s="347"/>
      <c r="G15" s="347"/>
      <c r="H15" s="347"/>
      <c r="I15" s="347"/>
      <c r="J15" s="359"/>
      <c r="K15" s="354" t="str">
        <v>subAction_drive_assist_close_driving_assistance</v>
      </c>
      <c r="L15" s="355"/>
      <c r="M15" s="355"/>
      <c r="N15" s="355"/>
      <c r="O15" s="356"/>
      <c r="P15" s="346"/>
      <c r="Q15" s="347"/>
      <c r="R15" s="347"/>
      <c r="S15" s="347"/>
      <c r="T15" s="347"/>
    </row>
    <row r="16" spans="1:20">
      <c r="A16" s="362"/>
      <c r="B16" s="363"/>
      <c r="C16" s="348" t="str">
        <v>主动安全</v>
      </c>
      <c r="D16" s="350"/>
      <c r="E16" s="349"/>
      <c r="F16" s="347"/>
      <c r="G16" s="347"/>
      <c r="H16" s="347"/>
      <c r="I16" s="347"/>
      <c r="J16" s="359"/>
      <c r="K16" s="354" t="str">
        <v>subAction_drive_assist_close_active_safety</v>
      </c>
      <c r="L16" s="355"/>
      <c r="M16" s="355"/>
      <c r="N16" s="355"/>
      <c r="O16" s="356"/>
      <c r="P16" s="346"/>
      <c r="Q16" s="347"/>
      <c r="R16" s="347"/>
      <c r="S16" s="347"/>
      <c r="T16" s="347"/>
    </row>
    <row r="17" spans="1:20">
      <c r="A17" s="360"/>
      <c r="B17" s="361"/>
      <c r="C17" s="348" t="str">
        <v>泊车设置</v>
      </c>
      <c r="D17" s="350"/>
      <c r="E17" s="349"/>
      <c r="F17" s="347"/>
      <c r="G17" s="347"/>
      <c r="H17" s="347"/>
      <c r="I17" s="347"/>
      <c r="J17" s="359"/>
      <c r="K17" s="354" t="str">
        <v>subAction_drive_assist_close_parking_setting</v>
      </c>
      <c r="L17" s="355"/>
      <c r="M17" s="355"/>
      <c r="N17" s="355"/>
      <c r="O17" s="356"/>
      <c r="P17" s="346"/>
      <c r="Q17" s="347"/>
      <c r="R17" s="347"/>
      <c r="S17" s="347"/>
      <c r="T17" s="347"/>
    </row>
    <row r="18" spans="1:20">
      <c r="A18" s="357" t="str">
        <v>驾驶体验</v>
      </c>
      <c r="B18" s="358"/>
      <c r="C18" s="348" t="str">
        <v>驾驶模式</v>
      </c>
      <c r="D18" s="350"/>
      <c r="E18" s="349"/>
      <c r="F18" s="347"/>
      <c r="G18" s="347"/>
      <c r="H18" s="347"/>
      <c r="I18" s="347"/>
      <c r="J18" s="359"/>
      <c r="K18" s="354" t="str">
        <v>subAction_drive_mode_close_page</v>
      </c>
      <c r="L18" s="355"/>
      <c r="M18" s="355"/>
      <c r="N18" s="355"/>
      <c r="O18" s="356"/>
      <c r="P18" s="346"/>
      <c r="Q18" s="347"/>
      <c r="R18" s="347"/>
      <c r="S18" s="347"/>
      <c r="T18" s="347"/>
    </row>
    <row r="19" spans="1:20">
      <c r="A19" s="360"/>
      <c r="B19" s="361"/>
      <c r="C19" s="348" t="str">
        <v>制动控制</v>
      </c>
      <c r="D19" s="350"/>
      <c r="E19" s="349"/>
      <c r="F19" s="347"/>
      <c r="G19" s="347"/>
      <c r="H19" s="347"/>
      <c r="I19" s="347"/>
      <c r="J19" s="359"/>
      <c r="K19" s="354" t="str">
        <v>subAction_brake_control_close_page</v>
      </c>
      <c r="L19" s="355"/>
      <c r="M19" s="355"/>
      <c r="N19" s="355"/>
      <c r="O19" s="356"/>
      <c r="P19" s="346"/>
      <c r="Q19" s="347"/>
      <c r="R19" s="347"/>
      <c r="S19" s="347"/>
      <c r="T19" s="347"/>
    </row>
    <row r="20" spans="1:20">
      <c r="A20" s="348" t="str">
        <v>豆包设置</v>
      </c>
      <c r="B20" s="349"/>
      <c r="C20" s="348" t="str">
        <v>NA</v>
      </c>
      <c r="D20" s="350"/>
      <c r="E20" s="349"/>
      <c r="F20" s="347"/>
      <c r="G20" s="347"/>
      <c r="H20" s="347"/>
      <c r="I20" s="347"/>
      <c r="J20" s="359"/>
      <c r="K20" s="354" t="str">
        <v>subAction_doubao_close_page</v>
      </c>
      <c r="L20" s="355"/>
      <c r="M20" s="355"/>
      <c r="N20" s="355"/>
      <c r="O20" s="356"/>
      <c r="P20" s="346"/>
      <c r="Q20" s="347"/>
      <c r="R20" s="347"/>
      <c r="S20" s="347"/>
      <c r="T20" s="347"/>
    </row>
    <row r="21" spans="1:20">
      <c r="A21" s="357" t="str">
        <v>智能化</v>
      </c>
      <c r="B21" s="358"/>
      <c r="C21" s="348" t="str">
        <v>智能视觉</v>
      </c>
      <c r="D21" s="350"/>
      <c r="E21" s="349"/>
      <c r="F21" s="347"/>
      <c r="G21" s="347"/>
      <c r="H21" s="347"/>
      <c r="I21" s="347"/>
      <c r="J21" s="359"/>
      <c r="K21" s="354" t="str">
        <v>subAction_intelligent_vision_close_page</v>
      </c>
      <c r="L21" s="355"/>
      <c r="M21" s="355"/>
      <c r="N21" s="355"/>
      <c r="O21" s="356"/>
      <c r="P21" s="346"/>
      <c r="Q21" s="347"/>
      <c r="R21" s="347"/>
      <c r="S21" s="347"/>
      <c r="T21" s="347"/>
    </row>
    <row r="22" spans="1:20">
      <c r="A22" s="360"/>
      <c r="B22" s="361"/>
      <c r="C22" s="348" t="str">
        <v>智能推荐</v>
      </c>
      <c r="D22" s="350"/>
      <c r="E22" s="349"/>
      <c r="F22" s="347"/>
      <c r="G22" s="347"/>
      <c r="H22" s="347"/>
      <c r="I22" s="347"/>
      <c r="J22" s="359"/>
      <c r="K22" s="354" t="str">
        <v>subAction_intelligent_suggestion_close_page</v>
      </c>
      <c r="L22" s="355"/>
      <c r="M22" s="355"/>
      <c r="N22" s="355"/>
      <c r="O22" s="356"/>
      <c r="P22" s="346"/>
      <c r="Q22" s="347"/>
      <c r="R22" s="347"/>
      <c r="S22" s="347"/>
      <c r="T22" s="347"/>
    </row>
    <row r="23" spans="1:20">
      <c r="A23" s="348" t="str">
        <v>显示</v>
      </c>
      <c r="B23" s="349"/>
      <c r="C23" s="348" t="str">
        <v>NA</v>
      </c>
      <c r="D23" s="350"/>
      <c r="E23" s="349"/>
      <c r="F23" s="347"/>
      <c r="G23" s="347"/>
      <c r="H23" s="347"/>
      <c r="I23" s="347"/>
      <c r="J23" s="359"/>
      <c r="K23" s="354" t="str">
        <v>subAction_display_close_page</v>
      </c>
      <c r="L23" s="355"/>
      <c r="M23" s="355"/>
      <c r="N23" s="355"/>
      <c r="O23" s="356"/>
      <c r="P23" s="346"/>
      <c r="Q23" s="347"/>
      <c r="R23" s="347"/>
      <c r="S23" s="347"/>
      <c r="T23" s="347"/>
    </row>
    <row r="24" spans="1:20">
      <c r="A24" s="357" t="str">
        <v>声音</v>
      </c>
      <c r="B24" s="358"/>
      <c r="C24" s="348" t="str">
        <v>音量</v>
      </c>
      <c r="D24" s="350"/>
      <c r="E24" s="349"/>
      <c r="F24" s="347"/>
      <c r="G24" s="347"/>
      <c r="H24" s="347"/>
      <c r="I24" s="347"/>
      <c r="J24" s="359"/>
      <c r="K24" s="354" t="str">
        <v>subAction_volume_close_page</v>
      </c>
      <c r="L24" s="355"/>
      <c r="M24" s="355"/>
      <c r="N24" s="355"/>
      <c r="O24" s="356"/>
      <c r="P24" s="346"/>
      <c r="Q24" s="347"/>
      <c r="R24" s="347"/>
      <c r="S24" s="347"/>
      <c r="T24" s="347"/>
    </row>
    <row r="25" spans="1:20">
      <c r="A25" s="362"/>
      <c r="B25" s="363"/>
      <c r="C25" s="348" t="str">
        <v>音效</v>
      </c>
      <c r="D25" s="350"/>
      <c r="E25" s="349"/>
      <c r="F25" s="347"/>
      <c r="G25" s="347"/>
      <c r="H25" s="347"/>
      <c r="I25" s="347"/>
      <c r="J25" s="359"/>
      <c r="K25" s="354" t="str">
        <v>subAction_sound_effect_close_page</v>
      </c>
      <c r="L25" s="355"/>
      <c r="M25" s="355"/>
      <c r="N25" s="355"/>
      <c r="O25" s="356"/>
      <c r="P25" s="346"/>
      <c r="Q25" s="347"/>
      <c r="R25" s="347"/>
      <c r="S25" s="347"/>
      <c r="T25" s="347"/>
    </row>
    <row r="26" spans="1:20">
      <c r="A26" s="360"/>
      <c r="B26" s="361"/>
      <c r="C26" s="348" t="str">
        <v>语音</v>
      </c>
      <c r="D26" s="350"/>
      <c r="E26" s="349"/>
      <c r="F26" s="347"/>
      <c r="G26" s="347"/>
      <c r="H26" s="347"/>
      <c r="I26" s="347"/>
      <c r="J26" s="359"/>
      <c r="K26" s="354" t="str">
        <v>subAction_speech_close_page</v>
      </c>
      <c r="L26" s="355"/>
      <c r="M26" s="355"/>
      <c r="N26" s="355"/>
      <c r="O26" s="356"/>
      <c r="P26" s="346"/>
      <c r="Q26" s="347"/>
      <c r="R26" s="347"/>
      <c r="S26" s="347"/>
      <c r="T26" s="347"/>
    </row>
    <row r="27" spans="1:20">
      <c r="A27" s="357" t="str">
        <v>连接</v>
      </c>
      <c r="B27" s="358"/>
      <c r="C27" s="348" t="str">
        <v>蓝牙</v>
      </c>
      <c r="D27" s="350"/>
      <c r="E27" s="349"/>
      <c r="F27" s="347"/>
      <c r="G27" s="347"/>
      <c r="H27" s="347"/>
      <c r="I27" s="347"/>
      <c r="J27" s="359"/>
      <c r="K27" s="354" t="str">
        <v>subAction_bt_close_page</v>
      </c>
      <c r="L27" s="355"/>
      <c r="M27" s="355"/>
      <c r="N27" s="355"/>
      <c r="O27" s="356"/>
      <c r="P27" s="346"/>
      <c r="Q27" s="347"/>
      <c r="R27" s="347"/>
      <c r="S27" s="347"/>
      <c r="T27" s="347"/>
    </row>
    <row r="28" spans="1:20">
      <c r="A28" s="362"/>
      <c r="B28" s="363"/>
      <c r="C28" s="348" t="str">
        <v>网络</v>
      </c>
      <c r="D28" s="350"/>
      <c r="E28" s="349"/>
      <c r="F28" s="347"/>
      <c r="G28" s="347"/>
      <c r="H28" s="347"/>
      <c r="I28" s="347"/>
      <c r="J28" s="359"/>
      <c r="K28" s="354" t="str">
        <v>subAction_wifi_close_page</v>
      </c>
      <c r="L28" s="355"/>
      <c r="M28" s="355"/>
      <c r="N28" s="355"/>
      <c r="O28" s="356"/>
      <c r="P28" s="346"/>
      <c r="Q28" s="347"/>
      <c r="R28" s="347"/>
      <c r="S28" s="347"/>
      <c r="T28" s="347"/>
    </row>
    <row r="29" spans="1:20">
      <c r="A29" s="362"/>
      <c r="B29" s="363"/>
      <c r="C29" s="348" t="str">
        <v>热点</v>
      </c>
      <c r="D29" s="350"/>
      <c r="E29" s="349"/>
      <c r="F29" s="347"/>
      <c r="G29" s="347"/>
      <c r="H29" s="347"/>
      <c r="I29" s="347"/>
      <c r="J29" s="359"/>
      <c r="K29" s="354" t="str">
        <v>subAction_hotspot_close_page</v>
      </c>
      <c r="L29" s="355"/>
      <c r="M29" s="355"/>
      <c r="N29" s="355"/>
      <c r="O29" s="356"/>
      <c r="P29" s="346"/>
      <c r="Q29" s="347"/>
      <c r="R29" s="347"/>
      <c r="S29" s="347"/>
      <c r="T29" s="347"/>
    </row>
    <row r="30" spans="1:20">
      <c r="A30" s="360"/>
      <c r="B30" s="361"/>
      <c r="C30" s="348" t="str">
        <v>蜂窝数据</v>
      </c>
      <c r="D30" s="350"/>
      <c r="E30" s="349"/>
      <c r="F30" s="347"/>
      <c r="G30" s="347"/>
      <c r="H30" s="347"/>
      <c r="I30" s="347"/>
      <c r="J30" s="359"/>
      <c r="K30" s="354" t="str">
        <v>subAction_cellular_close_page</v>
      </c>
      <c r="L30" s="355"/>
      <c r="M30" s="355"/>
      <c r="N30" s="355"/>
      <c r="O30" s="356"/>
      <c r="P30" s="346"/>
      <c r="Q30" s="347"/>
      <c r="R30" s="347"/>
      <c r="S30" s="347"/>
      <c r="T30" s="347"/>
    </row>
    <row r="31" spans="1:20">
      <c r="A31" s="348" t="str">
        <v>安全</v>
      </c>
      <c r="B31" s="349"/>
      <c r="C31" s="348" t="str">
        <v>NA</v>
      </c>
      <c r="D31" s="350"/>
      <c r="E31" s="349"/>
      <c r="F31" s="347"/>
      <c r="G31" s="347"/>
      <c r="H31" s="347"/>
      <c r="I31" s="347"/>
      <c r="J31" s="359"/>
      <c r="K31" s="354" t="str">
        <v>subAction_security_close_page</v>
      </c>
      <c r="L31" s="355"/>
      <c r="M31" s="355"/>
      <c r="N31" s="355"/>
      <c r="O31" s="356"/>
      <c r="P31" s="346"/>
      <c r="Q31" s="347"/>
      <c r="R31" s="347"/>
      <c r="S31" s="347"/>
      <c r="T31" s="347"/>
    </row>
    <row r="32" spans="1:20">
      <c r="A32" s="348" t="str">
        <v>通用</v>
      </c>
      <c r="B32" s="349"/>
      <c r="C32" s="348" t="str">
        <v>NA</v>
      </c>
      <c r="D32" s="350"/>
      <c r="E32" s="349"/>
      <c r="F32" s="342"/>
      <c r="G32" s="342"/>
      <c r="H32" s="342"/>
      <c r="I32" s="342"/>
      <c r="J32" s="341"/>
      <c r="K32" s="354" t="str">
        <v>subAction_general_close_page</v>
      </c>
      <c r="L32" s="355"/>
      <c r="M32" s="355"/>
      <c r="N32" s="355"/>
      <c r="O32" s="356"/>
      <c r="P32" s="346"/>
      <c r="Q32" s="347"/>
      <c r="R32" s="347"/>
      <c r="S32" s="347"/>
      <c r="T32" s="347"/>
    </row>
  </sheetData>
  <mergeCells count="80">
    <mergeCell ref="A1:B2"/>
    <mergeCell ref="C1:E2"/>
    <mergeCell ref="F1:J2"/>
    <mergeCell ref="K1:O2"/>
    <mergeCell ref="P1:T2"/>
    <mergeCell ref="A3:B3"/>
    <mergeCell ref="C3:E3"/>
    <mergeCell ref="F3:J32"/>
    <mergeCell ref="K3:O3"/>
    <mergeCell ref="P3:T32"/>
    <mergeCell ref="A4:B5"/>
    <mergeCell ref="C4:E4"/>
    <mergeCell ref="K4:O4"/>
    <mergeCell ref="C5:E5"/>
    <mergeCell ref="K5:O5"/>
    <mergeCell ref="A6:B9"/>
    <mergeCell ref="C6:E6"/>
    <mergeCell ref="K6:O6"/>
    <mergeCell ref="C7:E7"/>
    <mergeCell ref="K7:O7"/>
    <mergeCell ref="C8:E8"/>
    <mergeCell ref="K8:O8"/>
    <mergeCell ref="C9:E9"/>
    <mergeCell ref="K9:O9"/>
    <mergeCell ref="A10:B14"/>
    <mergeCell ref="C10:E10"/>
    <mergeCell ref="K10:O10"/>
    <mergeCell ref="C11:E11"/>
    <mergeCell ref="K11:O11"/>
    <mergeCell ref="C12:E12"/>
    <mergeCell ref="K12:O12"/>
    <mergeCell ref="C13:E13"/>
    <mergeCell ref="K13:O13"/>
    <mergeCell ref="C14:E14"/>
    <mergeCell ref="K14:O14"/>
    <mergeCell ref="A15:B17"/>
    <mergeCell ref="C15:E15"/>
    <mergeCell ref="K15:O15"/>
    <mergeCell ref="C16:E16"/>
    <mergeCell ref="K16:O16"/>
    <mergeCell ref="C17:E17"/>
    <mergeCell ref="K17:O17"/>
    <mergeCell ref="A18:B19"/>
    <mergeCell ref="C18:E18"/>
    <mergeCell ref="K18:O18"/>
    <mergeCell ref="C19:E19"/>
    <mergeCell ref="K19:O19"/>
    <mergeCell ref="A20:B20"/>
    <mergeCell ref="C20:E20"/>
    <mergeCell ref="K20:O20"/>
    <mergeCell ref="A21:B22"/>
    <mergeCell ref="C21:E21"/>
    <mergeCell ref="K21:O21"/>
    <mergeCell ref="C22:E22"/>
    <mergeCell ref="K22:O22"/>
    <mergeCell ref="A23:B23"/>
    <mergeCell ref="C23:E23"/>
    <mergeCell ref="K23:O23"/>
    <mergeCell ref="A24:B26"/>
    <mergeCell ref="C24:E24"/>
    <mergeCell ref="K24:O24"/>
    <mergeCell ref="C25:E25"/>
    <mergeCell ref="K25:O25"/>
    <mergeCell ref="C26:E26"/>
    <mergeCell ref="K26:O26"/>
    <mergeCell ref="A27:B30"/>
    <mergeCell ref="C27:E27"/>
    <mergeCell ref="K27:O27"/>
    <mergeCell ref="C28:E28"/>
    <mergeCell ref="K28:O28"/>
    <mergeCell ref="C29:E29"/>
    <mergeCell ref="K29:O29"/>
    <mergeCell ref="C30:E30"/>
    <mergeCell ref="K30:O30"/>
    <mergeCell ref="A31:B31"/>
    <mergeCell ref="C31:E31"/>
    <mergeCell ref="K31:O31"/>
    <mergeCell ref="A32:B32"/>
    <mergeCell ref="C32:E32"/>
    <mergeCell ref="K32:O32"/>
  </mergeCells>
  <pageMargins left="0.7" right="0.7" top="0.75" bottom="0.75" header="0.3" footer="0.3"/>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7.612244786743518" style="1" customWidth="1"/>
    <col min="2" max="2" width="11.571428571428571" style="1" customWidth="1"/>
    <col min="3" max="3" width="14.603174603174596" style="1" customWidth="1"/>
    <col min="4" max="4" width="17.539682539682538" style="1" customWidth="1"/>
    <col min="5" max="5" width="17.730158730158728" style="1" customWidth="1"/>
    <col min="6" max="6" width="20.183673358172086" style="1" customWidth="1"/>
    <col min="7" max="7" width="22.040816215314944" style="1" customWidth="1"/>
    <col min="8" max="8" width="21.326530501029247" style="1" customWidth="1"/>
    <col min="9" max="9" width="19.61224478674353" style="1" customWidth="1"/>
    <col min="10" max="10" width="22.46938764388639" style="1" customWidth="1"/>
    <col min="11" max="11" width="27.04081621531496" style="1" customWidth="1"/>
    <col min="12" max="20" width="15" style="1" customWidth="1"/>
  </cols>
  <sheetData>
    <row r="1" spans="1:11">
      <c r="A1" s="367" t="str">
        <v>日期</v>
      </c>
      <c r="B1" s="367" t="str">
        <v>API需求总数</v>
      </c>
      <c r="C1" s="368" t="str">
        <v>API可用总数</v>
      </c>
      <c r="D1" s="368" t="inlineStr">
        <is>
          <r>
            <t>计划新增API数量</t>
          </r>
          <r>
            <t xml:space="preserve">
</t>
          </r>
          <r>
            <t>@周怀君</t>
          </r>
        </is>
      </c>
      <c r="E1" s="368" t="inlineStr">
        <is>
          <r>
            <t>实际新增API数量</t>
          </r>
          <r>
            <t xml:space="preserve">
</t>
          </r>
          <r>
            <t>@周怀君</t>
          </r>
        </is>
      </c>
      <c r="F1" s="369" t="inlineStr">
        <is>
          <r>
            <t>已开发自测API数量</t>
          </r>
          <r>
            <t xml:space="preserve">
</t>
          </r>
          <r>
            <t>@汪帅</t>
          </r>
        </is>
      </c>
      <c r="G1" s="369" t="inlineStr">
        <is>
          <r>
            <t>计划开发自测API数量</t>
          </r>
          <r>
            <t xml:space="preserve">
</t>
          </r>
          <r>
            <t>@汪帅</t>
          </r>
        </is>
      </c>
      <c r="H1" s="369" t="inlineStr">
        <is>
          <r>
            <t>实际开发自测API数量</t>
          </r>
          <r>
            <t xml:space="preserve">
</t>
          </r>
          <r>
            <t>@汪帅</t>
          </r>
        </is>
      </c>
      <c r="I1" s="370" t="inlineStr">
        <is>
          <r>
            <t>测试通过case数量</t>
          </r>
          <r>
            <t xml:space="preserve">
</t>
          </r>
          <r>
            <t>@赵晓健</t>
          </r>
        </is>
      </c>
      <c r="J1" s="370" t="inlineStr">
        <is>
          <r>
            <t>已测试case数量</t>
          </r>
          <r>
            <t xml:space="preserve">
</t>
          </r>
          <r>
            <t>@赵晓健</t>
          </r>
        </is>
      </c>
      <c r="K1" s="370" t="inlineStr">
        <is>
          <r>
            <t>case总数</t>
          </r>
          <r>
            <t xml:space="preserve">
</t>
          </r>
          <r>
            <t>@赵晓健</t>
          </r>
        </is>
      </c>
    </row>
    <row r="2" spans="1:11">
      <c r="A2" s="53" t="str">
        <v>04.22</v>
      </c>
      <c r="B2" s="19">
        <v>738</v>
      </c>
      <c r="C2" s="19">
        <v>560</v>
      </c>
      <c r="D2" s="19">
        <v>2</v>
      </c>
      <c r="E2" s="19">
        <v>2</v>
      </c>
      <c r="F2" s="19">
        <v>458</v>
      </c>
      <c r="G2" s="19">
        <v>8</v>
      </c>
      <c r="H2" s="19">
        <v>6</v>
      </c>
      <c r="I2" s="19">
        <v>406</v>
      </c>
      <c r="J2" s="19">
        <v>733</v>
      </c>
      <c r="K2" s="19">
        <v>924</v>
      </c>
    </row>
    <row r="3" spans="1:11">
      <c r="A3" s="53" t="str">
        <v>04.23</v>
      </c>
      <c r="B3" s="19">
        <v>738</v>
      </c>
      <c r="C3" s="19">
        <v>560</v>
      </c>
      <c r="D3" s="19">
        <v>3</v>
      </c>
      <c r="E3" s="19">
        <v>3</v>
      </c>
      <c r="F3" s="371">
        <v>469</v>
      </c>
      <c r="G3" s="19">
        <v>7</v>
      </c>
      <c r="H3" s="19">
        <v>8</v>
      </c>
      <c r="I3" s="19">
        <v>427</v>
      </c>
      <c r="J3" s="19">
        <v>744</v>
      </c>
      <c r="K3" s="19">
        <v>935</v>
      </c>
    </row>
    <row r="4" spans="1:11">
      <c r="A4" s="53" t="str">
        <v>04.24</v>
      </c>
      <c r="B4" s="19">
        <v>738</v>
      </c>
      <c r="C4" s="19">
        <v>560</v>
      </c>
      <c r="D4" s="19">
        <v>3</v>
      </c>
      <c r="E4" s="19">
        <v>3</v>
      </c>
      <c r="F4" s="19">
        <v>469</v>
      </c>
      <c r="G4" s="1">
        <v>0</v>
      </c>
      <c r="H4" s="1">
        <v>0</v>
      </c>
      <c r="I4" s="19">
        <v>427</v>
      </c>
      <c r="J4" s="19">
        <v>744</v>
      </c>
      <c r="K4" s="19">
        <v>935</v>
      </c>
    </row>
    <row r="5" spans="1:11">
      <c r="A5" s="53" t="str">
        <v>04.25</v>
      </c>
      <c r="B5" s="19">
        <v>738</v>
      </c>
      <c r="C5" s="19">
        <v>560</v>
      </c>
      <c r="F5" s="19">
        <v>469</v>
      </c>
      <c r="G5" s="1">
        <v>0</v>
      </c>
      <c r="H5" s="1">
        <v>0</v>
      </c>
      <c r="I5" s="19">
        <v>427</v>
      </c>
      <c r="J5" s="19">
        <v>744</v>
      </c>
      <c r="K5" s="19">
        <v>935</v>
      </c>
    </row>
    <row r="6" spans="1:11">
      <c r="A6" s="53" t="str">
        <v>04.26</v>
      </c>
      <c r="B6" s="19">
        <v>738</v>
      </c>
      <c r="C6" s="19">
        <v>560</v>
      </c>
      <c r="D6" s="1">
        <v>0</v>
      </c>
      <c r="E6" s="1">
        <v>0</v>
      </c>
      <c r="F6" s="19">
        <v>469</v>
      </c>
      <c r="G6" s="1">
        <v>0</v>
      </c>
      <c r="H6" s="1">
        <v>0</v>
      </c>
      <c r="I6" s="19">
        <v>427</v>
      </c>
      <c r="J6" s="19">
        <v>744</v>
      </c>
      <c r="K6" s="19">
        <v>935</v>
      </c>
    </row>
    <row r="7" spans="1:8">
      <c r="A7" s="53" t="str">
        <v>04.27</v>
      </c>
      <c r="G7" s="19">
        <v>3</v>
      </c>
      <c r="H7" s="19">
        <v>3</v>
      </c>
    </row>
    <row r="8" spans="1:11">
      <c r="A8" s="53" t="str">
        <v>04.28</v>
      </c>
      <c r="B8" s="19">
        <v>738</v>
      </c>
      <c r="C8" s="19">
        <v>574</v>
      </c>
      <c r="D8" s="1">
        <v>0</v>
      </c>
      <c r="E8" s="1">
        <v>0</v>
      </c>
      <c r="F8" s="19">
        <v>479</v>
      </c>
      <c r="G8" s="19">
        <v>4</v>
      </c>
      <c r="H8" s="19">
        <v>4</v>
      </c>
      <c r="I8" s="19">
        <v>472</v>
      </c>
      <c r="J8" s="19">
        <v>806</v>
      </c>
      <c r="K8" s="19">
        <v>975</v>
      </c>
    </row>
    <row r="9" spans="1:11">
      <c r="A9" s="53" t="str">
        <v>04.29</v>
      </c>
      <c r="B9" s="142">
        <v>738</v>
      </c>
      <c r="C9" s="142">
        <v>573</v>
      </c>
      <c r="D9" s="1">
        <v>0</v>
      </c>
      <c r="E9" s="1">
        <v>0</v>
      </c>
      <c r="F9" s="142">
        <v>479</v>
      </c>
      <c r="G9" s="142">
        <v>7</v>
      </c>
      <c r="H9" s="142">
        <v>7</v>
      </c>
      <c r="I9" s="142">
        <v>472</v>
      </c>
      <c r="J9" s="142">
        <v>806</v>
      </c>
      <c r="K9" s="142">
        <v>975</v>
      </c>
    </row>
    <row r="10" spans="1:11">
      <c r="A10" s="372" t="str">
        <v>04.30</v>
      </c>
      <c r="B10" s="19">
        <v>738</v>
      </c>
      <c r="C10" s="19">
        <v>573</v>
      </c>
      <c r="D10" s="19">
        <v>21</v>
      </c>
      <c r="E10" s="19">
        <v>21</v>
      </c>
      <c r="F10" s="19">
        <v>479</v>
      </c>
      <c r="G10" s="19">
        <v>5</v>
      </c>
      <c r="H10" s="19">
        <v>1</v>
      </c>
      <c r="I10" s="19">
        <v>471</v>
      </c>
      <c r="J10" s="19">
        <v>744</v>
      </c>
      <c r="K10" s="19">
        <v>1011</v>
      </c>
    </row>
    <row r="11" spans="1:11">
      <c r="A11" s="240" t="str">
        <v>05.01</v>
      </c>
      <c r="B11" s="4">
        <v>738</v>
      </c>
      <c r="C11" s="4">
        <v>573</v>
      </c>
      <c r="D11" s="1">
        <v>0</v>
      </c>
      <c r="E11" s="1">
        <v>0</v>
      </c>
      <c r="F11" s="4">
        <v>479</v>
      </c>
      <c r="G11" s="1">
        <v>0</v>
      </c>
      <c r="H11" s="1">
        <v>0</v>
      </c>
      <c r="I11" s="4">
        <v>471</v>
      </c>
      <c r="J11" s="4">
        <v>744</v>
      </c>
      <c r="K11" s="4">
        <v>1011</v>
      </c>
    </row>
    <row r="12" spans="1:11">
      <c r="A12" s="240" t="str">
        <v>05.02</v>
      </c>
      <c r="B12" s="3">
        <v>738</v>
      </c>
      <c r="C12" s="3">
        <v>573</v>
      </c>
      <c r="D12" s="1">
        <v>0</v>
      </c>
      <c r="E12" s="1">
        <v>0</v>
      </c>
      <c r="F12" s="3">
        <v>479</v>
      </c>
      <c r="G12" s="1">
        <v>0</v>
      </c>
      <c r="H12" s="1">
        <v>0</v>
      </c>
      <c r="I12" s="3">
        <v>471</v>
      </c>
      <c r="J12" s="3">
        <v>744</v>
      </c>
      <c r="K12" s="3">
        <v>1011</v>
      </c>
    </row>
    <row r="13" spans="1:11">
      <c r="A13" s="240" t="str">
        <v>05.03</v>
      </c>
      <c r="B13" s="3">
        <v>738</v>
      </c>
      <c r="C13" s="3">
        <v>573</v>
      </c>
      <c r="D13" s="1">
        <v>0</v>
      </c>
      <c r="E13" s="1">
        <v>0</v>
      </c>
      <c r="F13" s="3">
        <v>479</v>
      </c>
      <c r="G13" s="1">
        <v>0</v>
      </c>
      <c r="H13" s="1">
        <v>0</v>
      </c>
      <c r="I13" s="3">
        <v>471</v>
      </c>
      <c r="J13" s="3">
        <v>744</v>
      </c>
      <c r="K13" s="3">
        <v>1011</v>
      </c>
    </row>
    <row r="14" spans="1:11">
      <c r="A14" s="240" t="str">
        <v>05.04</v>
      </c>
      <c r="B14" s="3">
        <v>738</v>
      </c>
      <c r="C14" s="3">
        <v>573</v>
      </c>
      <c r="D14" s="1">
        <v>0</v>
      </c>
      <c r="E14" s="1">
        <v>0</v>
      </c>
      <c r="F14" s="3">
        <v>479</v>
      </c>
      <c r="G14" s="1">
        <v>0</v>
      </c>
      <c r="H14" s="1">
        <v>0</v>
      </c>
      <c r="I14" s="3">
        <v>471</v>
      </c>
      <c r="J14" s="3">
        <v>744</v>
      </c>
      <c r="K14" s="3">
        <v>1011</v>
      </c>
    </row>
    <row r="15" spans="1:11">
      <c r="A15" s="240" t="str">
        <v>05.05</v>
      </c>
      <c r="B15" s="3">
        <v>738</v>
      </c>
      <c r="C15" s="3">
        <v>608</v>
      </c>
      <c r="D15" s="1">
        <v>0</v>
      </c>
      <c r="E15" s="1">
        <v>0</v>
      </c>
      <c r="F15" s="4">
        <v>541</v>
      </c>
      <c r="G15" s="1">
        <v>0</v>
      </c>
      <c r="H15" s="1">
        <v>0</v>
      </c>
      <c r="I15" s="3">
        <v>471</v>
      </c>
      <c r="J15" s="3">
        <v>744</v>
      </c>
      <c r="K15" s="3">
        <v>1011</v>
      </c>
    </row>
    <row r="16" spans="1:11">
      <c r="A16" s="240" t="str">
        <v>05.06</v>
      </c>
      <c r="B16" s="3">
        <v>738</v>
      </c>
      <c r="C16" s="3">
        <v>605</v>
      </c>
      <c r="D16" s="1">
        <v>0</v>
      </c>
      <c r="E16" s="1">
        <v>0</v>
      </c>
      <c r="F16" s="3">
        <v>488</v>
      </c>
      <c r="G16" s="3">
        <v>3</v>
      </c>
      <c r="H16" s="1">
        <v>0</v>
      </c>
      <c r="I16" s="3">
        <v>471</v>
      </c>
      <c r="J16" s="3">
        <v>744</v>
      </c>
      <c r="K16" s="3">
        <v>1011</v>
      </c>
    </row>
    <row r="17" spans="1:11">
      <c r="A17" s="240" t="str">
        <v>05.07</v>
      </c>
      <c r="B17" s="3">
        <v>738</v>
      </c>
      <c r="C17" s="19">
        <v>609</v>
      </c>
      <c r="D17" s="1">
        <v>0</v>
      </c>
      <c r="E17" s="1">
        <v>0</v>
      </c>
      <c r="F17" s="19">
        <v>551</v>
      </c>
      <c r="G17" s="3">
        <v>20</v>
      </c>
      <c r="H17" s="3">
        <v>19</v>
      </c>
      <c r="I17" s="3">
        <v>471</v>
      </c>
      <c r="J17" s="3">
        <v>744</v>
      </c>
      <c r="K17" s="3">
        <v>1011</v>
      </c>
    </row>
    <row r="18" spans="1:11">
      <c r="A18" s="240" t="str">
        <v>05.08</v>
      </c>
      <c r="B18" s="3">
        <v>738</v>
      </c>
      <c r="C18" s="3">
        <v>609</v>
      </c>
      <c r="D18" s="4">
        <v>3</v>
      </c>
      <c r="E18" s="4">
        <v>3</v>
      </c>
      <c r="F18" s="3">
        <v>551</v>
      </c>
      <c r="G18" s="1">
        <v>0</v>
      </c>
      <c r="H18" s="1">
        <v>0</v>
      </c>
      <c r="I18" s="3">
        <v>471</v>
      </c>
      <c r="J18" s="3">
        <v>744</v>
      </c>
      <c r="K18" s="3">
        <v>1011</v>
      </c>
    </row>
    <row r="19" spans="1:11">
      <c r="A19" s="240" t="str">
        <v>05.09</v>
      </c>
      <c r="B19" s="3">
        <v>738</v>
      </c>
      <c r="C19" s="3">
        <v>616</v>
      </c>
      <c r="D19" s="1">
        <v>0</v>
      </c>
      <c r="E19" s="1">
        <v>0</v>
      </c>
      <c r="F19" s="3">
        <v>567</v>
      </c>
      <c r="G19" s="1">
        <v>0</v>
      </c>
      <c r="H19" s="1">
        <v>0</v>
      </c>
      <c r="I19" s="3">
        <v>471</v>
      </c>
      <c r="J19" s="3">
        <v>744</v>
      </c>
      <c r="K19" s="3">
        <v>1011</v>
      </c>
    </row>
    <row r="20" spans="1:11">
      <c r="A20" s="240" t="str">
        <v>05.10</v>
      </c>
      <c r="B20" s="3">
        <v>738</v>
      </c>
      <c r="C20" s="3">
        <v>616</v>
      </c>
      <c r="F20" s="3">
        <v>567</v>
      </c>
      <c r="G20" s="1">
        <v>0</v>
      </c>
      <c r="H20" s="1">
        <v>0</v>
      </c>
      <c r="I20" s="3">
        <v>471</v>
      </c>
      <c r="J20" s="3">
        <v>744</v>
      </c>
      <c r="K20" s="3">
        <v>1011</v>
      </c>
    </row>
    <row r="21" spans="1:11">
      <c r="A21" s="240" t="str">
        <v>05.11</v>
      </c>
      <c r="B21" s="3">
        <v>738</v>
      </c>
      <c r="C21" s="3">
        <v>619</v>
      </c>
      <c r="F21" s="3">
        <v>579</v>
      </c>
      <c r="G21" s="3">
        <v>11</v>
      </c>
      <c r="H21" s="3">
        <v>11</v>
      </c>
      <c r="I21" s="3">
        <v>471</v>
      </c>
      <c r="J21" s="3">
        <v>744</v>
      </c>
      <c r="K21" s="3">
        <v>1011</v>
      </c>
    </row>
    <row r="22" spans="1:11">
      <c r="A22" s="240" t="str">
        <v>05.12</v>
      </c>
      <c r="B22" s="3">
        <v>738</v>
      </c>
      <c r="C22" s="3">
        <v>619</v>
      </c>
      <c r="F22" s="3">
        <v>579</v>
      </c>
      <c r="G22" s="3">
        <v>1</v>
      </c>
      <c r="H22" s="3">
        <v>1</v>
      </c>
      <c r="I22" s="3">
        <v>471</v>
      </c>
      <c r="J22" s="3">
        <v>744</v>
      </c>
      <c r="K22" s="3">
        <v>1011</v>
      </c>
    </row>
    <row r="23" spans="1:11">
      <c r="A23" s="240" t="str">
        <v>05.13</v>
      </c>
      <c r="B23" s="3">
        <v>738</v>
      </c>
      <c r="C23" s="3">
        <v>619</v>
      </c>
      <c r="F23" s="3">
        <v>589</v>
      </c>
      <c r="G23" s="3">
        <v>3</v>
      </c>
      <c r="H23" s="3">
        <v>3</v>
      </c>
      <c r="I23" s="3">
        <v>471</v>
      </c>
      <c r="J23" s="3">
        <v>744</v>
      </c>
      <c r="K23" s="3">
        <v>1011</v>
      </c>
    </row>
    <row r="24" spans="1:11">
      <c r="A24" s="240" t="str">
        <v>05.14</v>
      </c>
      <c r="B24" s="3">
        <v>738</v>
      </c>
      <c r="C24" s="3">
        <v>619</v>
      </c>
      <c r="F24" s="3">
        <v>589</v>
      </c>
      <c r="G24" s="1">
        <v>0</v>
      </c>
      <c r="H24" s="1">
        <v>0</v>
      </c>
      <c r="I24" s="3">
        <v>471</v>
      </c>
      <c r="J24" s="3">
        <v>744</v>
      </c>
      <c r="K24" s="3">
        <v>1011</v>
      </c>
    </row>
    <row r="25" spans="1:11">
      <c r="A25" s="240" t="str">
        <v>05.15</v>
      </c>
      <c r="B25" s="3">
        <v>738</v>
      </c>
      <c r="C25" s="3">
        <v>619</v>
      </c>
      <c r="F25" s="3">
        <v>589</v>
      </c>
      <c r="G25" s="1">
        <v>0</v>
      </c>
      <c r="H25" s="1">
        <v>0</v>
      </c>
      <c r="I25" s="3">
        <v>471</v>
      </c>
      <c r="J25" s="3">
        <v>744</v>
      </c>
      <c r="K25" s="3">
        <v>1011</v>
      </c>
    </row>
    <row r="26" spans="1:11">
      <c r="A26" s="240" t="str">
        <v>05.16</v>
      </c>
      <c r="B26" s="3">
        <v>738</v>
      </c>
      <c r="C26" s="3">
        <v>619</v>
      </c>
      <c r="F26" s="3">
        <v>589</v>
      </c>
      <c r="G26" s="1">
        <v>0</v>
      </c>
      <c r="H26" s="1">
        <v>0</v>
      </c>
      <c r="I26" s="3">
        <v>471</v>
      </c>
      <c r="J26" s="3">
        <v>744</v>
      </c>
      <c r="K26" s="3">
        <v>1011</v>
      </c>
    </row>
    <row r="27" spans="1:11">
      <c r="A27" s="240" t="str">
        <v>05.17</v>
      </c>
      <c r="B27" s="3">
        <v>738</v>
      </c>
      <c r="C27" s="3">
        <v>619</v>
      </c>
      <c r="F27" s="3">
        <v>589</v>
      </c>
      <c r="G27" s="1">
        <v>0</v>
      </c>
      <c r="H27" s="1">
        <v>0</v>
      </c>
      <c r="I27" s="3">
        <v>471</v>
      </c>
      <c r="J27" s="3">
        <v>744</v>
      </c>
      <c r="K27" s="3">
        <v>1011</v>
      </c>
    </row>
    <row r="28" spans="1:11">
      <c r="A28" s="240" t="str">
        <v>05.18</v>
      </c>
      <c r="B28" s="3">
        <v>738</v>
      </c>
      <c r="C28" s="3">
        <v>624</v>
      </c>
      <c r="F28" s="3">
        <v>595</v>
      </c>
      <c r="G28" s="1">
        <v>0</v>
      </c>
      <c r="H28" s="1">
        <v>0</v>
      </c>
      <c r="I28" s="3">
        <v>471</v>
      </c>
      <c r="J28" s="3">
        <v>744</v>
      </c>
      <c r="K28" s="3">
        <v>1011</v>
      </c>
    </row>
    <row r="29" spans="1:11">
      <c r="A29" s="240" t="str">
        <v>05.19</v>
      </c>
      <c r="B29" s="3">
        <v>738</v>
      </c>
      <c r="C29" s="3">
        <v>626</v>
      </c>
      <c r="F29" s="3">
        <v>601</v>
      </c>
      <c r="G29" s="3">
        <v>1</v>
      </c>
      <c r="H29" s="3">
        <v>1</v>
      </c>
      <c r="I29" s="3">
        <v>471</v>
      </c>
      <c r="J29" s="3">
        <v>744</v>
      </c>
      <c r="K29" s="3">
        <v>1011</v>
      </c>
    </row>
    <row r="30" spans="1:11">
      <c r="A30" s="240" t="str">
        <v>05.20</v>
      </c>
      <c r="B30" s="3">
        <v>738</v>
      </c>
      <c r="C30" s="3">
        <v>626</v>
      </c>
      <c r="F30" s="3">
        <v>608</v>
      </c>
      <c r="G30" s="1">
        <v>0</v>
      </c>
      <c r="H30" s="1">
        <v>0</v>
      </c>
      <c r="I30" s="3">
        <v>471</v>
      </c>
      <c r="J30" s="3">
        <v>744</v>
      </c>
      <c r="K30" s="3">
        <v>1011</v>
      </c>
    </row>
    <row r="31" spans="1:11">
      <c r="A31" s="240" t="str">
        <v>05.21</v>
      </c>
      <c r="B31" s="3">
        <v>738</v>
      </c>
      <c r="C31" s="3">
        <v>635</v>
      </c>
      <c r="F31" s="3">
        <v>617</v>
      </c>
      <c r="G31" s="3">
        <v>1</v>
      </c>
      <c r="H31" s="3">
        <v>1</v>
      </c>
      <c r="I31" s="3">
        <v>473</v>
      </c>
      <c r="J31" s="3">
        <v>746</v>
      </c>
      <c r="K31" s="3">
        <v>1011</v>
      </c>
    </row>
    <row r="32" spans="1:8">
      <c r="A32" s="240" t="str">
        <v>05.22</v>
      </c>
      <c r="C32" s="3">
        <v>635</v>
      </c>
      <c r="F32" s="3">
        <v>617</v>
      </c>
      <c r="G32" s="1">
        <v>0</v>
      </c>
      <c r="H32" s="1">
        <v>0</v>
      </c>
    </row>
    <row r="33" spans="1:11">
      <c r="A33" s="240" t="str">
        <v>05.23</v>
      </c>
      <c r="B33" s="3">
        <v>738</v>
      </c>
      <c r="C33" s="3">
        <v>635</v>
      </c>
      <c r="F33" s="3">
        <v>617</v>
      </c>
      <c r="G33" s="3">
        <v>1</v>
      </c>
      <c r="H33" s="3">
        <v>1</v>
      </c>
      <c r="I33" s="3">
        <v>473</v>
      </c>
      <c r="J33" s="3">
        <v>746</v>
      </c>
      <c r="K33" s="3">
        <v>1011</v>
      </c>
    </row>
    <row r="34" spans="1:11">
      <c r="A34" s="240" t="str">
        <v>05.24</v>
      </c>
      <c r="B34" s="3">
        <v>738</v>
      </c>
      <c r="C34" s="3">
        <v>635</v>
      </c>
      <c r="F34" s="3">
        <v>617</v>
      </c>
      <c r="G34" s="1">
        <v>0</v>
      </c>
      <c r="H34" s="1">
        <v>0</v>
      </c>
      <c r="I34" s="3">
        <v>473</v>
      </c>
      <c r="J34" s="3">
        <v>746</v>
      </c>
      <c r="K34" s="3">
        <v>1011</v>
      </c>
    </row>
    <row r="35" spans="1:11">
      <c r="A35" s="240" t="str">
        <v>05.25</v>
      </c>
      <c r="B35" s="3">
        <v>738</v>
      </c>
      <c r="C35" s="3">
        <v>635</v>
      </c>
      <c r="F35" s="3">
        <v>617</v>
      </c>
      <c r="G35" s="1">
        <v>0</v>
      </c>
      <c r="H35" s="1">
        <v>0</v>
      </c>
      <c r="I35" s="3">
        <v>473</v>
      </c>
      <c r="J35" s="3">
        <v>746</v>
      </c>
      <c r="K35" s="3">
        <v>1011</v>
      </c>
    </row>
    <row r="36" spans="1:11">
      <c r="A36" s="240" t="str">
        <v>05.26</v>
      </c>
      <c r="B36" s="3">
        <v>738</v>
      </c>
      <c r="C36" s="3">
        <v>649</v>
      </c>
      <c r="F36" s="3">
        <v>613</v>
      </c>
      <c r="G36" s="1">
        <v>0</v>
      </c>
      <c r="H36" s="1">
        <v>0</v>
      </c>
      <c r="I36" s="3">
        <v>473</v>
      </c>
      <c r="J36" s="3">
        <v>746</v>
      </c>
      <c r="K36" s="3">
        <v>1011</v>
      </c>
    </row>
    <row r="37" spans="1:8">
      <c r="A37" s="240" t="str">
        <v>05.27</v>
      </c>
      <c r="C37" s="3">
        <v>655</v>
      </c>
      <c r="F37" s="3">
        <v>624</v>
      </c>
      <c r="G37" s="1">
        <v>0</v>
      </c>
      <c r="H37" s="1">
        <v>0</v>
      </c>
    </row>
    <row r="38" spans="1:8">
      <c r="A38" s="240" t="str">
        <v>05.28</v>
      </c>
      <c r="C38" s="3">
        <v>651</v>
      </c>
      <c r="F38" s="3">
        <v>630</v>
      </c>
      <c r="G38" s="1">
        <v>0</v>
      </c>
      <c r="H38" s="1">
        <v>0</v>
      </c>
    </row>
    <row r="39" spans="1:8">
      <c r="A39" s="240" t="str">
        <v>05.29</v>
      </c>
      <c r="C39" s="3">
        <v>640</v>
      </c>
      <c r="F39" s="3">
        <v>620</v>
      </c>
      <c r="G39" s="1">
        <v>0</v>
      </c>
      <c r="H39" s="1">
        <v>0</v>
      </c>
    </row>
    <row r="40" spans="1:8">
      <c r="A40" s="240" t="str">
        <v>05.30</v>
      </c>
      <c r="C40" s="3">
        <v>640</v>
      </c>
      <c r="F40" s="3">
        <v>620</v>
      </c>
      <c r="G40" s="1">
        <v>0</v>
      </c>
      <c r="H40" s="1">
        <v>0</v>
      </c>
    </row>
    <row r="41" spans="1:8">
      <c r="A41" s="240" t="str">
        <v>05.31</v>
      </c>
      <c r="C41" s="3">
        <v>640</v>
      </c>
      <c r="F41" s="3">
        <v>620</v>
      </c>
      <c r="G41" s="1">
        <v>0</v>
      </c>
      <c r="H41" s="1">
        <v>0</v>
      </c>
    </row>
    <row r="42" spans="1:6">
      <c r="A42" s="4">
        <v>7.18</v>
      </c>
      <c r="B42" s="4">
        <v>736</v>
      </c>
      <c r="C42" s="4">
        <v>706</v>
      </c>
      <c r="F42" s="4">
        <v>682</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进度统计表</vt:lpstr>
      <vt:lpstr>透视表</vt:lpstr>
      <vt:lpstr>车控车设进展汇总</vt:lpstr>
      <vt:lpstr>【对接进度说明】</vt:lpstr>
      <vt:lpstr>车控</vt:lpstr>
      <vt:lpstr>系统设置</vt:lpstr>
      <vt:lpstr>通讯</vt:lpstr>
      <vt:lpstr>智能驾驶✅</vt:lpstr>
      <vt:lpstr>多媒体</vt:lpstr>
      <vt:lpstr>地图导航</vt:lpstr>
      <vt:lpstr>手车互联</vt:lpstr>
      <vt:lpstr>通用</vt:lpstr>
      <vt:lpstr>新增变更需求</vt:lpstr>
      <vt:lpstr>车控工具返回及NLG话术</vt:lpstr>
      <vt:lpstr>附件：语音打开应用</vt:lpstr>
      <vt:lpstr>附件：语音打开页面</vt:lpstr>
      <vt:lpstr>附件：语音关闭页面</vt:lpstr>
      <vt:lpstr>附件：语音关闭页面（副本）</vt:lpstr>
      <vt:lpstr>工作任务趋势分析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ExcelTS</cp:lastModifiedBy>
  <dcterms:created xsi:type="dcterms:W3CDTF">2026-07-31T07:51:21Z</dcterms:created>
  <dcterms:modified xsi:type="dcterms:W3CDTF">2026-07-31T07:51:21Z</dcterms:modified>
</cp:coreProperties>
</file>