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df9bb4137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6条处理清单" sheetId="1" r:id="R0545a084a89b492a"/>
    <x:sheet xmlns:r="http://schemas.openxmlformats.org/officeDocument/2006/relationships" name="新增动态示例" sheetId="2" r:id="Rb680cc4fd0e24393"/>
    <x:sheet xmlns:r="http://schemas.openxmlformats.org/officeDocument/2006/relationships" name="平台操作与测试" sheetId="3" r:id="Rf56f224cee754a24"/>
    <x:sheet xmlns:r="http://schemas.openxmlformats.org/officeDocument/2006/relationships" name="证据与口径" sheetId="4" r:id="R288cef4ebea240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sz val="11"/>
      <x:color rgb="FF2563EB"/>
      <x:name val="Carlito"/>
    </x:font>
    <x:font>
      <x:b/>
      <x:sz val="10"/>
      <x:color rgb="FFFFFFFF"/>
      <x:name val="Aptos"/>
    </x:font>
    <x:font>
      <x:sz val="10"/>
      <x:name val="Aptos"/>
    </x:font>
    <x:font>
      <x:sz val="10"/>
      <x:color rgb="FF2563EB"/>
      <x:name val="Aptos"/>
    </x:font>
    <x:font>
      <x:b/>
      <x:sz val="16"/>
      <x:color rgb="FFFFFFFF"/>
      <x:name val="Aptos Display"/>
    </x:font>
    <x:font>
      <x:b/>
      <x:sz val="15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0F6"/>
      </x:patternFill>
    </x:fill>
    <x:fill>
      <x:patternFill patternType="solid">
        <x:fgColor rgb="FF2F5D7E"/>
      </x:patternFill>
    </x:fill>
  </x:fills>
  <x:borders count="10">
    <x:border/>
    <x:border>
      <x:right style="thin">
        <x:color rgb="FFCBD5E1"/>
      </x:right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</x:border>
    <x:border>
      <x:right style="thin">
        <x:color rgb="FFD6E1EA"/>
      </x:right>
    </x:border>
    <x:border>
      <x:left style="thin">
        <x:color rgb="FFD6E1EA"/>
      </x:left>
      <x:right style="thin">
        <x:color rgb="FFD6E1EA"/>
      </x:right>
    </x:border>
    <x:border>
      <x:left style="thin">
        <x:color rgb="FFD6E1EA"/>
      </x:left>
    </x:border>
    <x:border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  <x:border>
      <x:top style="thin">
        <x:color rgb="FFDCE3EA"/>
      </x:top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6" fillId="0" borderId="7" xfId="0" applyNumberFormat="1" applyFont="1" applyFill="1" applyBorder="1" applyAlignment="1">
      <x:alignment horizontal="center"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horizontal="center"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horizontal="center"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b7c0756c4746e0" /><Relationship Type="http://schemas.openxmlformats.org/officeDocument/2006/relationships/theme" Target="/xl/theme/theme1.xml" Id="Rb96474a7709b42e3" /><Relationship Type="http://schemas.openxmlformats.org/officeDocument/2006/relationships/sharedStrings" Target="/xl/sharedStrings.xml" Id="Rdc506a210bb14a22" /><Relationship Type="http://schemas.openxmlformats.org/officeDocument/2006/relationships/worksheet" Target="/xl/worksheets/sheet1.xml" Id="R0545a084a89b492a" /><Relationship Type="http://schemas.openxmlformats.org/officeDocument/2006/relationships/worksheet" Target="/xl/worksheets/sheet2.xml" Id="Rb680cc4fd0e24393" /><Relationship Type="http://schemas.openxmlformats.org/officeDocument/2006/relationships/worksheet" Target="/xl/worksheets/sheet3.xml" Id="Rf56f224cee754a24" /><Relationship Type="http://schemas.openxmlformats.org/officeDocument/2006/relationships/worksheet" Target="/xl/worksheets/sheet4.xml" Id="R288cef4ebea24085" /></Relationships>
</file>

<file path=xl/tables/table1.xml><?xml version="1.0" encoding="utf-8"?>
<x:table xmlns:x="http://schemas.openxmlformats.org/spreadsheetml/2006/main" id="1" name="IssueRepairTable" displayName="IssueRepairTable" ref="A5:J21" headerRowCount="1" totalsRowCount="0" totalsRowShown="0">
  <x:tableColumns count="10">
    <x:tableColumn id="1" name="序号"/>
    <x:tableColumn id="2" name="Meego ID"/>
    <x:tableColumn id="3" name="缺陷标题"/>
    <x:tableColumn id="4" name="原始Query"/>
    <x:tableColumn id="5" name="处理结论"/>
    <x:tableColumn id="6" name="建议动态示例Query"/>
    <x:tableColumn id="7" name="决策分析（可直接粘贴）"/>
    <x:tableColumn id="8" name="还需非动态修复"/>
    <x:tableColumn id="9" name="回归验收标准"/>
    <x:tableColumn id="10" name="Meego链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ynamicSampleTable" displayName="DynamicSampleTable" ref="A3:E21" headerRowCount="1" totalsRowCount="0" totalsRowShown="0">
  <x:tableColumns count="5">
    <x:tableColumn id="1" name="序号"/>
    <x:tableColumn id="2" name="覆盖Bug"/>
    <x:tableColumn id="3" name="Query"/>
    <x:tableColumn id="4" name="决策分析"/>
    <x:tableColumn id="5" name="测试前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tformStepsTable" displayName="PlatformStepsTable" ref="A3:D11" headerRowCount="1" totalsRowCount="0" totalsRowShown="0">
  <x:tableColumns count="4">
    <x:tableColumn id="1" name="步骤"/>
    <x:tableColumn id="2" name="平台/环节"/>
    <x:tableColumn id="3" name="操作"/>
    <x:tableColumn id="4" name="验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eTable" displayName="EvidenceTable" ref="A3:C8" headerRowCount="1" totalsRowCount="0" totalsRowShown="0">
  <x:tableColumns count="3">
    <x:tableColumn id="1" name="来源"/>
    <x:tableColumn id="2" name="用途"/>
    <x:tableColumn id="3" name="关键口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66472a0e6440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61f7e91dfe44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5f5b82eaaf4d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c426d4cdd0040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31" hidden="0" customWidth="1"/>
    <x:col min="4" max="4" width="24" hidden="0" customWidth="1"/>
    <x:col min="5" max="5" width="17" hidden="0" customWidth="1"/>
    <x:col min="6" max="6" width="25" hidden="0" customWidth="1"/>
    <x:col min="7" max="7" width="62" hidden="0" customWidth="1"/>
    <x:col min="8" max="8" width="48" hidden="0" customWidth="1"/>
    <x:col min="9" max="9" width="48" hidden="0" customWidth="1"/>
    <x:col min="10" max="10" width="33" hidden="0" customWidth="1"/>
  </x:cols>
  <x:sheetData>
    <x:row r="1" ht="32" customHeight="1">
      <x:c r="A1" s="57" t="str">
        <x:v>JP299lyvg｜16条Bug动态示例修复清单</x:v>
      </x:c>
      <x:c r="B1" s="57"/>
      <x:c r="C1" s="57"/>
      <x:c r="D1" s="57"/>
      <x:c r="E1" s="57"/>
      <x:c r="F1" s="57"/>
      <x:c r="G1" s="57"/>
      <x:c r="H1" s="57"/>
      <x:c r="I1" s="57"/>
      <x:c r="J1" s="57"/>
    </x:row>
    <x:row r="3">
      <x:c r="A3" s="13" t="str">
        <x:v>总数</x:v>
      </x:c>
      <x:c r="B3" s="14" t="n">
        <x:f>COUNTA(B6:B21)</x:f>
        <x:v>16</x:v>
      </x:c>
      <x:c r="C3" s="14" t="str">
        <x:v>动态主修</x:v>
      </x:c>
      <x:c r="D3" s="14" t="n">
        <x:f>COUNTIF(E6:E21,"动态示例主修")</x:f>
        <x:v>9</x:v>
      </x:c>
      <x:c r="E3" s="14" t="str">
        <x:v>动态+工程</x:v>
      </x:c>
      <x:c r="F3" s="14" t="n">
        <x:f>COUNTIF(E6:E21,"动态兜底+工程修复")</x:f>
        <x:v>6</x:v>
      </x:c>
      <x:c r="G3" s="14" t="str">
        <x:v>能力/工程</x:v>
      </x:c>
      <x:c r="H3" s="15" t="n">
        <x:f>COUNTIF(E6:E21,"能力定义/工程修复")</x:f>
        <x:v>1</x:v>
      </x:c>
    </x:row>
    <x:row r="5">
      <x:c r="A5" s="45" t="str">
        <x:v>序号</x:v>
      </x:c>
      <x:c r="B5" s="46" t="str">
        <x:v>Meego ID</x:v>
      </x:c>
      <x:c r="C5" s="46" t="str">
        <x:v>缺陷标题</x:v>
      </x:c>
      <x:c r="D5" s="46" t="str">
        <x:v>原始Query</x:v>
      </x:c>
      <x:c r="E5" s="46" t="str">
        <x:v>处理结论</x:v>
      </x:c>
      <x:c r="F5" s="46" t="str">
        <x:v>建议动态示例Query</x:v>
      </x:c>
      <x:c r="G5" s="46" t="str">
        <x:v>决策分析（可直接粘贴）</x:v>
      </x:c>
      <x:c r="H5" s="46" t="str">
        <x:v>还需非动态修复</x:v>
      </x:c>
      <x:c r="I5" s="46" t="str">
        <x:v>回归验收标准</x:v>
      </x:c>
      <x:c r="J5" s="47" t="str">
        <x:v>Meego链接</x:v>
      </x:c>
    </x:row>
    <x:row r="6" ht="98" customHeight="1">
      <x:c r="A6" s="48" t="n">
        <x:v>1</x:v>
      </x:c>
      <x:c r="B6" s="48" t="str">
        <x:v>7363120529</x:v>
      </x:c>
      <x:c r="C6" s="49" t="str">
        <x:v>ACC时距未在1档，要求设为1档却回复已经是1档</x:v>
      </x:c>
      <x:c r="D6" s="49" t="str">
        <x:v>ACC巡航时距设为1档</x:v>
      </x:c>
      <x:c r="E6" s="48" t="str">
        <x:v>动态示例主修</x:v>
      </x:c>
      <x:c r="F6" s="49" t="str">
        <x:v>ACC巡航时距设为1档</x:v>
      </x:c>
      <x:c r="G6" s="49" t="str">
        <x:v>结合speaker_position、智驾运行状态和当前跟车时距：仅主驾可操作；ACC/LCC/NOA运行中且当前不是1档时，改写为“跟车时距设为1档”，调用auto_drive；当前确为1档时才告知无需操作；未运行智驾时才提示先通过方向盘按键开启。不得把其他软开关状态当成当前时距，也不得在未调用工具时宣称已经是1档。</x:v>
      </x:c>
      <x:c r="H6" s="49" t="str">
        <x:v>若新增后仍无FC，排查智驾状态字段映射及Planner是否读取到当前跟车时距。</x:v>
      </x:c>
      <x:c r="I6" s="49" t="str">
        <x:v>主驾、智驾运行中、当前2档：只下发1次auto_drive（跟车时距设为1档），不得回复已是1档；当前1档：不下发并说明已是1档。</x:v>
      </x:c>
      <x:c r="J6" s="50" t="str">
        <x:v>https://meego.larkoffice.com/telematics/issue/detail/7363120529?parentUrl=%2Ftelematics%2FissueView%2FJP299lyvg</x:v>
      </x:c>
    </x:row>
    <x:row r="7" ht="98" customHeight="1">
      <x:c r="A7" s="51" t="n">
        <x:v>2</x:v>
      </x:c>
      <x:c r="B7" s="51" t="str">
        <x:v>7363122563</x:v>
      </x:c>
      <x:c r="C7" s="52" t="str">
        <x:v>打灯变道软开关关闭时，语音变道错误回复路况不支持</x:v>
      </x:c>
      <x:c r="D7" s="52" t="str">
        <x:v>向右变道</x:v>
      </x:c>
      <x:c r="E7" s="51" t="str">
        <x:v>动态示例主修</x:v>
      </x:c>
      <x:c r="F7" s="52" t="str">
        <x:v>向右变道</x:v>
      </x:c>
      <x:c r="G7" s="52" t="str">
        <x:v>结合speaker_position和智驾运行状态：仅主驾可操作；智驾运行中时，打灯变道软开关只影响拨杆/打灯触发，不等于语音变道不可用，直接调用auto_drive下发“向右变道”一次，由工具返回实际安全条件或路况结果；未开启智驾时才提示通过方向盘按键开启。不得仅凭该软开关关闭就回复路况不支持。</x:v>
      </x:c>
      <x:c r="H7" s="52" t="str">
        <x:v>若仍无FC，排查软开关字段是否被错误映射成语音变道能力开关。</x:v>
      </x:c>
      <x:c r="I7" s="52" t="str">
        <x:v>主驾、智驾运行中、打灯变道软开关关闭：必须调用auto_drive，不能回复路况不支持；最终成败按工具返回。</x:v>
      </x:c>
      <x:c r="J7" s="53" t="str">
        <x:v>https://meego.larkoffice.com/telematics/issue/detail/7363122563?parentUrl=%2Ftelematics%2FissueView%2FJP299lyvg</x:v>
      </x:c>
    </x:row>
    <x:row r="8" ht="98" customHeight="1">
      <x:c r="A8" s="51" t="n">
        <x:v>3</x:v>
      </x:c>
      <x:c r="B8" s="51" t="str">
        <x:v>7362815544</x:v>
      </x:c>
      <x:c r="C8" s="52" t="str">
        <x:v>向右变道未确认却执行</x:v>
      </x:c>
      <x:c r="D8" s="52" t="str">
        <x:v>向右边变道</x:v>
      </x:c>
      <x:c r="E8" s="51" t="str">
        <x:v>动态兜底+工程修复</x:v>
      </x:c>
      <x:c r="F8" s="52" t="str">
        <x:v>向右边变道</x:v>
      </x:c>
      <x:c r="G8" s="52" t="str">
        <x:v>仅主驾且智驾运行中可操作，调用auto_drive下发“向右变道”一次；若工具反馈需要二次确认且未真正执行，只向用户播报确认问题并等待新的明确确认，当前轮action_list必须为空，禁止在同一用户请求或自动后续轮次中再次下发相同变道指令；收到用户新一轮明确确认后才可再调用auto_drive一次。</x:v>
      </x:c>
      <x:c r="H8" s="52" t="str">
        <x:v>服务端与客户端必须增加pending-confirm状态和request_id+function_code+方向去重；未收到明确确认事件时丢弃重复FC。</x:v>
      </x:c>
      <x:c r="I8" s="52" t="str">
        <x:v>首轮只允许1次FC；工具返回需确认后，未收到用户确认前FC总数仍为1；用户明确确认后才允许第2次执行FC。</x:v>
      </x:c>
      <x:c r="J8" s="53" t="str">
        <x:v>https://meego.larkoffice.com/telematics/issue/detail/7362815544?parentUrl=%2Ftelematics%2FissueView%2FJP299lyvg</x:v>
      </x:c>
    </x:row>
    <x:row r="9" ht="98" customHeight="1">
      <x:c r="A9" s="51" t="n">
        <x:v>4</x:v>
      </x:c>
      <x:c r="B9" s="51" t="str">
        <x:v>7362365657</x:v>
      </x:c>
      <x:c r="C9" s="52" t="str">
        <x:v>超过前车需要多次确认，第一次确认后未执行</x:v>
      </x:c>
      <x:c r="D9" s="52" t="str">
        <x:v>超过前面这辆车</x:v>
      </x:c>
      <x:c r="E9" s="51" t="str">
        <x:v>动态兜底+工程修复</x:v>
      </x:c>
      <x:c r="F9" s="52" t="str">
        <x:v>超过前面这辆车</x:v>
      </x:c>
      <x:c r="G9" s="52" t="str">
        <x:v>这是智驾超车意图，不要先在对话层额外做一遍模型确认；仅主驾且智驾运行中时，保留“超过前面这辆车”的意图调用auto_drive一次。若工具反馈需要确认，只播报工具的确认问题并等待用户明确确认，确认前不得重复调用；收到新一轮明确确认后再调用auto_drive一次。</x:v>
      </x:c>
      <x:c r="H9" s="52" t="str">
        <x:v>云端确认态需与车端变道安全确认态打通，或取消重复的模型层确认，避免两套确认串联。</x:v>
      </x:c>
      <x:c r="I9" s="52" t="str">
        <x:v>从原始query到执行成功，用户最多明确确认1次；每个用户轮次最多1个变道FC。</x:v>
      </x:c>
      <x:c r="J9" s="53" t="str">
        <x:v>https://meego.larkoffice.com/telematics/issue/detail/7362365657?parentUrl=%2Ftelematics%2FissueView%2FJP299lyvg</x:v>
      </x:c>
    </x:row>
    <x:row r="10" ht="98" customHeight="1">
      <x:c r="A10" s="51" t="n">
        <x:v>5</x:v>
      </x:c>
      <x:c r="B10" s="51" t="str">
        <x:v>7362494658</x:v>
      </x:c>
      <x:c r="C10" s="52" t="str">
        <x:v>向右变道需要多次确认，第一次确认后未执行</x:v>
      </x:c>
      <x:c r="D10" s="52" t="str">
        <x:v>变道到右边</x:v>
      </x:c>
      <x:c r="E10" s="51" t="str">
        <x:v>动态兜底+工程修复</x:v>
      </x:c>
      <x:c r="F10" s="52" t="str">
        <x:v>变道到右边</x:v>
      </x:c>
      <x:c r="G10" s="52" t="str">
        <x:v>仅主驾且智驾运行中可操作，直接调用auto_drive下发“向右变道”一次，不在工具调用前额外增加模型确认；若工具反馈需要确认，只播报该确认并等待用户新一轮明确确认，确认前不重复下发；确认后再调用auto_drive一次。</x:v>
      </x:c>
      <x:c r="H10" s="52" t="str">
        <x:v>云端确认态与车端安全确认态需绑定；客户端同时保留重复FC去重保护。</x:v>
      </x:c>
      <x:c r="I10" s="52" t="str">
        <x:v>只出现一次确认；未确认不执行，明确确认后执行一次，不得出现连续多轮确认。</x:v>
      </x:c>
      <x:c r="J10" s="53" t="str">
        <x:v>https://meego.larkoffice.com/telematics/issue/detail/7362494658?parentUrl=%2Ftelematics%2FissueView%2FJP299lyvg</x:v>
      </x:c>
    </x:row>
    <x:row r="11" ht="98" customHeight="1">
      <x:c r="A11" s="51" t="n">
        <x:v>6</x:v>
      </x:c>
      <x:c r="B11" s="51" t="str">
        <x:v>7362596585</x:v>
      </x:c>
      <x:c r="C11" s="52" t="str">
        <x:v>询问车辆销量前景时负面回复本品牌</x:v>
      </x:c>
      <x:c r="D11" s="52" t="str">
        <x:v>你觉得这个车会卖得好吗</x:v>
      </x:c>
      <x:c r="E11" s="51" t="str">
        <x:v>动态示例主修</x:v>
      </x:c>
      <x:c r="F11" s="52" t="str">
        <x:v>你觉得这个车会卖得好吗</x:v>
      </x:c>
      <x:c r="G11" s="52" t="str">
        <x:v>这是对本品牌销量前景的观点询问，无需调用工具；从上汽荣威立场给出积极、客观且不作绝对销量承诺的回答，可说明产品力、智能化体验、定价、交付和市场口碑会共同影响销量。禁止使用“悬”“白搭”等贬损表达，也不得贬低竞品。</x:v>
      </x:c>
      <x:c r="H11" s="52" t="str">
        <x:v>若同类品牌评价仍频繁失控，应把品牌风控作为静态规则统一加强，而非持续堆单点示例。</x:v>
      </x:c>
      <x:c r="I11" s="52" t="str">
        <x:v>回答积极但有边界，不出现贬损本品牌或友商的措辞，不调用工具。</x:v>
      </x:c>
      <x:c r="J11" s="53" t="str">
        <x:v>https://meego.larkoffice.com/telematics/issue/detail/7362596585?parentUrl=%2Ftelematics%2FissueView%2FJP299lyvg</x:v>
      </x:c>
    </x:row>
    <x:row r="12" ht="98" customHeight="1">
      <x:c r="A12" s="51" t="n">
        <x:v>7</x:v>
      </x:c>
      <x:c r="B12" s="51" t="str">
        <x:v>7362437442</x:v>
      </x:c>
      <x:c r="C12" s="52" t="str">
        <x:v>关闭全景泊车辅助时未下发正确全景影像开关</x:v>
      </x:c>
      <x:c r="D12" s="52" t="str">
        <x:v>关闭全景泊车辅助</x:v>
      </x:c>
      <x:c r="E12" s="51" t="str">
        <x:v>动态示例主修</x:v>
      </x:c>
      <x:c r="F12" s="52" t="str">
        <x:v>关闭全景泊车辅助</x:v>
      </x:c>
      <x:c r="G12" s="52" t="str">
        <x:v>“全景泊车辅助”在本指令中指全景影像界面/开关，改写为“关闭全景影像”，调用auto_drive下发；目标FC应为“全景影像开关=关闭”。不得直接回复暂时关不掉；工具失败时按实际返回反馈。</x:v>
      </x:c>
      <x:c r="H12" s="52" t="str">
        <x:v>核对auto_drive到车控FC的映射；若无法生成“全景影像开关”，需修正下游能力映射而不是更换话术。</x:v>
      </x:c>
      <x:c r="I12" s="52" t="str">
        <x:v>action_list包含auto_drive（关闭全景影像），最终FC为全景影像开关=关闭，页面正常关闭。</x:v>
      </x:c>
      <x:c r="J12" s="53" t="str">
        <x:v>https://meego.larkoffice.com/telematics/issue/detail/7362437442?parentUrl=%2Ftelematics%2FissueView%2FJP299lyvg</x:v>
      </x:c>
    </x:row>
    <x:row r="13" ht="98" customHeight="1">
      <x:c r="A13" s="51" t="n">
        <x:v>8</x:v>
      </x:c>
      <x:c r="B13" s="51" t="str">
        <x:v>7362575258</x:v>
      </x:c>
      <x:c r="C13" s="52" t="str">
        <x:v>座椅按摩1档，要求最大力度但未调用车控</x:v>
      </x:c>
      <x:c r="D13" s="52" t="str">
        <x:v>座椅按摩力度调到最大</x:v>
      </x:c>
      <x:c r="E13" s="51" t="str">
        <x:v>动态示例主修</x:v>
      </x:c>
      <x:c r="F13" s="52" t="str">
        <x:v>座椅按摩力度调到最大</x:v>
      </x:c>
      <x:c r="G13" s="52" t="str">
        <x:v>结合speaker_position和该座椅当前按摩强度：座椅按摩仅主驾、副驾支持；主驾或副驾当前低于3档时，改写为“将对应座椅按摩强度设为3档”，调用vehicle_basic_control；已经是3档时才告知无需操作；后排提出时说明后排无按摩。调用工具成功前不得播报已经调到最大。</x:v>
      </x:c>
      <x:c r="H13" s="52" t="str">
        <x:v>若工具已调用但强度未变化，转车控执行链路排查，不再归因模型。</x:v>
      </x:c>
      <x:c r="I13" s="52" t="str">
        <x:v>主驾当前1档：下发vehicle_basic_control（主驾按摩强度3档）；工具成功后才播报完成。</x:v>
      </x:c>
      <x:c r="J13" s="53" t="str">
        <x:v>https://meego.larkoffice.com/telematics/issue/detail/7362575258?parentUrl=%2Ftelematics%2FissueView%2FJP299lyvg</x:v>
      </x:c>
    </x:row>
    <x:row r="14" ht="98" customHeight="1">
      <x:c r="A14" s="51" t="n">
        <x:v>9</x:v>
      </x:c>
      <x:c r="B14" s="51" t="str">
        <x:v>7362580295</x:v>
      </x:c>
      <x:c r="C14" s="52" t="str">
        <x:v>左右后视镜倒车自动下倾被错误改写为后视镜设置页</x:v>
      </x:c>
      <x:c r="D14" s="52" t="str">
        <x:v>打开/关闭左侧或右侧后视镜倒车自动下倾</x:v>
      </x:c>
      <x:c r="E14" s="51" t="str">
        <x:v>动态示例主修</x:v>
      </x:c>
      <x:c r="F14" s="52" t="str">
        <x:v>打开左侧后视镜倒车自动下倾</x:v>
      </x:c>
      <x:c r="G14" s="52" t="str">
        <x:v>这是外后视镜倒车自动下翻开关控制，不是镜面方向调节；仅主驾可操作。保留左右侧和开关意图，改写为“打开左侧外后视镜倒车自动下翻开关”，调用vehicle_basic_control；关闭或右侧指令按原方向和动作等价改写。不得调用后视镜设置页面。</x:v>
      </x:c>
      <x:c r="H14" s="52" t="str">
        <x:v>核对车控FC枚举是否完整支持左右侧与开/关四种组合。</x:v>
      </x:c>
      <x:c r="I14" s="52" t="str">
        <x:v>FC必须是外后视镜自动下翻开关并保留侧别；不得出现后视镜设置页面。</x:v>
      </x:c>
      <x:c r="J14" s="53" t="str">
        <x:v>https://meego.larkoffice.com/telematics/issue/detail/7362580295?parentUrl=%2Ftelematics%2FissueView%2FJP299lyvg</x:v>
      </x:c>
    </x:row>
    <x:row r="15" ht="98" customHeight="1">
      <x:c r="A15" s="51" t="n">
        <x:v>10</x:v>
      </x:c>
      <x:c r="B15" s="51" t="str">
        <x:v>7362196511</x:v>
      </x:c>
      <x:c r="C15" s="52" t="str">
        <x:v>NOA驾驶中调跟车距离，错误提示先开辅助驾驶</x:v>
      </x:c>
      <x:c r="D15" s="52" t="str">
        <x:v>跟车距离调为1档</x:v>
      </x:c>
      <x:c r="E15" s="51" t="str">
        <x:v>动态示例主修</x:v>
      </x:c>
      <x:c r="F15" s="52" t="str">
        <x:v>跟车距离调为1档</x:v>
      </x:c>
      <x:c r="G15" s="52" t="str">
        <x:v>结合speaker_position、智驾运行状态和当前跟车距离：仅主驾可操作；env_info显示ACC/LCC/NOA任一正在运行时，应视为智驾已开启，当前不是1档就调用auto_drive下发“跟车时距设为1档”；当前确为1档才告知无需操作。不得因其他语音软开关缺失或字段未上报而否定已明确上报的NOA运行状态。</x:v>
      </x:c>
      <x:c r="H15" s="52" t="str">
        <x:v>统一NOA运行状态、智驾语音开关和Planner可见字段的语义；新增后仍无FC则修状态映射。</x:v>
      </x:c>
      <x:c r="I15" s="52" t="str">
        <x:v>NOA运行中、当前2档：调用auto_drive，不得提示先开辅助驾驶；非主驾则拒绝执行。</x:v>
      </x:c>
      <x:c r="J15" s="53" t="str">
        <x:v>https://meego.larkoffice.com/telematics/issue/detail/7362196511?parentUrl=%2Ftelematics%2FissueView%2FJP299lyvg</x:v>
      </x:c>
    </x:row>
    <x:row r="16" ht="98" customHeight="1">
      <x:c r="A16" s="51" t="n">
        <x:v>11</x:v>
      </x:c>
      <x:c r="B16" s="51" t="str">
        <x:v>7362154542</x:v>
      </x:c>
      <x:c r="C16" s="52" t="str">
        <x:v>打开/关闭自动驻车被错误改写为后视镜调节页面</x:v>
      </x:c>
      <x:c r="D16" s="52" t="str">
        <x:v>打开/关闭自动驻车</x:v>
      </x:c>
      <x:c r="E16" s="51" t="str">
        <x:v>动态示例主修</x:v>
      </x:c>
      <x:c r="F16" s="52" t="str">
        <x:v>打开自动驻车</x:v>
      </x:c>
      <x:c r="G16" s="52" t="str">
        <x:v>自动驻车（Auto Hold）属于驾驶类控制，结合speaker_position和当前开关状态：主驾提出且目标状态与当前不同时，保留原意调用vehicle_basic_control打开自动驻车；已经打开时才告知无需操作；非主驾提出时说明仅主驾可控制。不得改写成后视镜调节页面或其他页面。</x:v>
      </x:c>
      <x:c r="H16" s="52" t="str">
        <x:v>关闭指令建议另加一条同规则Query以提高召回；若正确FC仍执行失败再转车控。</x:v>
      </x:c>
      <x:c r="I16" s="52" t="str">
        <x:v>主驾关闭态说打开：vehicle_basic_control（打开自动驻车）；副驾同指令：不执行并说明权限。</x:v>
      </x:c>
      <x:c r="J16" s="53" t="str">
        <x:v>https://meego.larkoffice.com/telematics/issue/detail/7362154542?parentUrl=%2Ftelematics%2FissueView%2FJP299lyvg</x:v>
      </x:c>
    </x:row>
    <x:row r="17" ht="98" customHeight="1">
      <x:c r="A17" s="51" t="n">
        <x:v>12</x:v>
      </x:c>
      <x:c r="B17" s="51" t="str">
        <x:v>7356668585</x:v>
      </x:c>
      <x:c r="C17" s="52" t="str">
        <x:v>要求巡航130，TTS称已是130但实际39</x:v>
      </x:c>
      <x:c r="D17" s="52" t="str">
        <x:v>帮我把车速设置成130</x:v>
      </x:c>
      <x:c r="E17" s="51" t="str">
        <x:v>动态兜底+工程修复</x:v>
      </x:c>
      <x:c r="F17" s="52" t="str">
        <x:v>帮我把车速设置成130</x:v>
      </x:c>
      <x:c r="G17" s="52" t="str">
        <x:v>结合speaker_position、智驾运行状态和当前巡航速度：仅主驾且智驾运行中可调；130km/h在30~130范围内且是5的倍数，调用auto_drive设置巡航速度130。不得根据目标参数提前播报成功；若工具反馈需要确认，只请求确认并等待；若工具反馈“已是当前值”但env_info当前巡航速度不是130，不得总结为成功，应明确执行结果冲突或失败。</x:v>
      </x:c>
      <x:c r="H17" s="52" t="str">
        <x:v>修正auto_drive/车控返回的原因码与TTS，执行成功后应回读实际巡航速度；动态示例不能修复错误工具返回。</x:v>
      </x:c>
      <x:c r="I17" s="52" t="str">
        <x:v>当前39：先正确进入确认/执行链路；成功后实际值为130才播报完成；工具返回与env冲突时不得说成功。</x:v>
      </x:c>
      <x:c r="J17" s="53" t="str">
        <x:v>https://meego.larkoffice.com/telematics/issue/detail/7356668585?parentUrl=%2Ftelematics%2FissueView%2FJP299lyvg</x:v>
      </x:c>
    </x:row>
    <x:row r="18" ht="98" customHeight="1">
      <x:c r="A18" s="51" t="n">
        <x:v>13</x:v>
      </x:c>
      <x:c r="B18" s="51" t="str">
        <x:v>7350207183</x:v>
      </x:c>
      <x:c r="C18" s="52" t="str">
        <x:v>开始录音被默认落到会议纪要</x:v>
      </x:c>
      <x:c r="D18" s="52" t="str">
        <x:v>开始录音</x:v>
      </x:c>
      <x:c r="E18" s="51" t="str">
        <x:v>能力定义/工程修复</x:v>
      </x:c>
      <x:c r="F18" s="52" t="str">
        <x:v>开始录音</x:v>
      </x:c>
      <x:c r="G18" s="52" t="str">
        <x:v>“开始录音”未明确是否要录制车内讨论并生成会议纪要，不能默认等同“录音纪要”；先向用户确认是要开启录音纪要，还是使用其他录音/影像记录功能。只有用户明确要记录讨论或生成会议纪要时，才调用audio_record下发“打开录音纪要”；用户要独立录音功能时，按实际能力处理，不得偷换成会议纪要。</x:v>
      </x:c>
      <x:c r="H18" s="52" t="str">
        <x:v>当前工具仅明确提供audio_record录音纪要；若产品预期存在独立录音，必须补充能力定义、工具或应用控制映射。</x:v>
      </x:c>
      <x:c r="I18" s="52" t="str">
        <x:v>裸query先澄清且不调用audio_record；用户明确“录会议纪要”后才调用；独立录音需求不得打开会议纪要。</x:v>
      </x:c>
      <x:c r="J18" s="53" t="str">
        <x:v>https://meego.larkoffice.com/telematics/issue/detail/7350207183?parentUrl=%2Ftelematics%2FissueView%2FJP299lyvg</x:v>
      </x:c>
    </x:row>
    <x:row r="19" ht="98" customHeight="1">
      <x:c r="A19" s="51" t="n">
        <x:v>14</x:v>
      </x:c>
      <x:c r="B19" s="51" t="str">
        <x:v>7346547549</x:v>
      </x:c>
      <x:c r="C19" s="52" t="str">
        <x:v>LCC激活、巡航38，说开慢一点却回复已是最低30</x:v>
      </x:c>
      <x:c r="D19" s="52" t="str">
        <x:v>开慢一点</x:v>
      </x:c>
      <x:c r="E19" s="51" t="str">
        <x:v>动态示例主修</x:v>
      </x:c>
      <x:c r="F19" s="52" t="str">
        <x:v>开慢一点</x:v>
      </x:c>
      <x:c r="G19" s="52" t="str">
        <x:v>结合speaker_position、智驾运行状态和当前巡航速度：仅主驾可操作；智驾巡航中，当前高于30km/h时将目标规整为沿减速方向的下一个5的整数倍，例如当前38km/h改写为“巡航速度设为35km/h”，调用auto_drive；只有当前确为30km/h时才告知已是最低；未开启智驾时才说明无法语音调速。</x:v>
      </x:c>
      <x:c r="H19" s="52" t="str">
        <x:v>当前票虽曾标记动态示例解决，但复测仍无FC，需检查线上检索是否命中及env_info巡航速度字段是否注入。</x:v>
      </x:c>
      <x:c r="I19" s="52" t="str">
        <x:v>LCC运行、当前38：下发auto_drive（巡航速度35），不得回复已是最低30；当前30才不下发。</x:v>
      </x:c>
      <x:c r="J19" s="53" t="str">
        <x:v>https://meego.larkoffice.com/telematics/issue/detail/7346547549?parentUrl=%2Ftelematics%2FissueView%2FJP299lyvg</x:v>
      </x:c>
    </x:row>
    <x:row r="20" ht="98" customHeight="1">
      <x:c r="A20" s="51" t="n">
        <x:v>15</x:v>
      </x:c>
      <x:c r="B20" s="51" t="str">
        <x:v>7346593044</x:v>
      </x:c>
      <x:c r="C20" s="52" t="str">
        <x:v>网易云正在播放，切换音质却回复无在播内容</x:v>
      </x:c>
      <x:c r="D20" s="52" t="str">
        <x:v>切换音质</x:v>
      </x:c>
      <x:c r="E20" s="51" t="str">
        <x:v>动态兜底+工程修复</x:v>
      </x:c>
      <x:c r="F20" s="52" t="str">
        <x:v>切换音质</x:v>
      </x:c>
      <x:c r="G20" s="52" t="str">
        <x:v>结合env_info当前媒体应用和播放状态：明确显示网易云正在播放时，改写为“将当前网易云播放内容切换为极高音质”，调用media_basic_control；若播放状态未上报，不得直接断言无在播内容，可先调用media_basic_control尝试并按工具结果反馈。</x:v>
      </x:c>
      <x:c r="H20" s="52" t="str">
        <x:v>补齐并稳定上报当前媒体应用、播放状态和可用音质事件；票内已注明动态示例无法保证100%解决。</x:v>
      </x:c>
      <x:c r="I20" s="52" t="str">
        <x:v>网易云播放中：必须出现media_basic_control，不得回复无在播内容；事件缺失时也不得无依据拒绝。</x:v>
      </x:c>
      <x:c r="J20" s="53" t="str">
        <x:v>https://meego.larkoffice.com/telematics/issue/detail/7346593044?parentUrl=%2Ftelematics%2FissueView%2FJP299lyvg</x:v>
      </x:c>
    </x:row>
    <x:row r="21" ht="98" customHeight="1">
      <x:c r="A21" s="54" t="n">
        <x:v>16</x:v>
      </x:c>
      <x:c r="B21" s="54" t="str">
        <x:v>7345201844</x:v>
      </x:c>
      <x:c r="C21" s="55" t="str">
        <x:v>酷我正在播放，调高音质却回复无法调节</x:v>
      </x:c>
      <x:c r="D21" s="55" t="str">
        <x:v>调高音质</x:v>
      </x:c>
      <x:c r="E21" s="54" t="str">
        <x:v>动态兜底+工程修复</x:v>
      </x:c>
      <x:c r="F21" s="55" t="str">
        <x:v>调高音质</x:v>
      </x:c>
      <x:c r="G21" s="55" t="str">
        <x:v>结合env_info当前媒体应用和播放状态：明确显示酷我音乐正在播放时，改写为“调高酷我音乐当前播放内容的音质”，调用media_basic_control；若播放状态未上报，不得在调用工具前直接回复无法调节，应先尝试调用并按工具实际返回反馈。</x:v>
      </x:c>
      <x:c r="H21" s="55" t="str">
        <x:v>补齐媒体事件日志，并确认酷我音质调节能力与档位映射；票内已注明需等待事件日志开发。</x:v>
      </x:c>
      <x:c r="I21" s="55" t="str">
        <x:v>酷我播放中：调用media_basic_control；工具返回前不得回复无法调节，最终按真实能力结果反馈。</x:v>
      </x:c>
      <x:c r="J21" s="56" t="str">
        <x:v>https://meego.larkoffice.com/telematics/issue/detail/7345201844?parentUrl=%2Ftelematics%2FissueView%2FJP299lyvg</x:v>
      </x:c>
    </x:row>
  </x:sheetData>
  <x:mergeCells>
    <x:mergeCell ref="A1:J1"/>
  </x:mergeCells>
  <x:conditionalFormatting sqref="E6:E21">
    <x:cfRule type="containsText" dxfId="0" priority="1" operator="containsText" text="动态示例主修"/>
    <x:cfRule type="containsText" dxfId="1" priority="2" operator="containsText" text="动态兜底+工程修复"/>
    <x:cfRule type="containsText" dxfId="2" priority="3" operator="containsText" text="能力定义/工程修复"/>
  </x:conditionalFormatting>
  <x:pageMargins left="0.7" right="0.7" top="0.75" bottom="0.75" header="0.3" footer="0.3"/>
  <x:tableParts count="1">
    <x:tablePart xmlns:r="http://schemas.openxmlformats.org/officeDocument/2006/relationships" r:id="R2a66472a0e6440e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" hidden="0" customWidth="1"/>
    <x:col min="3" max="3" width="32" hidden="0" customWidth="1"/>
    <x:col min="4" max="4" width="85" hidden="0" customWidth="1"/>
    <x:col min="5" max="5" width="30" hidden="0" customWidth="1"/>
  </x:cols>
  <x:sheetData>
    <x:row r="1">
      <x:c r="A1" s="60" t="str">
        <x:v>建议新增的18条检索样例（逐条复制到平台）</x:v>
      </x:c>
      <x:c r="B1" s="60"/>
      <x:c r="C1" s="60"/>
      <x:c r="D1" s="60"/>
      <x:c r="E1" s="60"/>
    </x:row>
    <x:row r="3">
      <x:c r="A3" s="63" t="str">
        <x:v>序号</x:v>
      </x:c>
      <x:c r="B3" s="63" t="str">
        <x:v>覆盖Bug</x:v>
      </x:c>
      <x:c r="C3" s="63" t="str">
        <x:v>Query</x:v>
      </x:c>
      <x:c r="D3" s="63" t="str">
        <x:v>决策分析</x:v>
      </x:c>
      <x:c r="E3" s="63" t="str">
        <x:v>测试前置</x:v>
      </x:c>
    </x:row>
    <x:row r="4" ht="88" customHeight="1">
      <x:c r="A4" s="49" t="n">
        <x:v>1</x:v>
      </x:c>
      <x:c r="B4" s="49" t="str">
        <x:v>7363120529</x:v>
      </x:c>
      <x:c r="C4" s="49" t="str">
        <x:v>ACC巡航时距设为1档</x:v>
      </x:c>
      <x:c r="D4" s="49" t="str">
        <x:v>结合speaker_position、智驾运行状态和当前跟车时距：仅主驾可操作；ACC/LCC/NOA运行中且当前不是1档时，改写为“跟车时距设为1档”，调用auto_drive；当前确为1档时才告知无需操作；未运行智驾时才提示先通过方向盘按键开启。不得把其他软开关状态当成当前时距，也不得在未调用工具时宣称已经是1档。</x:v>
      </x:c>
      <x:c r="E4" s="49" t="str">
        <x:v>智驾状态和当前时距必须可见</x:v>
      </x:c>
    </x:row>
    <x:row r="5" ht="88" customHeight="1">
      <x:c r="A5" s="52" t="n">
        <x:v>2</x:v>
      </x:c>
      <x:c r="B5" s="52" t="str">
        <x:v>7362196511</x:v>
      </x:c>
      <x:c r="C5" s="52" t="str">
        <x:v>跟车距离调为1档</x:v>
      </x:c>
      <x:c r="D5" s="52" t="str">
        <x:v>结合speaker_position、智驾运行状态和当前跟车距离：仅主驾可操作；env_info显示ACC/LCC/NOA任一正在运行时，应视为智驾已开启，当前不是1档就调用auto_drive下发“跟车时距设为1档”；当前确为1档才告知无需操作。不得因其他语音软开关缺失或字段未上报而否定已明确上报的NOA运行状态。</x:v>
      </x:c>
      <x:c r="E5" s="52" t="str">
        <x:v>NOA运行状态必须可见</x:v>
      </x:c>
    </x:row>
    <x:row r="6" ht="88" customHeight="1">
      <x:c r="A6" s="52" t="n">
        <x:v>3</x:v>
      </x:c>
      <x:c r="B6" s="52" t="str">
        <x:v>7363122563</x:v>
      </x:c>
      <x:c r="C6" s="52" t="str">
        <x:v>向右变道</x:v>
      </x:c>
      <x:c r="D6" s="52" t="str">
        <x:v>结合speaker_position和智驾运行状态：仅主驾可操作；智驾运行中时，打灯变道软开关只影响拨杆/打灯触发，不等于语音变道不可用，直接调用auto_drive下发“向右变道”一次，由工具返回实际安全条件或路况结果；未开启智驾时才提示通过方向盘按键开启。不得仅凭该软开关关闭就回复路况不支持。</x:v>
      </x:c>
      <x:c r="E6" s="52" t="str">
        <x:v>构造打灯变道软开关关闭</x:v>
      </x:c>
    </x:row>
    <x:row r="7" ht="88" customHeight="1">
      <x:c r="A7" s="52" t="n">
        <x:v>4</x:v>
      </x:c>
      <x:c r="B7" s="52" t="str">
        <x:v>7362815544</x:v>
      </x:c>
      <x:c r="C7" s="52" t="str">
        <x:v>向右边变道</x:v>
      </x:c>
      <x:c r="D7" s="52" t="str">
        <x:v>仅主驾且智驾运行中可操作，调用auto_drive下发“向右变道”一次；若工具反馈需要二次确认且未真正执行，只向用户播报确认问题并等待新的明确确认，当前轮action_list必须为空，禁止在同一用户请求或自动后续轮次中再次下发相同变道指令；收到用户新一轮明确确认后才可再调用auto_drive一次。</x:v>
      </x:c>
      <x:c r="E7" s="52" t="str">
        <x:v>需做多轮tool_feedback测试</x:v>
      </x:c>
    </x:row>
    <x:row r="8" ht="88" customHeight="1">
      <x:c r="A8" s="52" t="n">
        <x:v>5</x:v>
      </x:c>
      <x:c r="B8" s="52" t="str">
        <x:v>7362365657</x:v>
      </x:c>
      <x:c r="C8" s="52" t="str">
        <x:v>超过前面这辆车</x:v>
      </x:c>
      <x:c r="D8" s="52" t="str">
        <x:v>这是智驾超车意图，不要先在对话层额外做一遍模型确认；仅主驾且智驾运行中时，保留“超过前面这辆车”的意图调用auto_drive一次。若工具反馈需要确认，只播报工具的确认问题并等待用户明确确认，确认前不得重复调用；收到新一轮明确确认后再调用auto_drive一次。</x:v>
      </x:c>
      <x:c r="E8" s="52" t="str">
        <x:v>需做多轮确认测试</x:v>
      </x:c>
    </x:row>
    <x:row r="9" ht="88" customHeight="1">
      <x:c r="A9" s="52" t="n">
        <x:v>6</x:v>
      </x:c>
      <x:c r="B9" s="52" t="str">
        <x:v>7362494658</x:v>
      </x:c>
      <x:c r="C9" s="52" t="str">
        <x:v>变道到右边</x:v>
      </x:c>
      <x:c r="D9" s="52" t="str">
        <x:v>仅主驾且智驾运行中可操作，直接调用auto_drive下发“向右变道”一次，不在工具调用前额外增加模型确认；若工具反馈需要确认，只播报该确认并等待用户新一轮明确确认，确认前不重复下发；确认后再调用auto_drive一次。</x:v>
      </x:c>
      <x:c r="E9" s="52" t="str">
        <x:v>需做多轮确认测试</x:v>
      </x:c>
    </x:row>
    <x:row r="10" ht="88" customHeight="1">
      <x:c r="A10" s="52" t="n">
        <x:v>7</x:v>
      </x:c>
      <x:c r="B10" s="52" t="str">
        <x:v>7362596585</x:v>
      </x:c>
      <x:c r="C10" s="52" t="str">
        <x:v>你觉得这个车会卖得好吗</x:v>
      </x:c>
      <x:c r="D10" s="52" t="str">
        <x:v>这是对本品牌销量前景的观点询问，无需调用工具；从上汽荣威立场给出积极、客观且不作绝对销量承诺的回答，可说明产品力、智能化体验、定价、交付和市场口碑会共同影响销量。禁止使用“悬”“白搭”等贬损表达，也不得贬低竞品。</x:v>
      </x:c>
      <x:c r="E10" s="52" t="str">
        <x:v>无工具</x:v>
      </x:c>
    </x:row>
    <x:row r="11" ht="88" customHeight="1">
      <x:c r="A11" s="52" t="n">
        <x:v>8</x:v>
      </x:c>
      <x:c r="B11" s="52" t="str">
        <x:v>7362437442</x:v>
      </x:c>
      <x:c r="C11" s="52" t="str">
        <x:v>关闭全景泊车辅助</x:v>
      </x:c>
      <x:c r="D11" s="52" t="str">
        <x:v>“全景泊车辅助”在本指令中指全景影像界面/开关，改写为“关闭全景影像”，调用auto_drive下发；目标FC应为“全景影像开关=关闭”。不得直接回复暂时关不掉；工具失败时按实际返回反馈。</x:v>
      </x:c>
      <x:c r="E11" s="52" t="str">
        <x:v>确认目标FC名称</x:v>
      </x:c>
    </x:row>
    <x:row r="12" ht="88" customHeight="1">
      <x:c r="A12" s="52" t="n">
        <x:v>9</x:v>
      </x:c>
      <x:c r="B12" s="52" t="str">
        <x:v>7362575258</x:v>
      </x:c>
      <x:c r="C12" s="52" t="str">
        <x:v>座椅按摩力度调到最大</x:v>
      </x:c>
      <x:c r="D12" s="52" t="str">
        <x:v>结合speaker_position和该座椅当前按摩强度：座椅按摩仅主驾、副驾支持；主驾或副驾当前低于3档时，改写为“将对应座椅按摩强度设为3档”，调用vehicle_basic_control；已经是3档时才告知无需操作；后排提出时说明后排无按摩。调用工具成功前不得播报已经调到最大。</x:v>
      </x:c>
      <x:c r="E12" s="52" t="str">
        <x:v>主驾/副驾/后排三组状态</x:v>
      </x:c>
    </x:row>
    <x:row r="13" ht="88" customHeight="1">
      <x:c r="A13" s="52" t="n">
        <x:v>10</x:v>
      </x:c>
      <x:c r="B13" s="52" t="str">
        <x:v>7362580295</x:v>
      </x:c>
      <x:c r="C13" s="52" t="str">
        <x:v>打开左侧后视镜倒车自动下倾</x:v>
      </x:c>
      <x:c r="D13" s="52" t="str">
        <x:v>这是外后视镜倒车自动下翻开关控制，不是镜面方向调节；仅主驾可操作。保留左右侧和开关意图，改写为“打开左侧外后视镜倒车自动下翻开关”，调用vehicle_basic_control；关闭或右侧指令按原方向和动作等价改写。不得调用后视镜设置页面。</x:v>
      </x:c>
      <x:c r="E13" s="52" t="str">
        <x:v>主驾，左侧，开</x:v>
      </x:c>
    </x:row>
    <x:row r="14" ht="88" customHeight="1">
      <x:c r="A14" s="52" t="n">
        <x:v>11</x:v>
      </x:c>
      <x:c r="B14" s="52" t="str">
        <x:v>7362580295</x:v>
      </x:c>
      <x:c r="C14" s="52" t="str">
        <x:v>关闭右侧后视镜倒车自动下倾</x:v>
      </x:c>
      <x:c r="D14" s="52" t="str">
        <x:v>这是外后视镜倒车自动下翻开关控制，不是镜面方向调节；仅主驾可操作。保留左右侧和开关意图，改写为“关闭右侧外后视镜倒车自动下翻开关”，调用vehicle_basic_control；关闭或右侧指令按原方向和动作等价改写。不得调用后视镜设置页面。</x:v>
      </x:c>
      <x:c r="E14" s="52" t="str">
        <x:v>主驾，右侧，关</x:v>
      </x:c>
    </x:row>
    <x:row r="15" ht="88" customHeight="1">
      <x:c r="A15" s="52" t="n">
        <x:v>12</x:v>
      </x:c>
      <x:c r="B15" s="52" t="str">
        <x:v>7362154542</x:v>
      </x:c>
      <x:c r="C15" s="52" t="str">
        <x:v>打开自动驻车</x:v>
      </x:c>
      <x:c r="D15" s="52" t="str">
        <x:v>自动驻车（Auto Hold）属于驾驶类控制，结合speaker_position和当前开关状态：主驾提出且目标状态与当前不同时，保留原意调用vehicle_basic_control打开自动驻车；已经打开时才告知无需操作；非主驾提出时说明仅主驾可控制。不得改写成后视镜调节页面或其他页面。</x:v>
      </x:c>
      <x:c r="E15" s="52" t="str">
        <x:v>主驾，当前关闭</x:v>
      </x:c>
    </x:row>
    <x:row r="16" ht="88" customHeight="1">
      <x:c r="A16" s="52" t="n">
        <x:v>13</x:v>
      </x:c>
      <x:c r="B16" s="52" t="str">
        <x:v>7362154542</x:v>
      </x:c>
      <x:c r="C16" s="52" t="str">
        <x:v>关闭自动驻车</x:v>
      </x:c>
      <x:c r="D16" s="52" t="str">
        <x:v>自动驻车（Auto Hold）属于驾驶类控制，结合speaker_position和当前开关状态：主驾提出且目标状态与当前不同时，保留原意调用vehicle_basic_control关闭自动驻车；已经关闭时才告知无需操作；非主驾提出时说明仅主驾可控制。不得改写成后视镜调节页面或其他页面。</x:v>
      </x:c>
      <x:c r="E16" s="52" t="str">
        <x:v>主驾，当前打开</x:v>
      </x:c>
    </x:row>
    <x:row r="17" ht="88" customHeight="1">
      <x:c r="A17" s="52" t="n">
        <x:v>14</x:v>
      </x:c>
      <x:c r="B17" s="52" t="str">
        <x:v>7356668585</x:v>
      </x:c>
      <x:c r="C17" s="52" t="str">
        <x:v>帮我把车速设置成130</x:v>
      </x:c>
      <x:c r="D17" s="52" t="str">
        <x:v>结合speaker_position、智驾运行状态和当前巡航速度：仅主驾且智驾运行中可调；130km/h在30~130范围内且是5的倍数，调用auto_drive设置巡航速度130。不得根据目标参数提前播报成功；若工具反馈需要确认，只请求确认并等待；若工具反馈“已是当前值”但env_info当前巡航速度不是130，不得总结为成功，应明确执行结果冲突或失败。</x:v>
      </x:c>
      <x:c r="E17" s="52" t="str">
        <x:v>当前巡航39，智驾运行</x:v>
      </x:c>
    </x:row>
    <x:row r="18" ht="88" customHeight="1">
      <x:c r="A18" s="52" t="n">
        <x:v>15</x:v>
      </x:c>
      <x:c r="B18" s="52" t="str">
        <x:v>7350207183</x:v>
      </x:c>
      <x:c r="C18" s="52" t="str">
        <x:v>开始录音</x:v>
      </x:c>
      <x:c r="D18" s="52" t="str">
        <x:v>“开始录音”未明确是否要录制车内讨论并生成会议纪要，不能默认等同“录音纪要”；先向用户确认是要开启录音纪要，还是使用其他录音/影像记录功能。只有用户明确要记录讨论或生成会议纪要时，才调用audio_record下发“打开录音纪要”；用户要独立录音功能时，按实际能力处理，不得偷换成会议纪要。</x:v>
      </x:c>
      <x:c r="E18" s="52" t="str">
        <x:v>验证澄清分支</x:v>
      </x:c>
    </x:row>
    <x:row r="19" ht="88" customHeight="1">
      <x:c r="A19" s="52" t="n">
        <x:v>16</x:v>
      </x:c>
      <x:c r="B19" s="52" t="str">
        <x:v>7346547549</x:v>
      </x:c>
      <x:c r="C19" s="52" t="str">
        <x:v>开慢一点</x:v>
      </x:c>
      <x:c r="D19" s="52" t="str">
        <x:v>结合speaker_position、智驾运行状态和当前巡航速度：仅主驾可操作；智驾巡航中，当前高于30km/h时将目标规整为沿减速方向的下一个5的整数倍，例如当前38km/h改写为“巡航速度设为35km/h”，调用auto_drive；只有当前确为30km/h时才告知已是最低；未开启智驾时才说明无法语音调速。</x:v>
      </x:c>
      <x:c r="E19" s="52" t="str">
        <x:v>当前巡航38，LCC运行</x:v>
      </x:c>
    </x:row>
    <x:row r="20" ht="88" customHeight="1">
      <x:c r="A20" s="52" t="n">
        <x:v>17</x:v>
      </x:c>
      <x:c r="B20" s="52" t="str">
        <x:v>7346593044</x:v>
      </x:c>
      <x:c r="C20" s="52" t="str">
        <x:v>切换音质</x:v>
      </x:c>
      <x:c r="D20" s="52" t="str">
        <x:v>结合env_info当前媒体应用和播放状态：明确显示网易云正在播放时，改写为“将当前网易云播放内容切换为极高音质”，调用media_basic_control；若播放状态未上报，不得直接断言无在播内容，可先调用media_basic_control尝试并按工具结果反馈。</x:v>
      </x:c>
      <x:c r="E20" s="52" t="str">
        <x:v>网易云播放中</x:v>
      </x:c>
    </x:row>
    <x:row r="21" ht="88" customHeight="1">
      <x:c r="A21" s="55" t="n">
        <x:v>18</x:v>
      </x:c>
      <x:c r="B21" s="55" t="str">
        <x:v>7345201844</x:v>
      </x:c>
      <x:c r="C21" s="55" t="str">
        <x:v>调高音质</x:v>
      </x:c>
      <x:c r="D21" s="55" t="str">
        <x:v>结合env_info当前媒体应用和播放状态：明确显示酷我音乐正在播放时，改写为“调高酷我音乐当前播放内容的音质”，调用media_basic_control；若播放状态未上报，不得在调用工具前直接回复无法调节，应先尝试调用并按工具实际返回反馈。</x:v>
      </x:c>
      <x:c r="E21" s="55" t="str">
        <x:v>酷我播放中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061f7e91dfe44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72" hidden="0" customWidth="1"/>
    <x:col min="4" max="4" width="46" hidden="0" customWidth="1"/>
  </x:cols>
  <x:sheetData>
    <x:row r="1">
      <x:c r="A1" s="60" t="str">
        <x:v>动态示例新增与验证流程</x:v>
      </x:c>
      <x:c r="B1" s="60"/>
      <x:c r="C1" s="60"/>
      <x:c r="D1" s="60"/>
    </x:row>
    <x:row r="3">
      <x:c r="A3" s="72" t="str">
        <x:v>步骤</x:v>
      </x:c>
      <x:c r="B3" s="72" t="str">
        <x:v>平台/环节</x:v>
      </x:c>
      <x:c r="C3" s="72" t="str">
        <x:v>操作</x:v>
      </x:c>
      <x:c r="D3" s="72" t="str">
        <x:v>验收</x:v>
      </x:c>
    </x:row>
    <x:row r="4" ht="64" customHeight="1">
      <x:c r="A4" s="49" t="n">
        <x:v>1</x:v>
      </x:c>
      <x:c r="B4" s="49" t="str">
        <x:v>动态示例管理页</x:v>
      </x:c>
      <x:c r="C4" s="49" t="str">
        <x:v>逐条新建：Query只填用户短句；决策分析粘贴“新增动态示例”表中的完整规则。不要把缺陷标题、版本号、LogId拼进Query。</x:v>
      </x:c>
      <x:c r="D4" s="49" t="str">
        <x:v>保存后记录示例ID。</x:v>
      </x:c>
    </x:row>
    <x:row r="5" ht="64" customHeight="1">
      <x:c r="A5" s="52" t="n">
        <x:v>2</x:v>
      </x:c>
      <x:c r="B5" s="52" t="str">
        <x:v>Viking检索测试</x:v>
      </x:c>
      <x:c r="C5" s="52" t="str">
        <x:v>用每条Query原句以及2~3个自然变体检索；环境只使用前三条，因此目标示例必须稳定出现在Top3。</x:v>
      </x:c>
      <x:c r="D5" s="52" t="str">
        <x:v>若未进Top3，补自然口语别名，不要堆抽象关键词。</x:v>
      </x:c>
    </x:row>
    <x:row r="6" ht="64" customHeight="1">
      <x:c r="A6" s="52" t="n">
        <x:v>3</x:v>
      </x:c>
      <x:c r="B6" s="52" t="str">
        <x:v>Fornax 0.0.276</x:v>
      </x:c>
      <x:c r="C6" s="52" t="str">
        <x:v>按真实复现环境填入变量；scenario_sample必须粘贴Viking实际返回的前三条，不得手工只放目标示例。</x:v>
      </x:c>
      <x:c r="D6" s="52" t="str">
        <x:v>保证是在目标版本上测试。</x:v>
      </x:c>
    </x:row>
    <x:row r="7" ht="64" customHeight="1">
      <x:c r="A7" s="52" t="n">
        <x:v>4</x:v>
      </x:c>
      <x:c r="B7" s="52" t="str">
        <x:v>单轮执行检查</x:v>
      </x:c>
      <x:c r="C7" s="52" t="str">
        <x:v>检查talk_content、action_list、tool_name、params；任何控制动作都不能在工具成功前说“已经完成”。</x:v>
      </x:c>
      <x:c r="D7" s="52" t="str">
        <x:v>正确工具、正确参数、正确权限分支。</x:v>
      </x:c>
    </x:row>
    <x:row r="8" ht="64" customHeight="1">
      <x:c r="A8" s="52" t="n">
        <x:v>5</x:v>
      </x:c>
      <x:c r="B8" s="52" t="str">
        <x:v>多轮确认检查</x:v>
      </x:c>
      <x:c r="C8" s="52" t="str">
        <x:v>变道与高速巡航类按“原query→tool_feedback需确认→用户确认→执行结果”完整跑；每个用户轮次最多一个同类FC。</x:v>
      </x:c>
      <x:c r="D8" s="52" t="str">
        <x:v>未确认不执行，确认后只执行一次。</x:v>
      </x:c>
    </x:row>
    <x:row r="9" ht="64" customHeight="1">
      <x:c r="A9" s="52" t="n">
        <x:v>6</x:v>
      </x:c>
      <x:c r="B9" s="52" t="str">
        <x:v>环境反例检查</x:v>
      </x:c>
      <x:c r="C9" s="52" t="str">
        <x:v>每条至少测主驾/非主驾、功能已开/未开、当前值等于/不等于目标值。</x:v>
      </x:c>
      <x:c r="D9" s="52" t="str">
        <x:v>不能只测一个理想环境。</x:v>
      </x:c>
    </x:row>
    <x:row r="10" ht="64" customHeight="1">
      <x:c r="A10" s="52" t="n">
        <x:v>7</x:v>
      </x:c>
      <x:c r="B10" s="52" t="str">
        <x:v>工程问题回归</x:v>
      </x:c>
      <x:c r="C10" s="52" t="str">
        <x:v>对重复FC、错误工具返回、媒体事件缺失、独立录音能力缺口单独提工程修复，不以模型命中率代替链路验收。</x:v>
      </x:c>
      <x:c r="D10" s="52" t="str">
        <x:v>动态样例命中不等于Bug已关闭。</x:v>
      </x:c>
    </x:row>
    <x:row r="11" ht="64" customHeight="1">
      <x:c r="A11" s="55" t="n">
        <x:v>8</x:v>
      </x:c>
      <x:c r="B11" s="55" t="str">
        <x:v>上线</x:v>
      </x:c>
      <x:c r="C11" s="55" t="str">
        <x:v>全部回归通过后再发布prod；发布后用prod检索和真实链路各复测一次。</x:v>
      </x:c>
      <x:c r="D11" s="55" t="str">
        <x:v>未得到明确授权前不要代替用户提交生产变更。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65f5b82eaaf4d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34" hidden="0" customWidth="1"/>
    <x:col min="3" max="3" width="82" hidden="0" customWidth="1"/>
  </x:cols>
  <x:sheetData>
    <x:row r="1">
      <x:c r="A1" s="59" t="str">
        <x:v>判断依据与口径</x:v>
      </x:c>
      <x:c r="B1" s="59"/>
      <x:c r="C1" s="59"/>
    </x:row>
    <x:row r="3">
      <x:c r="A3" s="71" t="str">
        <x:v>来源</x:v>
      </x:c>
      <x:c r="B3" s="71" t="str">
        <x:v>用途</x:v>
      </x:c>
      <x:c r="C3" s="71" t="str">
        <x:v>关键口径</x:v>
      </x:c>
    </x:row>
    <x:row r="4" ht="72" customHeight="1">
      <x:c r="A4" s="49" t="str">
        <x:v>Meego JP299lyvg及16条详情/评论</x:v>
      </x:c>
      <x:c r="B4" s="49" t="str">
        <x:v>实际缺陷、日志结论、当前状态</x:v>
      </x:c>
      <x:c r="C4" s="49" t="str">
        <x:v>重复FC、无FC、错误FC、工具返回冲突和事件缺失均按票内证据区分。</x:v>
      </x:c>
    </x:row>
    <x:row r="5" ht="72" customHeight="1">
      <x:c r="A5" s="52" t="str">
        <x:v>动态示例解bug指南.html</x:v>
      </x:c>
      <x:c r="B5" s="52" t="str">
        <x:v>动态示例适用边界</x:v>
      </x:c>
      <x:c r="C5" s="52" t="str">
        <x:v>动态示例用于低频、明确、难以抽象的单点问题；可抽象共性和链路问题不应只靠动态示例。</x:v>
      </x:c>
    </x:row>
    <x:row r="6" ht="72" customHeight="1">
      <x:c r="A6" s="52" t="str">
        <x:v>上汽DNA-AI汽车能力边界车辆设备Know how更新（0729）.html</x:v>
      </x:c>
      <x:c r="B6" s="52" t="str">
        <x:v>车辆能力与权限</x:v>
      </x:c>
      <x:c r="C6" s="52" t="str">
        <x:v>智驾仅主驾；跟车1~5档；巡航30~130且按5规整；按摩仅主副驾；自动驻车仅主驾；后视镜方向不能直接调。</x:v>
      </x:c>
    </x:row>
    <x:row r="7" ht="72" customHeight="1">
      <x:c r="A7" s="52" t="str">
        <x:v>Fornax 0.0.276 system prompt快照</x:v>
      </x:c>
      <x:c r="B7" s="52" t="str">
        <x:v>线上工具名与工具边界</x:v>
      </x:c>
      <x:c r="C7" s="52" t="str">
        <x:v>本报告使用实际工具名vehicle_basic_control、auto_drive、media_basic_control、audio_record。</x:v>
      </x:c>
    </x:row>
    <x:row r="8" ht="72" customHeight="1">
      <x:c r="A8" s="55" t="str">
        <x:v>【Director】动态示例(for badcases修复）.xlsx</x:v>
      </x:c>
      <x:c r="B8" s="55" t="str">
        <x:v>既有写法与别名</x:v>
      </x:c>
      <x:c r="C8" s="55" t="str">
        <x:v>沿用“状态/权限判断→改写→明确工具→工具结果反馈”的短句风格，并纠正其中过时或互相冲突的条目。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fc426d4cdd004054"/>
  </x:tableParts>
</x:worksheet>
</file>