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e98ba8e32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0080045e374a4a69"/>
    <x:sheet xmlns:r="http://schemas.openxmlformats.org/officeDocument/2006/relationships" name="表格30条" sheetId="2" r:id="R0850115cc8dd41d5"/>
    <x:sheet xmlns:r="http://schemas.openxmlformats.org/officeDocument/2006/relationships" name="补充30条" sheetId="3" r:id="R213a3ed312184739"/>
    <x:sheet xmlns:r="http://schemas.openxmlformats.org/officeDocument/2006/relationships" name="分类指标" sheetId="4" r:id="R5040a4b3cd7b454a"/>
    <x:sheet xmlns:r="http://schemas.openxmlformats.org/officeDocument/2006/relationships" name="错误分析" sheetId="5" r:id="R165dfb63936c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D97706"/>
      <x:name val="Carlito"/>
    </x:font>
    <x:font>
      <x:b/>
      <x:sz val="11"/>
      <x:color rgb="FFDC26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40506420a481c" /><Relationship Type="http://schemas.openxmlformats.org/officeDocument/2006/relationships/theme" Target="/xl/theme/theme1.xml" Id="R5dc716d30aea461c" /><Relationship Type="http://schemas.openxmlformats.org/officeDocument/2006/relationships/sharedStrings" Target="/xl/sharedStrings.xml" Id="R9c9152694f614afa" /><Relationship Type="http://schemas.openxmlformats.org/officeDocument/2006/relationships/worksheet" Target="/xl/worksheets/sheet1.xml" Id="R0080045e374a4a69" /><Relationship Type="http://schemas.openxmlformats.org/officeDocument/2006/relationships/worksheet" Target="/xl/worksheets/sheet2.xml" Id="R0850115cc8dd41d5" /><Relationship Type="http://schemas.openxmlformats.org/officeDocument/2006/relationships/worksheet" Target="/xl/worksheets/sheet3.xml" Id="R213a3ed312184739" /><Relationship Type="http://schemas.openxmlformats.org/officeDocument/2006/relationships/worksheet" Target="/xl/worksheets/sheet4.xml" Id="R5040a4b3cd7b454a" /><Relationship Type="http://schemas.openxmlformats.org/officeDocument/2006/relationships/worksheet" Target="/xl/worksheets/sheet5.xml" Id="R165dfb63936c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4" t="str">
        <x:v>Doubao-Seed-2.0-mini 场景知识召回评测</x:v>
      </x:c>
      <x:c r="B1" s="4" t="str">
        <x:v>Doubao-Seed-2.0-mini 场景知识召回评测</x:v>
      </x:c>
      <x:c r="C1" s="4" t="str">
        <x:v>Doubao-Seed-2.0-mini 场景知识召回评测</x:v>
      </x:c>
      <x:c r="D1" s="4" t="str">
        <x:v>Doubao-Seed-2.0-mini 场景知识召回评测</x:v>
      </x:c>
      <x:c r="E1" s="4" t="str">
        <x:v>Doubao-Seed-2.0-mini 场景知识召回评测</x:v>
      </x:c>
      <x:c r="F1" s="4" t="str">
        <x:v>Doubao-Seed-2.0-mini 场景知识召回评测</x:v>
      </x:c>
      <x:c r="G1" s="4" t="str">
        <x:v>Doubao-Seed-2.0-mini 场景知识召回评测</x:v>
      </x:c>
    </x:row>
    <x:row r="3" ht="28" customHeight="1">
      <x:c r="A3" s="7" t="str">
        <x:v>源表</x:v>
      </x:c>
      <x:c r="B3" s="8" t="str">
        <x:v>/Users/bytedance/Downloads/场景知识更换模型.xlsx</x:v>
      </x:c>
      <x:c r="C3" s="8"/>
      <x:c r="D3" s="8"/>
      <x:c r="E3" s="8"/>
      <x:c r="F3" s="8"/>
      <x:c r="G3" s="8"/>
    </x:row>
    <x:row r="4" ht="28" customHeight="1">
      <x:c r="A4" s="7" t="str">
        <x:v>Fornax Prompt</x:v>
      </x:c>
      <x:c r="B4" s="8" t="str">
        <x:v>https://fornax.bytedance.net/space/7522018773168046082/prompt/develop/7590093230663449858</x:v>
      </x:c>
      <x:c r="C4" s="8"/>
      <x:c r="D4" s="8"/>
      <x:c r="E4" s="8"/>
      <x:c r="F4" s="8"/>
      <x:c r="G4" s="8"/>
    </x:row>
    <x:row r="6" ht="28" customHeight="1">
      <x:c r="A6" s="14" t="str">
        <x:v>数据集</x:v>
      </x:c>
      <x:c r="B6" s="14" t="str">
        <x:v>样本数</x:v>
      </x:c>
      <x:c r="C6" s="14" t="str">
        <x:v>精确匹配数</x:v>
      </x:c>
      <x:c r="D6" s="14" t="str">
        <x:v>准确率</x:v>
      </x:c>
    </x:row>
    <x:row r="7">
      <x:c r="A7" s="17" t="str">
        <x:v>表格30条</x:v>
      </x:c>
      <x:c r="B7" s="17" t="n">
        <x:f>COUNTA('表格30条'!A3:A32)</x:f>
        <x:v>30</x:v>
      </x:c>
      <x:c r="C7" s="17" t="n">
        <x:f>COUNTIF('表格30条'!H3:H32,"PASS")</x:f>
        <x:v>24</x:v>
      </x:c>
      <x:c r="D7" s="18" t="n">
        <x:f>C7/B7</x:f>
        <x:v>0.8</x:v>
      </x:c>
    </x:row>
    <x:row r="8">
      <x:c r="A8" s="17" t="str">
        <x:v>补充30条</x:v>
      </x:c>
      <x:c r="B8" s="17" t="n">
        <x:f>COUNTA('补充30条'!A3:A32)</x:f>
        <x:v>30</x:v>
      </x:c>
      <x:c r="C8" s="17" t="n">
        <x:f>COUNTIF('补充30条'!G3:G32,"PASS")</x:f>
        <x:v>29</x:v>
      </x:c>
      <x:c r="D8" s="18" t="n">
        <x:f>C8/B8</x:f>
        <x:v>0.9666666666666667</x:v>
      </x:c>
    </x:row>
    <x:row r="9">
      <x:c r="A9" s="21" t="str">
        <x:v>合计</x:v>
      </x:c>
      <x:c r="B9" s="21" t="n">
        <x:f>B7+B8</x:f>
        <x:v>60</x:v>
      </x:c>
      <x:c r="C9" s="21" t="n">
        <x:f>C7+C8</x:f>
        <x:v>53</x:v>
      </x:c>
      <x:c r="D9" s="22" t="n">
        <x:f>C9/B9</x:f>
        <x:v>0.8833333333333333</x:v>
      </x:c>
    </x:row>
    <x:row r="11">
      <x:c r="A11" s="6" t="str">
        <x:v>平均耗时（秒）</x:v>
      </x:c>
      <x:c r="B11" s="23" t="n">
        <x:f>(SUM('表格30条'!I3:I32)+SUM('补充30条'!H3:H32))/B9</x:f>
        <x:v>1.1198333333333332</x:v>
      </x:c>
    </x:row>
    <x:row r="12">
      <x:c r="A12" s="6" t="str">
        <x:v>P90耗时（秒）</x:v>
      </x:c>
      <x:c r="B12" s="23" t="n">
        <x:f>PERCENTILE.INC('分类指标'!L2:L61,0.9)</x:f>
        <x:v>1.753</x:v>
      </x:c>
    </x:row>
    <x:row r="13">
      <x:c r="A13" s="6" t="str">
        <x:v>评测时间</x:v>
      </x:c>
      <x:c r="B13" t="str">
        <x:v>2026-08-05</x:v>
      </x:c>
    </x:row>
    <x:row r="15">
      <x:c r="A15" s="10" t="str">
        <x:v>结论与发布判断</x:v>
      </x:c>
      <x:c r="B15" s="10"/>
      <x:c r="C15" s="10"/>
      <x:c r="D15" s="10"/>
      <x:c r="E15" s="10"/>
      <x:c r="F15" s="10"/>
      <x:c r="G15" s="10"/>
    </x:row>
    <x:row r="16" ht="34" customHeight="1">
      <x:c r="A16" s="26" t="str">
        <x:v>当前建议：可继续小流量灰度，不建议直接全量切换。</x:v>
      </x:c>
      <x:c r="B16" s="26"/>
      <x:c r="C16" s="26"/>
      <x:c r="D16" s="26"/>
      <x:c r="E16" s="26"/>
      <x:c r="F16" s="26"/>
      <x:c r="G16" s="26"/>
    </x:row>
    <x:row r="17" ht="34" customHeight="1">
      <x:c r="A17" s="24" t="str">
        <x:v>优点：补充集29/30通过；副驾座椅、通风、晕车、驾驶模式以及多数多标签组合表现稳定。</x:v>
      </x:c>
      <x:c r="B17" s="24"/>
      <x:c r="C17" s="24"/>
      <x:c r="D17" s="24"/>
      <x:c r="E17" s="24"/>
      <x:c r="F17" s="24"/>
      <x:c r="G17" s="24"/>
    </x:row>
    <x:row r="18" ht="34" customHeight="1">
      <x:c r="A18" s="24" t="str">
        <x:v>主要风险：儿童场景被“动漫/动画片”误扩张；普通定温被急速调温误收；雨天别名/陈述漏召回。</x:v>
      </x:c>
      <x:c r="B18" s="24"/>
      <x:c r="C18" s="24"/>
      <x:c r="D18" s="24"/>
      <x:c r="E18" s="24"/>
      <x:c r="F18" s="24"/>
      <x:c r="G18" s="24"/>
    </x:row>
    <x:row r="19" ht="34" customHeight="1">
      <x:c r="A19" s="28" t="str">
        <x:v>发布阻断项：已删除的小憩场景仍会回流到ID_005冥想空间（“我想睡20分钟，到点叫我”）。</x:v>
      </x:c>
      <x:c r="B19" s="28"/>
      <x:c r="C19" s="28"/>
      <x:c r="D19" s="28"/>
      <x:c r="E19" s="28"/>
      <x:c r="F19" s="28"/>
      <x:c r="G19" s="28"/>
    </x:row>
    <x:row r="20" ht="34" customHeight="1">
      <x:c r="A20" s="24" t="str">
        <x:v>建议修完错误分析中的互斥/别名规则后，用同一60条回归集复测，目标精确匹配率≥95%，且发布阻断项为0。</x:v>
      </x:c>
      <x:c r="B20" s="24"/>
      <x:c r="C20" s="24"/>
      <x:c r="D20" s="24"/>
      <x:c r="E20" s="24"/>
      <x:c r="F20" s="24"/>
      <x:c r="G20" s="24"/>
    </x:row>
  </x:sheetData>
  <x:mergeCells>
    <x:mergeCell ref="A1:G1"/>
    <x:mergeCell ref="B3:G3"/>
    <x:mergeCell ref="B4:G4"/>
    <x:mergeCell ref="A15:G15"/>
    <x:mergeCell ref="A16:G16"/>
    <x:mergeCell ref="A17:G17"/>
    <x:mergeCell ref="A18:G18"/>
    <x:mergeCell ref="A19:G19"/>
    <x:mergeCell ref="A20:G20"/>
  </x:mergeCells>
  <x:conditionalFormatting sqref="D7:D9">
    <x:cfRule type="cellIs" dxfId="4" priority="1" operator="greaterThanOrEqual">
      <x:formula>0.95</x:formula>
    </x:cfRule>
    <x:cfRule type="cellIs" dxfId="5" priority="2" operator="lessThan">
      <x:formula>0.95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44" hidden="0" customWidth="1"/>
    <x:col min="5" max="5" width="20" hidden="0" customWidth="1"/>
    <x:col min="6" max="6" width="20" hidden="0" customWidth="1"/>
    <x:col min="7" max="7" width="20" hidden="0" customWidth="1"/>
    <x:col min="8" max="8" width="12" hidden="0" customWidth="1"/>
    <x:col min="9" max="9" width="11" hidden="0" customWidth="1"/>
    <x:col min="10" max="10" width="48" hidden="0" customWidth="1"/>
  </x:cols>
  <x:sheetData>
    <x:row r="1" ht="34" customHeight="1">
      <x:c r="A1" s="4" t="str">
        <x:v>源表30条 Query：2.0-mini 实跑结果</x:v>
      </x:c>
      <x:c r="B1" s="4" t="str">
        <x:v>源表30条 Query：2.0-mini 实跑结果</x:v>
      </x:c>
      <x:c r="C1" s="4" t="str">
        <x:v>源表30条 Query：2.0-mini 实跑结果</x:v>
      </x:c>
      <x:c r="D1" s="4" t="str">
        <x:v>源表30条 Query：2.0-mini 实跑结果</x:v>
      </x:c>
      <x:c r="E1" s="4" t="str">
        <x:v>源表30条 Query：2.0-mini 实跑结果</x:v>
      </x:c>
      <x:c r="F1" s="4" t="str">
        <x:v>源表30条 Query：2.0-mini 实跑结果</x:v>
      </x:c>
      <x:c r="G1" s="4" t="str">
        <x:v>源表30条 Query：2.0-mini 实跑结果</x:v>
      </x:c>
      <x:c r="H1" s="4" t="str">
        <x:v>源表30条 Query：2.0-mini 实跑结果</x:v>
      </x:c>
      <x:c r="I1" s="4" t="str">
        <x:v>源表30条 Query：2.0-mini 实跑结果</x:v>
      </x:c>
      <x:c r="J1" s="4" t="str">
        <x:v>源表30条 Query：2.0-mini 实跑结果</x:v>
      </x:c>
    </x:row>
    <x:row r="2" ht="28" customHeight="1">
      <x:c r="A2" s="14" t="str">
        <x:v>源表行</x:v>
      </x:c>
      <x:c r="B2" s="14" t="str">
        <x:v>test_id</x:v>
      </x:c>
      <x:c r="C2" s="14" t="str">
        <x:v>sound_area</x:v>
      </x:c>
      <x:c r="D2" s="14" t="str">
        <x:v>query</x:v>
      </x:c>
      <x:c r="E2" s="14" t="str">
        <x:v>原表旧expected</x:v>
      </x:c>
      <x:c r="F2" s="14" t="str">
        <x:v>新expected（计分）</x:v>
      </x:c>
      <x:c r="G2" s="14" t="str">
        <x:v>2.0-mini实际召回</x:v>
      </x:c>
      <x:c r="H2" s="14" t="str">
        <x:v>精确匹配</x:v>
      </x:c>
      <x:c r="I2" s="14" t="str">
        <x:v>耗时(s)</x:v>
      </x:c>
      <x:c r="J2" s="14" t="str">
        <x:v>复核说明</x:v>
      </x:c>
    </x:row>
    <x:row r="3" ht="42" customHeight="1">
      <x:c r="A3" s="17" t="n">
        <x:v>2</x:v>
      </x:c>
      <x:c r="B3" s="17" t="n">
        <x:v>3</x:v>
      </x:c>
      <x:c r="C3" s="17" t="str">
        <x:v>主驾</x:v>
      </x:c>
      <x:c r="D3" s="17" t="str">
        <x:v>放点适合孩子看的动画片给他</x:v>
      </x:c>
      <x:c r="E3" s="17" t="str">
        <x:v>ID_002</x:v>
      </x:c>
      <x:c r="F3" s="17" t="str">
        <x:v>ID_001,ID_002</x:v>
      </x:c>
      <x:c r="G3" s="17" t="str">
        <x:v>ID_001,ID_002</x:v>
      </x:c>
      <x:c r="H3" s="30" t="str">
        <x:f>IF(F3=G3,"PASS","FAIL")</x:f>
        <x:v>PASS</x:v>
      </x:c>
      <x:c r="I3" s="29" t="n">
        <x:v>1.03</x:v>
      </x:c>
      <x:c r="J3" s="17" t="str">
        <x:v>儿童陪伴与明确动画播放同时成立，按多标签计分</x:v>
      </x:c>
    </x:row>
    <x:row r="4" ht="42" customHeight="1">
      <x:c r="A4" s="17" t="n">
        <x:v>3</x:v>
      </x:c>
      <x:c r="B4" s="17" t="n">
        <x:v>47</x:v>
      </x:c>
      <x:c r="C4" s="17" t="str">
        <x:v>主驾</x:v>
      </x:c>
      <x:c r="D4" s="17" t="str">
        <x:v>打开减压放松模式，我有点累了</x:v>
      </x:c>
      <x:c r="E4" s="17" t="str">
        <x:v>ID_009，ID_008</x:v>
      </x:c>
      <x:c r="F4" s="17" t="str">
        <x:v>ID_005</x:v>
      </x:c>
      <x:c r="G4" s="17" t="str">
        <x:v>ID_005</x:v>
      </x:c>
      <x:c r="H4" s="30" t="str">
        <x:f>IF(F4=G4,"PASS","FAIL")</x:f>
        <x:v>PASS</x:v>
      </x:c>
      <x:c r="I4" s="29" t="n">
        <x:v>0.92</x:v>
      </x:c>
      <x:c r="J4" s="17" t="str"/>
    </x:row>
    <x:row r="5" ht="42" customHeight="1">
      <x:c r="A5" s="17" t="n">
        <x:v>4</x:v>
      </x:c>
      <x:c r="B5" s="17" t="n">
        <x:v>10</x:v>
      </x:c>
      <x:c r="C5" s="17" t="str">
        <x:v>主驾</x:v>
      </x:c>
      <x:c r="D5" s="17" t="str">
        <x:v>最近有啥热门电视剧，我想看</x:v>
      </x:c>
      <x:c r="E5" s="17" t="str">
        <x:v>ID_003</x:v>
      </x:c>
      <x:c r="F5" s="17" t="str">
        <x:v>ID_002</x:v>
      </x:c>
      <x:c r="G5" s="17" t="str">
        <x:v>ID_002</x:v>
      </x:c>
      <x:c r="H5" s="30" t="str">
        <x:f>IF(F5=G5,"PASS","FAIL")</x:f>
        <x:v>PASS</x:v>
      </x:c>
      <x:c r="I5" s="29" t="n">
        <x:v>1.11</x:v>
      </x:c>
      <x:c r="J5" s="17" t="str"/>
    </x:row>
    <x:row r="6" ht="42" customHeight="1">
      <x:c r="A6" s="17" t="n">
        <x:v>5</x:v>
      </x:c>
      <x:c r="B6" s="17" t="n">
        <x:v>108</x:v>
      </x:c>
      <x:c r="C6" s="17" t="str">
        <x:v>主驾</x:v>
      </x:c>
      <x:c r="D6" s="17" t="str">
        <x:v>有哪些5D电影</x:v>
      </x:c>
      <x:c r="E6" s="17" t="str">
        <x:v>NA，ID_007</x:v>
      </x:c>
      <x:c r="F6" s="17" t="str">
        <x:v>ID_000</x:v>
      </x:c>
      <x:c r="G6" s="17" t="str">
        <x:v>ID_002</x:v>
      </x:c>
      <x:c r="H6" s="30" t="str">
        <x:f>IF(F6=G6,"PASS","FAIL")</x:f>
        <x:v>FAIL</x:v>
      </x:c>
      <x:c r="I6" s="29" t="n">
        <x:v>1.97</x:v>
      </x:c>
      <x:c r="J6" s="17" t="str">
        <x:v>SP口径冲突：场景trigger写“明确提5D即可”，专项规则又要求必须有看/播/放；本次按无明确观看意图计ID_000</x:v>
      </x:c>
    </x:row>
    <x:row r="7" ht="42" customHeight="1">
      <x:c r="A7" s="17" t="n">
        <x:v>6</x:v>
      </x:c>
      <x:c r="B7" s="17" t="n">
        <x:v>19</x:v>
      </x:c>
      <x:c r="C7" s="17" t="str">
        <x:v>右后</x:v>
      </x:c>
      <x:c r="D7" s="17" t="str">
        <x:v>帮我找一下今年好看的古装电视剧全集</x:v>
      </x:c>
      <x:c r="E7" s="17" t="str">
        <x:v>ID_003</x:v>
      </x:c>
      <x:c r="F7" s="17" t="str">
        <x:v>ID_002</x:v>
      </x:c>
      <x:c r="G7" s="17" t="str">
        <x:v>ID_002</x:v>
      </x:c>
      <x:c r="H7" s="30" t="str">
        <x:f>IF(F7=G7,"PASS","FAIL")</x:f>
        <x:v>PASS</x:v>
      </x:c>
      <x:c r="I7" s="29" t="n">
        <x:v>0.72</x:v>
      </x:c>
      <x:c r="J7" s="17" t="str"/>
    </x:row>
    <x:row r="8" ht="42" customHeight="1">
      <x:c r="A8" s="17" t="n">
        <x:v>7</x:v>
      </x:c>
      <x:c r="B8" s="17" t="n">
        <x:v>118</x:v>
      </x:c>
      <x:c r="C8" s="17" t="str">
        <x:v>主驾</x:v>
      </x:c>
      <x:c r="D8" s="17" t="str">
        <x:v>还有30分钟才充满电，看个动漫吧</x:v>
      </x:c>
      <x:c r="E8" s="17" t="str">
        <x:v>ID_002</x:v>
      </x:c>
      <x:c r="F8" s="17" t="str">
        <x:v>ID_002</x:v>
      </x:c>
      <x:c r="G8" s="17" t="str">
        <x:v>ID_001,ID_002</x:v>
      </x:c>
      <x:c r="H8" s="30" t="str">
        <x:f>IF(F8=G8,"PASS","FAIL")</x:f>
        <x:v>FAIL</x:v>
      </x:c>
      <x:c r="I8" s="29" t="n">
        <x:v>0.77</x:v>
      </x:c>
      <x:c r="J8" s="17" t="str">
        <x:v>误多召回ID_001：只提动漫，未提孩子或陪伴</x:v>
      </x:c>
    </x:row>
    <x:row r="9" ht="42" customHeight="1">
      <x:c r="A9" s="17" t="n">
        <x:v>8</x:v>
      </x:c>
      <x:c r="B9" s="17" t="n">
        <x:v>21</x:v>
      </x:c>
      <x:c r="C9" s="17" t="str">
        <x:v>主驾</x:v>
      </x:c>
      <x:c r="D9" s="17" t="str">
        <x:v>播一下现在热度很高的悬疑短剧</x:v>
      </x:c>
      <x:c r="E9" s="17" t="str">
        <x:v>ID_003</x:v>
      </x:c>
      <x:c r="F9" s="17" t="str">
        <x:v>ID_002</x:v>
      </x:c>
      <x:c r="G9" s="17" t="str">
        <x:v>ID_002</x:v>
      </x:c>
      <x:c r="H9" s="30" t="str">
        <x:f>IF(F9=G9,"PASS","FAIL")</x:f>
        <x:v>PASS</x:v>
      </x:c>
      <x:c r="I9" s="29" t="n">
        <x:v>1.02</x:v>
      </x:c>
      <x:c r="J9" s="17" t="str"/>
    </x:row>
    <x:row r="10" ht="42" customHeight="1">
      <x:c r="A10" s="17" t="n">
        <x:v>9</x:v>
      </x:c>
      <x:c r="B10" s="17" t="n">
        <x:v>17</x:v>
      </x:c>
      <x:c r="C10" s="17" t="str">
        <x:v>主驾</x:v>
      </x:c>
      <x:c r="D10" s="17" t="str">
        <x:v>我想看你好星期六最新一期</x:v>
      </x:c>
      <x:c r="E10" s="17" t="str">
        <x:v>ID_003</x:v>
      </x:c>
      <x:c r="F10" s="17" t="str">
        <x:v>ID_002</x:v>
      </x:c>
      <x:c r="G10" s="17" t="str">
        <x:v>ID_002</x:v>
      </x:c>
      <x:c r="H10" s="30" t="str">
        <x:f>IF(F10=G10,"PASS","FAIL")</x:f>
        <x:v>PASS</x:v>
      </x:c>
      <x:c r="I10" s="29" t="n">
        <x:v>1.11</x:v>
      </x:c>
      <x:c r="J10" s="17" t="str"/>
    </x:row>
    <x:row r="11" ht="42" customHeight="1">
      <x:c r="A11" s="17" t="n">
        <x:v>10</x:v>
      </x:c>
      <x:c r="B11" s="17" t="n">
        <x:v>74</x:v>
      </x:c>
      <x:c r="C11" s="17" t="str">
        <x:v>主驾</x:v>
      </x:c>
      <x:c r="D11" s="17" t="str">
        <x:v>宝宝犯困了，帮忙哄睡一下</x:v>
      </x:c>
      <x:c r="E11" s="17" t="str">
        <x:v>ID_001</x:v>
      </x:c>
      <x:c r="F11" s="17" t="str">
        <x:v>ID_001</x:v>
      </x:c>
      <x:c r="G11" s="17" t="str">
        <x:v>ID_001</x:v>
      </x:c>
      <x:c r="H11" s="30" t="str">
        <x:f>IF(F11=G11,"PASS","FAIL")</x:f>
        <x:v>PASS</x:v>
      </x:c>
      <x:c r="I11" s="29" t="n">
        <x:v>0.99</x:v>
      </x:c>
      <x:c r="J11" s="17" t="str"/>
    </x:row>
    <x:row r="12" ht="42" customHeight="1">
      <x:c r="A12" s="17" t="n">
        <x:v>11</x:v>
      </x:c>
      <x:c r="B12" s="17" t="n">
        <x:v>66</x:v>
      </x:c>
      <x:c r="C12" s="17" t="str">
        <x:v>左后</x:v>
      </x:c>
      <x:c r="D12" s="17" t="str">
        <x:v>宝宝睡着了，后排空调温度别太低</x:v>
      </x:c>
      <x:c r="E12" s="17" t="str"/>
      <x:c r="F12" s="17" t="str">
        <x:v>ID_000</x:v>
      </x:c>
      <x:c r="G12" s="17" t="str">
        <x:v>ID_003</x:v>
      </x:c>
      <x:c r="H12" s="30" t="str">
        <x:f>IF(F12=G12,"PASS","FAIL")</x:f>
        <x:v>FAIL</x:v>
      </x:c>
      <x:c r="I12" s="29" t="n">
        <x:v>0.99</x:v>
      </x:c>
      <x:c r="J12" s="17" t="str">
        <x:v>误召回ID_003：普通后排空调温度控制不应进入急速调温</x:v>
      </x:c>
    </x:row>
    <x:row r="13" ht="42" customHeight="1">
      <x:c r="A13" s="17" t="n">
        <x:v>12</x:v>
      </x:c>
      <x:c r="B13" s="17" t="n">
        <x:v>119</x:v>
      </x:c>
      <x:c r="C13" s="17" t="str">
        <x:v>副驾</x:v>
      </x:c>
      <x:c r="D13" s="17" t="str">
        <x:v>这座椅坐的脖子不舒服</x:v>
      </x:c>
      <x:c r="E13" s="17" t="str">
        <x:v>ID_006</x:v>
      </x:c>
      <x:c r="F13" s="17" t="str">
        <x:v>ID_004</x:v>
      </x:c>
      <x:c r="G13" s="17" t="str">
        <x:v>ID_004</x:v>
      </x:c>
      <x:c r="H13" s="30" t="str">
        <x:f>IF(F13=G13,"PASS","FAIL")</x:f>
        <x:v>PASS</x:v>
      </x:c>
      <x:c r="I13" s="29" t="n">
        <x:v>1.33</x:v>
      </x:c>
      <x:c r="J13" s="17" t="str"/>
    </x:row>
    <x:row r="14" ht="42" customHeight="1">
      <x:c r="A14" s="17" t="n">
        <x:v>13</x:v>
      </x:c>
      <x:c r="B14" s="17" t="n">
        <x:v>16</x:v>
      </x:c>
      <x:c r="C14" s="17" t="str">
        <x:v>主驾</x:v>
      </x:c>
      <x:c r="D14" s="17" t="str">
        <x:v>成龙去年和梁家辉那个电影，播给我看看</x:v>
      </x:c>
      <x:c r="E14" s="17" t="str">
        <x:v>ID_003</x:v>
      </x:c>
      <x:c r="F14" s="17" t="str">
        <x:v>ID_002</x:v>
      </x:c>
      <x:c r="G14" s="17" t="str">
        <x:v>ID_002</x:v>
      </x:c>
      <x:c r="H14" s="30" t="str">
        <x:f>IF(F14=G14,"PASS","FAIL")</x:f>
        <x:v>PASS</x:v>
      </x:c>
      <x:c r="I14" s="29" t="n">
        <x:v>1.06</x:v>
      </x:c>
      <x:c r="J14" s="17" t="str"/>
    </x:row>
    <x:row r="15" ht="42" customHeight="1">
      <x:c r="A15" s="17" t="n">
        <x:v>14</x:v>
      </x:c>
      <x:c r="B15" s="17" t="n">
        <x:v>35</x:v>
      </x:c>
      <x:c r="C15" s="17" t="str">
        <x:v>副驾</x:v>
      </x:c>
      <x:c r="D15" s="17" t="str">
        <x:v>大腿悬空有点难受</x:v>
      </x:c>
      <x:c r="E15" s="17" t="str"/>
      <x:c r="F15" s="17" t="str">
        <x:v>ID_004</x:v>
      </x:c>
      <x:c r="G15" s="17" t="str">
        <x:v>ID_004</x:v>
      </x:c>
      <x:c r="H15" s="30" t="str">
        <x:f>IF(F15=G15,"PASS","FAIL")</x:f>
        <x:v>PASS</x:v>
      </x:c>
      <x:c r="I15" s="29" t="n">
        <x:v>0.72</x:v>
      </x:c>
      <x:c r="J15" s="17" t="str"/>
    </x:row>
    <x:row r="16" ht="42" customHeight="1">
      <x:c r="A16" s="17" t="n">
        <x:v>15</x:v>
      </x:c>
      <x:c r="B16" s="17" t="n">
        <x:v>36</x:v>
      </x:c>
      <x:c r="C16" s="17" t="str">
        <x:v>副驾</x:v>
      </x:c>
      <x:c r="D16" s="17" t="str">
        <x:v>靠背太直了，帮我往后调一点</x:v>
      </x:c>
      <x:c r="E16" s="17" t="str"/>
      <x:c r="F16" s="17" t="str">
        <x:v>ID_004</x:v>
      </x:c>
      <x:c r="G16" s="17" t="str">
        <x:v>ID_004</x:v>
      </x:c>
      <x:c r="H16" s="30" t="str">
        <x:f>IF(F16=G16,"PASS","FAIL")</x:f>
        <x:v>PASS</x:v>
      </x:c>
      <x:c r="I16" s="29" t="n">
        <x:v>0.99</x:v>
      </x:c>
      <x:c r="J16" s="17" t="str"/>
    </x:row>
    <x:row r="17" ht="42" customHeight="1">
      <x:c r="A17" s="17" t="n">
        <x:v>16</x:v>
      </x:c>
      <x:c r="B17" s="17" t="n">
        <x:v>116</x:v>
      </x:c>
      <x:c r="C17" s="17" t="str">
        <x:v>主驾</x:v>
      </x:c>
      <x:c r="D17" s="17" t="str">
        <x:v>车里是不是太热了啊，豆包快速降温，给后排放个动画片</x:v>
      </x:c>
      <x:c r="E17" s="17" t="str">
        <x:v>ID_004，ID_002</x:v>
      </x:c>
      <x:c r="F17" s="17" t="str">
        <x:v>ID_002,ID_003</x:v>
      </x:c>
      <x:c r="G17" s="17" t="str">
        <x:v>ID_001,ID_002,ID_003</x:v>
      </x:c>
      <x:c r="H17" s="30" t="str">
        <x:f>IF(F17=G17,"PASS","FAIL")</x:f>
        <x:v>FAIL</x:v>
      </x:c>
      <x:c r="I17" s="29" t="n">
        <x:v>0.89</x:v>
      </x:c>
      <x:c r="J17" s="17" t="str">
        <x:v>误多召回ID_001：只提后排动画片，未提儿童</x:v>
      </x:c>
    </x:row>
    <x:row r="18" ht="42" customHeight="1">
      <x:c r="A18" s="17" t="n">
        <x:v>17</x:v>
      </x:c>
      <x:c r="B18" s="17" t="n">
        <x:v>64</x:v>
      </x:c>
      <x:c r="C18" s="17" t="str">
        <x:v>主驾</x:v>
      </x:c>
      <x:c r="D18" s="17" t="str">
        <x:v>车窗起雾了换气除雾</x:v>
      </x:c>
      <x:c r="E18" s="17" t="str">
        <x:v>ID_012</x:v>
      </x:c>
      <x:c r="F18" s="17" t="str">
        <x:v>ID_006,ID_007</x:v>
      </x:c>
      <x:c r="G18" s="17" t="str">
        <x:v>ID_006,ID_007</x:v>
      </x:c>
      <x:c r="H18" s="30" t="str">
        <x:f>IF(F18=G18,"PASS","FAIL")</x:f>
        <x:v>PASS</x:v>
      </x:c>
      <x:c r="I18" s="29" t="n">
        <x:v>2.04</x:v>
      </x:c>
      <x:c r="J18" s="17" t="str">
        <x:v>起雾与换气同时出现，按ID_006+ID_007多标签计分</x:v>
      </x:c>
    </x:row>
    <x:row r="19" ht="42" customHeight="1">
      <x:c r="A19" s="17" t="n">
        <x:v>18</x:v>
      </x:c>
      <x:c r="B19" s="17" t="n">
        <x:v>18</x:v>
      </x:c>
      <x:c r="C19" s="17" t="str">
        <x:v>左后</x:v>
      </x:c>
      <x:c r="D19" s="17" t="str">
        <x:v>有点无聊啊，放点最近比较火的综艺看看吧</x:v>
      </x:c>
      <x:c r="E19" s="17" t="str">
        <x:v>ID_003</x:v>
      </x:c>
      <x:c r="F19" s="17" t="str">
        <x:v>ID_002</x:v>
      </x:c>
      <x:c r="G19" s="17" t="str">
        <x:v>ID_002</x:v>
      </x:c>
      <x:c r="H19" s="30" t="str">
        <x:f>IF(F19=G19,"PASS","FAIL")</x:f>
        <x:v>PASS</x:v>
      </x:c>
      <x:c r="I19" s="29" t="n">
        <x:v>1.04</x:v>
      </x:c>
      <x:c r="J19" s="17" t="str"/>
    </x:row>
    <x:row r="20" ht="42" customHeight="1">
      <x:c r="A20" s="17" t="n">
        <x:v>19</x:v>
      </x:c>
      <x:c r="B20" s="17" t="n">
        <x:v>34</x:v>
      </x:c>
      <x:c r="C20" s="17" t="str">
        <x:v>副驾</x:v>
      </x:c>
      <x:c r="D20" s="17" t="str">
        <x:v>腰坐的不舒服，帮我调一下</x:v>
      </x:c>
      <x:c r="E20" s="17" t="str"/>
      <x:c r="F20" s="17" t="str">
        <x:v>ID_004</x:v>
      </x:c>
      <x:c r="G20" s="17" t="str">
        <x:v>ID_004</x:v>
      </x:c>
      <x:c r="H20" s="30" t="str">
        <x:f>IF(F20=G20,"PASS","FAIL")</x:f>
        <x:v>PASS</x:v>
      </x:c>
      <x:c r="I20" s="29" t="n">
        <x:v>0.75</x:v>
      </x:c>
      <x:c r="J20" s="17" t="str"/>
    </x:row>
    <x:row r="21" ht="42" customHeight="1">
      <x:c r="A21" s="17" t="n">
        <x:v>20</x:v>
      </x:c>
      <x:c r="B21" s="17" t="n">
        <x:v>49</x:v>
      </x:c>
      <x:c r="C21" s="17" t="str">
        <x:v>主驾</x:v>
      </x:c>
      <x:c r="D21" s="17" t="str">
        <x:v>调整座椅靠背角度、放倒座椅，调成适合躺卧小憩的状态。</x:v>
      </x:c>
      <x:c r="E21" s="17" t="str">
        <x:v>ID_009</x:v>
      </x:c>
      <x:c r="F21" s="17" t="str">
        <x:v>ID_000</x:v>
      </x:c>
      <x:c r="G21" s="17" t="str">
        <x:v>ID_000</x:v>
      </x:c>
      <x:c r="H21" s="30" t="str">
        <x:f>IF(F21=G21,"PASS","FAIL")</x:f>
        <x:v>PASS</x:v>
      </x:c>
      <x:c r="I21" s="29" t="n">
        <x:v>1.6</x:v>
      </x:c>
      <x:c r="J21" s="17" t="str"/>
    </x:row>
    <x:row r="22" ht="42" customHeight="1">
      <x:c r="A22" s="17" t="n">
        <x:v>21</x:v>
      </x:c>
      <x:c r="B22" s="17" t="n">
        <x:v>72</x:v>
      </x:c>
      <x:c r="C22" s="17" t="str">
        <x:v>主驾</x:v>
      </x:c>
      <x:c r="D22" s="17" t="str">
        <x:v>帮我检查一下后排的儿童安全</x:v>
      </x:c>
      <x:c r="E22" s="17" t="str">
        <x:v>ID_013</x:v>
      </x:c>
      <x:c r="F22" s="17" t="str">
        <x:v>ID_000</x:v>
      </x:c>
      <x:c r="G22" s="17" t="str">
        <x:v>ID_000</x:v>
      </x:c>
      <x:c r="H22" s="30" t="str">
        <x:f>IF(F22=G22,"PASS","FAIL")</x:f>
        <x:v>PASS</x:v>
      </x:c>
      <x:c r="I22" s="29" t="n">
        <x:v>0.68</x:v>
      </x:c>
      <x:c r="J22" s="17" t="str"/>
    </x:row>
    <x:row r="23" ht="42" customHeight="1">
      <x:c r="A23" s="17" t="n">
        <x:v>22</x:v>
      </x:c>
      <x:c r="B23" s="17" t="n">
        <x:v>94</x:v>
      </x:c>
      <x:c r="C23" s="17" t="str">
        <x:v>主驾</x:v>
      </x:c>
      <x:c r="D23" s="17" t="str">
        <x:v>打开保驾护航模式</x:v>
      </x:c>
      <x:c r="E23" s="17" t="str">
        <x:v>ID_010</x:v>
      </x:c>
      <x:c r="F23" s="17" t="str">
        <x:v>ID_006</x:v>
      </x:c>
      <x:c r="G23" s="17" t="str">
        <x:v>ID_000</x:v>
      </x:c>
      <x:c r="H23" s="30" t="str">
        <x:f>IF(F23=G23,"PASS","FAIL")</x:f>
        <x:v>FAIL</x:v>
      </x:c>
      <x:c r="I23" s="29" t="n">
        <x:v>1.75</x:v>
      </x:c>
      <x:c r="J23" s="17" t="str">
        <x:v>漏召回ID_006：历史业务别名“保驾护航模式”未写入当前SP</x:v>
      </x:c>
    </x:row>
    <x:row r="24" ht="42" customHeight="1">
      <x:c r="A24" s="17" t="n">
        <x:v>23</x:v>
      </x:c>
      <x:c r="B24" s="17" t="n">
        <x:v>82</x:v>
      </x:c>
      <x:c r="C24" s="17" t="str">
        <x:v>主驾</x:v>
      </x:c>
      <x:c r="D24" s="17" t="str">
        <x:v>帮我把座椅放躺一点，我想看个电影</x:v>
      </x:c>
      <x:c r="E24" s="17" t="str">
        <x:v>ID_006，ID_003</x:v>
      </x:c>
      <x:c r="F24" s="17" t="str">
        <x:v>ID_002</x:v>
      </x:c>
      <x:c r="G24" s="17" t="str">
        <x:v>ID_002</x:v>
      </x:c>
      <x:c r="H24" s="30" t="str">
        <x:f>IF(F24=G24,"PASS","FAIL")</x:f>
        <x:v>PASS</x:v>
      </x:c>
      <x:c r="I24" s="29" t="n">
        <x:v>0.99</x:v>
      </x:c>
      <x:c r="J24" s="17" t="str"/>
    </x:row>
    <x:row r="25" ht="42" customHeight="1">
      <x:c r="A25" s="17" t="n">
        <x:v>24</x:v>
      </x:c>
      <x:c r="B25" s="17" t="n">
        <x:v>33</x:v>
      </x:c>
      <x:c r="C25" s="17" t="str">
        <x:v>副驾</x:v>
      </x:c>
      <x:c r="D25" s="17" t="str">
        <x:v>座位有点挤，腿伸不直</x:v>
      </x:c>
      <x:c r="E25" s="17" t="str"/>
      <x:c r="F25" s="17" t="str">
        <x:v>ID_004</x:v>
      </x:c>
      <x:c r="G25" s="17" t="str">
        <x:v>ID_004</x:v>
      </x:c>
      <x:c r="H25" s="30" t="str">
        <x:f>IF(F25=G25,"PASS","FAIL")</x:f>
        <x:v>PASS</x:v>
      </x:c>
      <x:c r="I25" s="29" t="n">
        <x:v>1.13</x:v>
      </x:c>
      <x:c r="J25" s="17" t="str"/>
    </x:row>
    <x:row r="26" ht="42" customHeight="1">
      <x:c r="A26" s="17" t="n">
        <x:v>25</x:v>
      </x:c>
      <x:c r="B26" s="17" t="n">
        <x:v>112</x:v>
      </x:c>
      <x:c r="C26" s="17" t="str">
        <x:v>副驾</x:v>
      </x:c>
      <x:c r="D26" s="17" t="str">
        <x:v>衣服穿太多了，有点挤啊</x:v>
      </x:c>
      <x:c r="E26" s="17" t="str">
        <x:v>ID_006</x:v>
      </x:c>
      <x:c r="F26" s="17" t="str">
        <x:v>ID_004</x:v>
      </x:c>
      <x:c r="G26" s="17" t="str">
        <x:v>ID_004</x:v>
      </x:c>
      <x:c r="H26" s="30" t="str">
        <x:f>IF(F26=G26,"PASS","FAIL")</x:f>
        <x:v>PASS</x:v>
      </x:c>
      <x:c r="I26" s="29" t="n">
        <x:v>1.83</x:v>
      </x:c>
      <x:c r="J26" s="17" t="str"/>
    </x:row>
    <x:row r="27" ht="42" customHeight="1">
      <x:c r="A27" s="17" t="n">
        <x:v>26</x:v>
      </x:c>
      <x:c r="B27" s="17" t="n">
        <x:v>87</x:v>
      </x:c>
      <x:c r="C27" s="17" t="str">
        <x:v>主驾</x:v>
      </x:c>
      <x:c r="D27" s="17" t="str">
        <x:v>我想看前阵子挺火的粉底液将军那个剧</x:v>
      </x:c>
      <x:c r="E27" s="17" t="str">
        <x:v>ID_003</x:v>
      </x:c>
      <x:c r="F27" s="17" t="str">
        <x:v>ID_002</x:v>
      </x:c>
      <x:c r="G27" s="17" t="str">
        <x:v>ID_002</x:v>
      </x:c>
      <x:c r="H27" s="30" t="str">
        <x:f>IF(F27=G27,"PASS","FAIL")</x:f>
        <x:v>PASS</x:v>
      </x:c>
      <x:c r="I27" s="29" t="n">
        <x:v>0.66</x:v>
      </x:c>
      <x:c r="J27" s="17" t="str"/>
    </x:row>
    <x:row r="28" ht="42" customHeight="1">
      <x:c r="A28" s="17" t="n">
        <x:v>27</x:v>
      </x:c>
      <x:c r="B28" s="17" t="n">
        <x:v>78</x:v>
      </x:c>
      <x:c r="C28" s="17" t="str">
        <x:v>主驾</x:v>
      </x:c>
      <x:c r="D28" s="17" t="str">
        <x:v>外面太冷了，玻璃都起雾了</x:v>
      </x:c>
      <x:c r="E28" s="17" t="str">
        <x:v>ID_005</x:v>
      </x:c>
      <x:c r="F28" s="17" t="str">
        <x:v>ID_006</x:v>
      </x:c>
      <x:c r="G28" s="17" t="str">
        <x:v>ID_006</x:v>
      </x:c>
      <x:c r="H28" s="30" t="str">
        <x:f>IF(F28=G28,"PASS","FAIL")</x:f>
        <x:v>PASS</x:v>
      </x:c>
      <x:c r="I28" s="29" t="n">
        <x:v>0.79</x:v>
      </x:c>
      <x:c r="J28" s="17" t="str">
        <x:v>人工复核按ID_006计分：“外面太冷”是天气背景，不等于车内急速升温诉求</x:v>
      </x:c>
    </x:row>
    <x:row r="29" ht="42" customHeight="1">
      <x:c r="A29" s="17" t="n">
        <x:v>28</x:v>
      </x:c>
      <x:c r="B29" s="17" t="n">
        <x:v>113</x:v>
      </x:c>
      <x:c r="C29" s="17" t="str">
        <x:v>主驾</x:v>
      </x:c>
      <x:c r="D29" s="17" t="str">
        <x:v>记得狗狗在后排，我去找个卫生间</x:v>
      </x:c>
      <x:c r="E29" s="17" t="str">
        <x:v>ID_011</x:v>
      </x:c>
      <x:c r="F29" s="17" t="str">
        <x:v>ID_000</x:v>
      </x:c>
      <x:c r="G29" s="17" t="str">
        <x:v>ID_000</x:v>
      </x:c>
      <x:c r="H29" s="30" t="str">
        <x:f>IF(F29=G29,"PASS","FAIL")</x:f>
        <x:v>PASS</x:v>
      </x:c>
      <x:c r="I29" s="29" t="n">
        <x:v>0.88</x:v>
      </x:c>
      <x:c r="J29" s="17" t="str"/>
    </x:row>
    <x:row r="30" ht="42" customHeight="1">
      <x:c r="A30" s="17" t="n">
        <x:v>29</x:v>
      </x:c>
      <x:c r="B30" s="17" t="n">
        <x:v>31</x:v>
      </x:c>
      <x:c r="C30" s="17" t="str">
        <x:v>主驾</x:v>
      </x:c>
      <x:c r="D30" s="17" t="str">
        <x:v>方向盘冻得握不住，开加热</x:v>
      </x:c>
      <x:c r="E30" s="17" t="str"/>
      <x:c r="F30" s="17" t="str">
        <x:v>ID_000</x:v>
      </x:c>
      <x:c r="G30" s="17" t="str">
        <x:v>ID_000</x:v>
      </x:c>
      <x:c r="H30" s="30" t="str">
        <x:f>IF(F30=G30,"PASS","FAIL")</x:f>
        <x:v>PASS</x:v>
      </x:c>
      <x:c r="I30" s="29" t="n">
        <x:v>0.92</x:v>
      </x:c>
      <x:c r="J30" s="17" t="str"/>
    </x:row>
    <x:row r="31" ht="42" customHeight="1">
      <x:c r="A31" s="17" t="n">
        <x:v>30</x:v>
      </x:c>
      <x:c r="B31" s="17" t="n">
        <x:v>84</x:v>
      </x:c>
      <x:c r="C31" s="17" t="str">
        <x:v>主驾</x:v>
      </x:c>
      <x:c r="D31" s="17" t="str">
        <x:v>怎么下雨了</x:v>
      </x:c>
      <x:c r="E31" s="17" t="str">
        <x:v>ID_010</x:v>
      </x:c>
      <x:c r="F31" s="17" t="str">
        <x:v>ID_006</x:v>
      </x:c>
      <x:c r="G31" s="17" t="str">
        <x:v>ID_000</x:v>
      </x:c>
      <x:c r="H31" s="30" t="str">
        <x:f>IF(F31=G31,"PASS","FAIL")</x:f>
        <x:v>FAIL</x:v>
      </x:c>
      <x:c r="I31" s="29" t="n">
        <x:v>0.68</x:v>
      </x:c>
      <x:c r="J31" s="17" t="str">
        <x:v>漏召回ID_006：下雨陈述/疑问被当作闲聊兜底</x:v>
      </x:c>
    </x:row>
    <x:row r="32" ht="42" customHeight="1">
      <x:c r="A32" s="17" t="n">
        <x:v>31</x:v>
      </x:c>
      <x:c r="B32" s="17" t="n">
        <x:v>76</x:v>
      </x:c>
      <x:c r="C32" s="17" t="str">
        <x:v>主驾</x:v>
      </x:c>
      <x:c r="D32" s="17" t="str">
        <x:v>你刚刚是在车里吃辣条了么，味道好重啊</x:v>
      </x:c>
      <x:c r="E32" s="17" t="str">
        <x:v>ID_012</x:v>
      </x:c>
      <x:c r="F32" s="17" t="str">
        <x:v>ID_007</x:v>
      </x:c>
      <x:c r="G32" s="17" t="str">
        <x:v>ID_007</x:v>
      </x:c>
      <x:c r="H32" s="30" t="str">
        <x:f>IF(F32=G32,"PASS","FAIL")</x:f>
        <x:v>PASS</x:v>
      </x:c>
      <x:c r="I32" s="29" t="n">
        <x:v>1.78</x:v>
      </x:c>
      <x:c r="J32" s="17" t="str"/>
    </x:row>
  </x:sheetData>
  <x:mergeCells>
    <x:mergeCell ref="A1:J1"/>
  </x:mergeCells>
  <x:conditionalFormatting sqref="H3:H3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12" hidden="0" customWidth="1"/>
    <x:col min="4" max="4" width="46" hidden="0" customWidth="1"/>
    <x:col min="5" max="5" width="20" hidden="0" customWidth="1"/>
    <x:col min="6" max="6" width="20" hidden="0" customWidth="1"/>
    <x:col min="7" max="7" width="12" hidden="0" customWidth="1"/>
    <x:col min="8" max="8" width="11" hidden="0" customWidth="1"/>
    <x:col min="9" max="9" width="46" hidden="0" customWidth="1"/>
  </x:cols>
  <x:sheetData>
    <x:row r="1" ht="34" customHeight="1">
      <x:c r="A1" s="4" t="str">
        <x:v>补充30条 Query：覆盖缺口与边界回归</x:v>
      </x:c>
      <x:c r="B1" s="4" t="str">
        <x:v>补充30条 Query：覆盖缺口与边界回归</x:v>
      </x:c>
      <x:c r="C1" s="4" t="str">
        <x:v>补充30条 Query：覆盖缺口与边界回归</x:v>
      </x:c>
      <x:c r="D1" s="4" t="str">
        <x:v>补充30条 Query：覆盖缺口与边界回归</x:v>
      </x:c>
      <x:c r="E1" s="4" t="str">
        <x:v>补充30条 Query：覆盖缺口与边界回归</x:v>
      </x:c>
      <x:c r="F1" s="4" t="str">
        <x:v>补充30条 Query：覆盖缺口与边界回归</x:v>
      </x:c>
      <x:c r="G1" s="4" t="str">
        <x:v>补充30条 Query：覆盖缺口与边界回归</x:v>
      </x:c>
      <x:c r="H1" s="4" t="str">
        <x:v>补充30条 Query：覆盖缺口与边界回归</x:v>
      </x:c>
      <x:c r="I1" s="4" t="str">
        <x:v>补充30条 Query：覆盖缺口与边界回归</x:v>
      </x:c>
    </x:row>
    <x:row r="2" ht="28" customHeight="1">
      <x:c r="A2" s="14" t="str">
        <x:v>编号</x:v>
      </x:c>
      <x:c r="B2" s="14" t="str">
        <x:v>类型</x:v>
      </x:c>
      <x:c r="C2" s="14" t="str">
        <x:v>sound_area</x:v>
      </x:c>
      <x:c r="D2" s="14" t="str">
        <x:v>query</x:v>
      </x:c>
      <x:c r="E2" s="14" t="str">
        <x:v>expected</x:v>
      </x:c>
      <x:c r="F2" s="14" t="str">
        <x:v>2.0-mini实际召回</x:v>
      </x:c>
      <x:c r="G2" s="14" t="str">
        <x:v>精确匹配</x:v>
      </x:c>
      <x:c r="H2" s="14" t="str">
        <x:v>耗时(s)</x:v>
      </x:c>
      <x:c r="I2" s="14" t="str">
        <x:v>说明</x:v>
      </x:c>
    </x:row>
    <x:row r="3" ht="42" customHeight="1">
      <x:c r="A3" s="17" t="n">
        <x:v>1</x:v>
      </x:c>
      <x:c r="B3" s="17" t="str">
        <x:v>儿童安抚</x:v>
      </x:c>
      <x:c r="C3" s="17" t="str">
        <x:v>主驾</x:v>
      </x:c>
      <x:c r="D3" s="17" t="str">
        <x:v>宝宝哭了，放首儿歌哄哄他</x:v>
      </x:c>
      <x:c r="E3" s="17" t="str">
        <x:v>ID_001</x:v>
      </x:c>
      <x:c r="F3" s="17" t="str">
        <x:v>ID_001</x:v>
      </x:c>
      <x:c r="G3" s="30" t="str">
        <x:f>IF(E3=F3,"PASS","FAIL")</x:f>
        <x:v>PASS</x:v>
      </x:c>
      <x:c r="H3" s="29" t="n">
        <x:v>1.25</x:v>
      </x:c>
      <x:c r="I3" s="17" t="str"/>
    </x:row>
    <x:row r="4" ht="42" customHeight="1">
      <x:c r="A4" s="17" t="n">
        <x:v>2</x:v>
      </x:c>
      <x:c r="B4" s="17" t="str">
        <x:v>儿童陪玩</x:v>
      </x:c>
      <x:c r="C4" s="17" t="str">
        <x:v>主驾</x:v>
      </x:c>
      <x:c r="D4" s="17" t="str">
        <x:v>给后排孩子出几道恐龙谜语，陪他玩一会儿</x:v>
      </x:c>
      <x:c r="E4" s="17" t="str">
        <x:v>ID_001</x:v>
      </x:c>
      <x:c r="F4" s="17" t="str">
        <x:v>ID_001</x:v>
      </x:c>
      <x:c r="G4" s="30" t="str">
        <x:f>IF(E4=F4,"PASS","FAIL")</x:f>
        <x:v>PASS</x:v>
      </x:c>
      <x:c r="H4" s="29" t="n">
        <x:v>0.71</x:v>
      </x:c>
      <x:c r="I4" s="17" t="str"/>
    </x:row>
    <x:row r="5" ht="42" customHeight="1">
      <x:c r="A5" s="17" t="n">
        <x:v>3</x:v>
      </x:c>
      <x:c r="B5" s="17" t="str">
        <x:v>驻车观影</x:v>
      </x:c>
      <x:c r="C5" s="17" t="str">
        <x:v>主驾</x:v>
      </x:c>
      <x:c r="D5" s="17" t="str">
        <x:v>车已经停稳了，播放最近热门的电视剧</x:v>
      </x:c>
      <x:c r="E5" s="17" t="str">
        <x:v>ID_002</x:v>
      </x:c>
      <x:c r="F5" s="17" t="str">
        <x:v>ID_002</x:v>
      </x:c>
      <x:c r="G5" s="30" t="str">
        <x:f>IF(E5=F5,"PASS","FAIL")</x:f>
        <x:v>PASS</x:v>
      </x:c>
      <x:c r="H5" s="29" t="n">
        <x:v>0.99</x:v>
      </x:c>
      <x:c r="I5" s="17" t="str"/>
    </x:row>
    <x:row r="6" ht="42" customHeight="1">
      <x:c r="A6" s="17" t="n">
        <x:v>4</x:v>
      </x:c>
      <x:c r="B6" s="17" t="str">
        <x:v>后排观影</x:v>
      </x:c>
      <x:c r="C6" s="17" t="str">
        <x:v>主驾</x:v>
      </x:c>
      <x:c r="D6" s="17" t="str">
        <x:v>给右后排放《你好星期六》最新一期</x:v>
      </x:c>
      <x:c r="E6" s="17" t="str">
        <x:v>ID_002</x:v>
      </x:c>
      <x:c r="F6" s="17" t="str">
        <x:v>ID_002</x:v>
      </x:c>
      <x:c r="G6" s="30" t="str">
        <x:f>IF(E6=F6,"PASS","FAIL")</x:f>
        <x:v>PASS</x:v>
      </x:c>
      <x:c r="H6" s="29" t="n">
        <x:v>1.9</x:v>
      </x:c>
      <x:c r="I6" s="17" t="str"/>
    </x:row>
    <x:row r="7" ht="42" customHeight="1">
      <x:c r="A7" s="17" t="n">
        <x:v>5</x:v>
      </x:c>
      <x:c r="B7" s="17" t="str">
        <x:v>5D观影</x:v>
      </x:c>
      <x:c r="C7" s="17" t="str">
        <x:v>主驾</x:v>
      </x:c>
      <x:c r="D7" s="17" t="str">
        <x:v>开启5D影院模式，我想看一部科幻片</x:v>
      </x:c>
      <x:c r="E7" s="17" t="str">
        <x:v>ID_002</x:v>
      </x:c>
      <x:c r="F7" s="17" t="str">
        <x:v>ID_002</x:v>
      </x:c>
      <x:c r="G7" s="30" t="str">
        <x:f>IF(E7=F7,"PASS","FAIL")</x:f>
        <x:v>PASS</x:v>
      </x:c>
      <x:c r="H7" s="29" t="n">
        <x:v>0.85</x:v>
      </x:c>
      <x:c r="I7" s="17" t="str"/>
    </x:row>
    <x:row r="8" ht="42" customHeight="1">
      <x:c r="A8" s="17" t="n">
        <x:v>6</x:v>
      </x:c>
      <x:c r="B8" s="17" t="str">
        <x:v>急速降温</x:v>
      </x:c>
      <x:c r="C8" s="17" t="str">
        <x:v>主驾</x:v>
      </x:c>
      <x:c r="D8" s="17" t="str">
        <x:v>车里热死了，赶紧全车快速降温</x:v>
      </x:c>
      <x:c r="E8" s="17" t="str">
        <x:v>ID_003</x:v>
      </x:c>
      <x:c r="F8" s="17" t="str">
        <x:v>ID_003</x:v>
      </x:c>
      <x:c r="G8" s="30" t="str">
        <x:f>IF(E8=F8,"PASS","FAIL")</x:f>
        <x:v>PASS</x:v>
      </x:c>
      <x:c r="H8" s="29" t="n">
        <x:v>1.31</x:v>
      </x:c>
      <x:c r="I8" s="17" t="str"/>
    </x:row>
    <x:row r="9" ht="42" customHeight="1">
      <x:c r="A9" s="17" t="n">
        <x:v>7</x:v>
      </x:c>
      <x:c r="B9" s="17" t="str">
        <x:v>急速升温</x:v>
      </x:c>
      <x:c r="C9" s="17" t="str">
        <x:v>主驾</x:v>
      </x:c>
      <x:c r="D9" s="17" t="str">
        <x:v>冻得手都僵了，赶紧让车里暖起来</x:v>
      </x:c>
      <x:c r="E9" s="17" t="str">
        <x:v>ID_003</x:v>
      </x:c>
      <x:c r="F9" s="17" t="str">
        <x:v>ID_003</x:v>
      </x:c>
      <x:c r="G9" s="30" t="str">
        <x:f>IF(E9=F9,"PASS","FAIL")</x:f>
        <x:v>PASS</x:v>
      </x:c>
      <x:c r="H9" s="29" t="n">
        <x:v>1.1</x:v>
      </x:c>
      <x:c r="I9" s="17" t="str"/>
    </x:row>
    <x:row r="10" ht="42" customHeight="1">
      <x:c r="A10" s="17" t="n">
        <x:v>8</x:v>
      </x:c>
      <x:c r="B10" s="17" t="str">
        <x:v>副驾座椅</x:v>
      </x:c>
      <x:c r="C10" s="17" t="str">
        <x:v>副驾</x:v>
      </x:c>
      <x:c r="D10" s="17" t="str">
        <x:v>这座椅顶得脖子不舒服，帮我调一下</x:v>
      </x:c>
      <x:c r="E10" s="17" t="str">
        <x:v>ID_004</x:v>
      </x:c>
      <x:c r="F10" s="17" t="str">
        <x:v>ID_004</x:v>
      </x:c>
      <x:c r="G10" s="30" t="str">
        <x:f>IF(E10=F10,"PASS","FAIL")</x:f>
        <x:v>PASS</x:v>
      </x:c>
      <x:c r="H10" s="29" t="n">
        <x:v>1.49</x:v>
      </x:c>
      <x:c r="I10" s="17" t="str"/>
    </x:row>
    <x:row r="11" ht="42" customHeight="1">
      <x:c r="A11" s="17" t="n">
        <x:v>9</x:v>
      </x:c>
      <x:c r="B11" s="17" t="str">
        <x:v>明确副驾座椅</x:v>
      </x:c>
      <x:c r="C11" s="17" t="str">
        <x:v>主驾</x:v>
      </x:c>
      <x:c r="D11" s="17" t="str">
        <x:v>把副驾座椅往后移一点，腿伸不开</x:v>
      </x:c>
      <x:c r="E11" s="17" t="str">
        <x:v>ID_004</x:v>
      </x:c>
      <x:c r="F11" s="17" t="str">
        <x:v>ID_004</x:v>
      </x:c>
      <x:c r="G11" s="30" t="str">
        <x:f>IF(E11=F11,"PASS","FAIL")</x:f>
        <x:v>PASS</x:v>
      </x:c>
      <x:c r="H11" s="29" t="n">
        <x:v>1.56</x:v>
      </x:c>
      <x:c r="I11" s="17" t="str"/>
    </x:row>
    <x:row r="12" ht="42" customHeight="1">
      <x:c r="A12" s="17" t="n">
        <x:v>10</x:v>
      </x:c>
      <x:c r="B12" s="17" t="str">
        <x:v>减压放松</x:v>
      </x:c>
      <x:c r="C12" s="17" t="str">
        <x:v>主驾</x:v>
      </x:c>
      <x:c r="D12" s="17" t="str">
        <x:v>打开减压放松模式，我想安静一会儿</x:v>
      </x:c>
      <x:c r="E12" s="17" t="str">
        <x:v>ID_005</x:v>
      </x:c>
      <x:c r="F12" s="17" t="str">
        <x:v>ID_005</x:v>
      </x:c>
      <x:c r="G12" s="30" t="str">
        <x:f>IF(E12=F12,"PASS","FAIL")</x:f>
        <x:v>PASS</x:v>
      </x:c>
      <x:c r="H12" s="29" t="n">
        <x:v>0.88</x:v>
      </x:c>
      <x:c r="I12" s="17" t="str"/>
    </x:row>
    <x:row r="13" ht="42" customHeight="1">
      <x:c r="A13" s="17" t="n">
        <x:v>11</x:v>
      </x:c>
      <x:c r="B13" s="17" t="str">
        <x:v>冥想</x:v>
      </x:c>
      <x:c r="C13" s="17" t="str">
        <x:v>主驾</x:v>
      </x:c>
      <x:c r="D13" s="17" t="str">
        <x:v>开启冥想空间，带我做五分钟呼吸练习</x:v>
      </x:c>
      <x:c r="E13" s="17" t="str">
        <x:v>ID_005</x:v>
      </x:c>
      <x:c r="F13" s="17" t="str">
        <x:v>ID_005</x:v>
      </x:c>
      <x:c r="G13" s="30" t="str">
        <x:f>IF(E13=F13,"PASS","FAIL")</x:f>
        <x:v>PASS</x:v>
      </x:c>
      <x:c r="H13" s="29" t="n">
        <x:v>1.71</x:v>
      </x:c>
      <x:c r="I13" s="17" t="str"/>
    </x:row>
    <x:row r="14" ht="42" customHeight="1">
      <x:c r="A14" s="17" t="n">
        <x:v>12</x:v>
      </x:c>
      <x:c r="B14" s="17" t="str">
        <x:v>雨天能见度</x:v>
      </x:c>
      <x:c r="C14" s="17" t="str">
        <x:v>主驾</x:v>
      </x:c>
      <x:c r="D14" s="17" t="str">
        <x:v>下雨了，前挡看不清，打开雨刮和除雾</x:v>
      </x:c>
      <x:c r="E14" s="17" t="str">
        <x:v>ID_006</x:v>
      </x:c>
      <x:c r="F14" s="17" t="str">
        <x:v>ID_006</x:v>
      </x:c>
      <x:c r="G14" s="30" t="str">
        <x:f>IF(E14=F14,"PASS","FAIL")</x:f>
        <x:v>PASS</x:v>
      </x:c>
      <x:c r="H14" s="29" t="n">
        <x:v>1.38</x:v>
      </x:c>
      <x:c r="I14" s="17" t="str"/>
    </x:row>
    <x:row r="15" ht="42" customHeight="1">
      <x:c r="A15" s="17" t="n">
        <x:v>13</x:v>
      </x:c>
      <x:c r="B15" s="17" t="str">
        <x:v>后视镜水汽</x:v>
      </x:c>
      <x:c r="C15" s="17" t="str">
        <x:v>主驾</x:v>
      </x:c>
      <x:c r="D15" s="17" t="str">
        <x:v>后视镜全是水汽，看不清后面的车</x:v>
      </x:c>
      <x:c r="E15" s="17" t="str">
        <x:v>ID_006</x:v>
      </x:c>
      <x:c r="F15" s="17" t="str">
        <x:v>ID_006</x:v>
      </x:c>
      <x:c r="G15" s="30" t="str">
        <x:f>IF(E15=F15,"PASS","FAIL")</x:f>
        <x:v>PASS</x:v>
      </x:c>
      <x:c r="H15" s="29" t="n">
        <x:v>1.26</x:v>
      </x:c>
      <x:c r="I15" s="17" t="str"/>
    </x:row>
    <x:row r="16" ht="42" customHeight="1">
      <x:c r="A16" s="17" t="n">
        <x:v>14</x:v>
      </x:c>
      <x:c r="B16" s="17" t="str">
        <x:v>隧道起雾</x:v>
      </x:c>
      <x:c r="C16" s="17" t="str">
        <x:v>主驾</x:v>
      </x:c>
      <x:c r="D16" s="17" t="str">
        <x:v>刚进隧道前挡就起雾了，视线很模糊</x:v>
      </x:c>
      <x:c r="E16" s="17" t="str">
        <x:v>ID_006</x:v>
      </x:c>
      <x:c r="F16" s="17" t="str">
        <x:v>ID_006</x:v>
      </x:c>
      <x:c r="G16" s="30" t="str">
        <x:f>IF(E16=F16,"PASS","FAIL")</x:f>
        <x:v>PASS</x:v>
      </x:c>
      <x:c r="H16" s="29" t="n">
        <x:v>1.22</x:v>
      </x:c>
      <x:c r="I16" s="17" t="str"/>
    </x:row>
    <x:row r="17" ht="42" customHeight="1">
      <x:c r="A17" s="17" t="n">
        <x:v>15</x:v>
      </x:c>
      <x:c r="B17" s="17" t="str">
        <x:v>异味通风</x:v>
      </x:c>
      <x:c r="C17" s="17" t="str">
        <x:v>主驾</x:v>
      </x:c>
      <x:c r="D17" s="17" t="str">
        <x:v>车里辣条味太重了，赶紧通通风</x:v>
      </x:c>
      <x:c r="E17" s="17" t="str">
        <x:v>ID_007</x:v>
      </x:c>
      <x:c r="F17" s="17" t="str">
        <x:v>ID_007</x:v>
      </x:c>
      <x:c r="G17" s="30" t="str">
        <x:f>IF(E17=F17,"PASS","FAIL")</x:f>
        <x:v>PASS</x:v>
      </x:c>
      <x:c r="H17" s="29" t="n">
        <x:v>1.17</x:v>
      </x:c>
      <x:c r="I17" s="17" t="str"/>
    </x:row>
    <x:row r="18" ht="42" customHeight="1">
      <x:c r="A18" s="17" t="n">
        <x:v>16</x:v>
      </x:c>
      <x:c r="B18" s="17" t="str">
        <x:v>烟味换气</x:v>
      </x:c>
      <x:c r="C18" s="17" t="str">
        <x:v>主驾</x:v>
      </x:c>
      <x:c r="D18" s="17" t="str">
        <x:v>刚在车里抽完烟，开外循环换换气</x:v>
      </x:c>
      <x:c r="E18" s="17" t="str">
        <x:v>ID_007</x:v>
      </x:c>
      <x:c r="F18" s="17" t="str">
        <x:v>ID_007</x:v>
      </x:c>
      <x:c r="G18" s="30" t="str">
        <x:f>IF(E18=F18,"PASS","FAIL")</x:f>
        <x:v>PASS</x:v>
      </x:c>
      <x:c r="H18" s="29" t="n">
        <x:v>1.24</x:v>
      </x:c>
      <x:c r="I18" s="17" t="str"/>
    </x:row>
    <x:row r="19" ht="42" customHeight="1">
      <x:c r="A19" s="17" t="n">
        <x:v>17</x:v>
      </x:c>
      <x:c r="B19" s="17" t="str">
        <x:v>儿童晕车边界</x:v>
      </x:c>
      <x:c r="C19" s="17" t="str">
        <x:v>右后</x:v>
      </x:c>
      <x:c r="D19" s="17" t="str">
        <x:v>后排孩子晕车了，一直说想吐</x:v>
      </x:c>
      <x:c r="E19" s="17" t="str">
        <x:v>ID_008</x:v>
      </x:c>
      <x:c r="F19" s="17" t="str">
        <x:v>ID_008</x:v>
      </x:c>
      <x:c r="G19" s="30" t="str">
        <x:f>IF(E19=F19,"PASS","FAIL")</x:f>
        <x:v>PASS</x:v>
      </x:c>
      <x:c r="H19" s="29" t="n">
        <x:v>1.32</x:v>
      </x:c>
      <x:c r="I19" s="17" t="str"/>
    </x:row>
    <x:row r="20" ht="42" customHeight="1">
      <x:c r="A20" s="17" t="n">
        <x:v>18</x:v>
      </x:c>
      <x:c r="B20" s="17" t="str">
        <x:v>颠簸晕车</x:v>
      </x:c>
      <x:c r="C20" s="17" t="str">
        <x:v>副驾</x:v>
      </x:c>
      <x:c r="D20" s="17" t="str">
        <x:v>这段路太颠了，我头晕恶心，开晕车关怀</x:v>
      </x:c>
      <x:c r="E20" s="17" t="str">
        <x:v>ID_008</x:v>
      </x:c>
      <x:c r="F20" s="17" t="str">
        <x:v>ID_008</x:v>
      </x:c>
      <x:c r="G20" s="30" t="str">
        <x:f>IF(E20=F20,"PASS","FAIL")</x:f>
        <x:v>PASS</x:v>
      </x:c>
      <x:c r="H20" s="29" t="n">
        <x:v>0.89</x:v>
      </x:c>
      <x:c r="I20" s="17" t="str"/>
    </x:row>
    <x:row r="21" ht="42" customHeight="1">
      <x:c r="A21" s="17" t="n">
        <x:v>19</x:v>
      </x:c>
      <x:c r="B21" s="17" t="str">
        <x:v>驾驶模式</x:v>
      </x:c>
      <x:c r="C21" s="17" t="str">
        <x:v>主驾</x:v>
      </x:c>
      <x:c r="D21" s="17" t="str">
        <x:v>切换到无忧远航舒适模式</x:v>
      </x:c>
      <x:c r="E21" s="17" t="str">
        <x:v>ID_009</x:v>
      </x:c>
      <x:c r="F21" s="17" t="str">
        <x:v>ID_009</x:v>
      </x:c>
      <x:c r="G21" s="30" t="str">
        <x:f>IF(E21=F21,"PASS","FAIL")</x:f>
        <x:v>PASS</x:v>
      </x:c>
      <x:c r="H21" s="29" t="n">
        <x:v>0.7</x:v>
      </x:c>
      <x:c r="I21" s="17" t="str"/>
    </x:row>
    <x:row r="22" ht="42" customHeight="1">
      <x:c r="A22" s="17" t="n">
        <x:v>20</x:v>
      </x:c>
      <x:c r="B22" s="17" t="str">
        <x:v>驾控模式</x:v>
      </x:c>
      <x:c r="C22" s="17" t="str">
        <x:v>主驾</x:v>
      </x:c>
      <x:c r="D22" s="17" t="str">
        <x:v>开启X-MODE极致驾控模式</x:v>
      </x:c>
      <x:c r="E22" s="17" t="str">
        <x:v>ID_009</x:v>
      </x:c>
      <x:c r="F22" s="17" t="str">
        <x:v>ID_009</x:v>
      </x:c>
      <x:c r="G22" s="30" t="str">
        <x:f>IF(E22=F22,"PASS","FAIL")</x:f>
        <x:v>PASS</x:v>
      </x:c>
      <x:c r="H22" s="29" t="n">
        <x:v>1.09</x:v>
      </x:c>
      <x:c r="I22" s="17" t="str"/>
    </x:row>
    <x:row r="23" ht="42" customHeight="1">
      <x:c r="A23" s="17" t="n">
        <x:v>21</x:v>
      </x:c>
      <x:c r="B23" s="17" t="str">
        <x:v>历史干扰兜底</x:v>
      </x:c>
      <x:c r="C23" s="17" t="str">
        <x:v>主驾</x:v>
      </x:c>
      <x:c r="D23" s="17" t="str">
        <x:v>dialogue_history=[{role:assistant,content:ID_003}]；当前query=把空调调到25℃</x:v>
      </x:c>
      <x:c r="E23" s="17" t="str">
        <x:v>ID_000</x:v>
      </x:c>
      <x:c r="F23" s="17" t="str">
        <x:v>ID_000</x:v>
      </x:c>
      <x:c r="G23" s="30" t="str">
        <x:f>IF(E23=F23,"PASS","FAIL")</x:f>
        <x:v>PASS</x:v>
      </x:c>
      <x:c r="H23" s="29" t="n">
        <x:v>1</x:v>
      </x:c>
      <x:c r="I23" s="17" t="str">
        <x:v>验证历史assistant输出不应污染当前query</x:v>
      </x:c>
    </x:row>
    <x:row r="24" ht="42" customHeight="1">
      <x:c r="A24" s="17" t="n">
        <x:v>22</x:v>
      </x:c>
      <x:c r="B24" s="17" t="str">
        <x:v>推荐无观看</x:v>
      </x:c>
      <x:c r="C24" s="17" t="str">
        <x:v>主驾</x:v>
      </x:c>
      <x:c r="D24" s="17" t="str">
        <x:v>最近有什么好看的动作片？</x:v>
      </x:c>
      <x:c r="E24" s="17" t="str">
        <x:v>ID_000</x:v>
      </x:c>
      <x:c r="F24" s="17" t="str">
        <x:v>ID_000</x:v>
      </x:c>
      <x:c r="G24" s="30" t="str">
        <x:f>IF(E24=F24,"PASS","FAIL")</x:f>
        <x:v>PASS</x:v>
      </x:c>
      <x:c r="H24" s="29" t="n">
        <x:v>0.91</x:v>
      </x:c>
      <x:c r="I24" s="17" t="str"/>
    </x:row>
    <x:row r="25" ht="42" customHeight="1">
      <x:c r="A25" s="17" t="n">
        <x:v>23</x:v>
      </x:c>
      <x:c r="B25" s="17" t="str">
        <x:v>已删小憩</x:v>
      </x:c>
      <x:c r="C25" s="17" t="str">
        <x:v>主驾</x:v>
      </x:c>
      <x:c r="D25" s="17" t="str">
        <x:v>我想睡20分钟，到点叫我</x:v>
      </x:c>
      <x:c r="E25" s="17" t="str">
        <x:v>ID_000</x:v>
      </x:c>
      <x:c r="F25" s="17" t="str">
        <x:v>ID_005</x:v>
      </x:c>
      <x:c r="G25" s="30" t="str">
        <x:f>IF(E25=F25,"PASS","FAIL")</x:f>
        <x:v>FAIL</x:v>
      </x:c>
      <x:c r="H25" s="29" t="n">
        <x:v>1.31</x:v>
      </x:c>
      <x:c r="I25" s="17" t="str">
        <x:v>已删除的小憩场景被误召回为ID_005冥想空间，属于发布阻断级回归</x:v>
      </x:c>
    </x:row>
    <x:row r="26" ht="42" customHeight="1">
      <x:c r="A26" s="17" t="n">
        <x:v>24</x:v>
      </x:c>
      <x:c r="B26" s="17" t="str">
        <x:v>主驾座椅边界</x:v>
      </x:c>
      <x:c r="C26" s="17" t="str">
        <x:v>主驾</x:v>
      </x:c>
      <x:c r="D26" s="17" t="str">
        <x:v>把我的座椅往后调一点</x:v>
      </x:c>
      <x:c r="E26" s="17" t="str">
        <x:v>ID_000</x:v>
      </x:c>
      <x:c r="F26" s="17" t="str">
        <x:v>ID_000</x:v>
      </x:c>
      <x:c r="G26" s="30" t="str">
        <x:f>IF(E26=F26,"PASS","FAIL")</x:f>
        <x:v>PASS</x:v>
      </x:c>
      <x:c r="H26" s="29" t="n">
        <x:v>0.62</x:v>
      </x:c>
      <x:c r="I26" s="17" t="str"/>
    </x:row>
    <x:row r="27" ht="42" customHeight="1">
      <x:c r="A27" s="17" t="n">
        <x:v>25</x:v>
      </x:c>
      <x:c r="B27" s="17" t="str">
        <x:v>保驾护航别名</x:v>
      </x:c>
      <x:c r="C27" s="17" t="str">
        <x:v>主驾</x:v>
      </x:c>
      <x:c r="D27" s="17" t="str">
        <x:v>雨太大了，打开保驾护航模式</x:v>
      </x:c>
      <x:c r="E27" s="17" t="str">
        <x:v>ID_006</x:v>
      </x:c>
      <x:c r="F27" s="17" t="str">
        <x:v>ID_006</x:v>
      </x:c>
      <x:c r="G27" s="30" t="str">
        <x:f>IF(E27=F27,"PASS","FAIL")</x:f>
        <x:v>PASS</x:v>
      </x:c>
      <x:c r="H27" s="29" t="n">
        <x:v>0.72</x:v>
      </x:c>
      <x:c r="I27" s="17" t="str">
        <x:v>带明确雨天上下文时，“保驾护航”可召回ID_006</x:v>
      </x:c>
    </x:row>
    <x:row r="28" ht="42" customHeight="1">
      <x:c r="A28" s="17" t="n">
        <x:v>26</x:v>
      </x:c>
      <x:c r="B28" s="17" t="str">
        <x:v>儿童观影边界</x:v>
      </x:c>
      <x:c r="C28" s="17" t="str">
        <x:v>主驾</x:v>
      </x:c>
      <x:c r="D28" s="17" t="str">
        <x:v>不用哄，直接在后排屏播放《汪汪队》</x:v>
      </x:c>
      <x:c r="E28" s="17" t="str">
        <x:v>ID_002</x:v>
      </x:c>
      <x:c r="F28" s="17" t="str">
        <x:v>ID_002</x:v>
      </x:c>
      <x:c r="G28" s="30" t="str">
        <x:f>IF(E28=F28,"PASS","FAIL")</x:f>
        <x:v>PASS</x:v>
      </x:c>
      <x:c r="H28" s="29" t="n">
        <x:v>0.89</x:v>
      </x:c>
      <x:c r="I28" s="17" t="str">
        <x:v>明确排除哄孩子，仅保留后排播放意图</x:v>
      </x:c>
    </x:row>
    <x:row r="29" ht="42" customHeight="1">
      <x:c r="A29" s="17" t="n">
        <x:v>27</x:v>
      </x:c>
      <x:c r="B29" s="17" t="str">
        <x:v>雨雾通风多标签</x:v>
      </x:c>
      <x:c r="C29" s="17" t="str">
        <x:v>主驾</x:v>
      </x:c>
      <x:c r="D29" s="17" t="str">
        <x:v>车窗起雾了，换气除雾</x:v>
      </x:c>
      <x:c r="E29" s="17" t="str">
        <x:v>ID_006,ID_007</x:v>
      </x:c>
      <x:c r="F29" s="17" t="str">
        <x:v>ID_006,ID_007</x:v>
      </x:c>
      <x:c r="G29" s="30" t="str">
        <x:f>IF(E29=F29,"PASS","FAIL")</x:f>
        <x:v>PASS</x:v>
      </x:c>
      <x:c r="H29" s="29" t="n">
        <x:v>1.06</x:v>
      </x:c>
      <x:c r="I29" s="17" t="str"/>
    </x:row>
    <x:row r="30" ht="42" customHeight="1">
      <x:c r="A30" s="17" t="n">
        <x:v>28</x:v>
      </x:c>
      <x:c r="B30" s="17" t="str">
        <x:v>调温通风多标签</x:v>
      </x:c>
      <x:c r="C30" s="17" t="str">
        <x:v>主驾</x:v>
      </x:c>
      <x:c r="D30" s="17" t="str">
        <x:v>车里又热又有烟味，赶紧降温通风</x:v>
      </x:c>
      <x:c r="E30" s="17" t="str">
        <x:v>ID_003,ID_007</x:v>
      </x:c>
      <x:c r="F30" s="17" t="str">
        <x:v>ID_003,ID_007</x:v>
      </x:c>
      <x:c r="G30" s="30" t="str">
        <x:f>IF(E30=F30,"PASS","FAIL")</x:f>
        <x:v>PASS</x:v>
      </x:c>
      <x:c r="H30" s="29" t="n">
        <x:v>0.77</x:v>
      </x:c>
      <x:c r="I30" s="17" t="str"/>
    </x:row>
    <x:row r="31" ht="42" customHeight="1">
      <x:c r="A31" s="17" t="n">
        <x:v>29</x:v>
      </x:c>
      <x:c r="B31" s="17" t="str">
        <x:v>通风晕车多标签</x:v>
      </x:c>
      <x:c r="C31" s="17" t="str">
        <x:v>副驾</x:v>
      </x:c>
      <x:c r="D31" s="17" t="str">
        <x:v>副驾晕车想吐，车里烟味也很重，赶紧换气</x:v>
      </x:c>
      <x:c r="E31" s="17" t="str">
        <x:v>ID_007,ID_008</x:v>
      </x:c>
      <x:c r="F31" s="17" t="str">
        <x:v>ID_007,ID_008</x:v>
      </x:c>
      <x:c r="G31" s="30" t="str">
        <x:f>IF(E31=F31,"PASS","FAIL")</x:f>
        <x:v>PASS</x:v>
      </x:c>
      <x:c r="H31" s="29" t="n">
        <x:v>0.86</x:v>
      </x:c>
      <x:c r="I31" s="17" t="str"/>
    </x:row>
    <x:row r="32" ht="42" customHeight="1">
      <x:c r="A32" s="17" t="n">
        <x:v>30</x:v>
      </x:c>
      <x:c r="B32" s="17" t="str">
        <x:v>观影调温多标签</x:v>
      </x:c>
      <x:c r="C32" s="17" t="str">
        <x:v>主驾</x:v>
      </x:c>
      <x:c r="D32" s="17" t="str">
        <x:v>车里太热了，快速降温，再给后排放部电影</x:v>
      </x:c>
      <x:c r="E32" s="17" t="str">
        <x:v>ID_002,ID_003</x:v>
      </x:c>
      <x:c r="F32" s="17" t="str">
        <x:v>ID_002,ID_003</x:v>
      </x:c>
      <x:c r="G32" s="30" t="str">
        <x:f>IF(E32=F32,"PASS","FAIL")</x:f>
        <x:v>PASS</x:v>
      </x:c>
      <x:c r="H32" s="29" t="n">
        <x:v>1.89</x:v>
      </x:c>
      <x:c r="I32" s="17" t="str"/>
    </x:row>
  </x:sheetData>
  <x:mergeCells>
    <x:mergeCell ref="A1:I1"/>
  </x:mergeCells>
  <x:conditionalFormatting sqref="G3:G3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2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</x:cols>
  <x:sheetData>
    <x:row r="1" ht="28" customHeight="1">
      <x:c r="A1" s="4" t="str">
        <x:v>分类级 Precision / Recall / F1（60条，多标签按集合展开）</x:v>
      </x:c>
      <x:c r="B1" s="4" t="str">
        <x:v>分类级 Precision / Recall / F1（60条，多标签按集合展开）</x:v>
      </x:c>
      <x:c r="C1" s="4" t="str">
        <x:v>分类级 Precision / Recall / F1（60条，多标签按集合展开）</x:v>
      </x:c>
      <x:c r="D1" s="4" t="str">
        <x:v>分类级 Precision / Recall / F1（60条，多标签按集合展开）</x:v>
      </x:c>
      <x:c r="E1" s="4" t="str">
        <x:v>分类级 Precision / Recall / F1（60条，多标签按集合展开）</x:v>
      </x:c>
      <x:c r="F1" s="4" t="str">
        <x:v>分类级 Precision / Recall / F1（60条，多标签按集合展开）</x:v>
      </x:c>
      <x:c r="G1" s="4" t="str">
        <x:v>分类级 Precision / Recall / F1（60条，多标签按集合展开）</x:v>
      </x:c>
      <x:c r="J1" s="14" t="str">
        <x:v>来源</x:v>
      </x:c>
      <x:c r="K1" s="14" t="str">
        <x:v>样本</x:v>
      </x:c>
      <x:c r="L1" s="14" t="str">
        <x:v>耗时(s)</x:v>
      </x:c>
      <x:c r="M1" s="14" t="str">
        <x:v>计分expected</x:v>
      </x:c>
      <x:c r="N1" s="14" t="str">
        <x:v>actual</x:v>
      </x:c>
      <x:c r="O1" s="14" t="str">
        <x:v>ID_000_TP</x:v>
      </x:c>
      <x:c r="P1" s="14" t="str">
        <x:v>ID_000_FP</x:v>
      </x:c>
      <x:c r="Q1" s="14" t="str">
        <x:v>ID_000_FN</x:v>
      </x:c>
      <x:c r="R1" s="14" t="str">
        <x:v>ID_001_TP</x:v>
      </x:c>
      <x:c r="S1" s="14" t="str">
        <x:v>ID_001_FP</x:v>
      </x:c>
      <x:c r="T1" s="14" t="str">
        <x:v>ID_001_FN</x:v>
      </x:c>
      <x:c r="U1" s="14" t="str">
        <x:v>ID_002_TP</x:v>
      </x:c>
      <x:c r="V1" s="14" t="str">
        <x:v>ID_002_FP</x:v>
      </x:c>
      <x:c r="W1" s="14" t="str">
        <x:v>ID_002_FN</x:v>
      </x:c>
      <x:c r="X1" s="14" t="str">
        <x:v>ID_003_TP</x:v>
      </x:c>
      <x:c r="Y1" s="14" t="str">
        <x:v>ID_003_FP</x:v>
      </x:c>
      <x:c r="Z1" s="14" t="str">
        <x:v>ID_003_FN</x:v>
      </x:c>
      <x:c r="AA1" s="14" t="str">
        <x:v>ID_004_TP</x:v>
      </x:c>
      <x:c r="AB1" s="14" t="str">
        <x:v>ID_004_FP</x:v>
      </x:c>
      <x:c r="AC1" s="14" t="str">
        <x:v>ID_004_FN</x:v>
      </x:c>
      <x:c r="AD1" s="14" t="str">
        <x:v>ID_005_TP</x:v>
      </x:c>
      <x:c r="AE1" s="14" t="str">
        <x:v>ID_005_FP</x:v>
      </x:c>
      <x:c r="AF1" s="14" t="str">
        <x:v>ID_005_FN</x:v>
      </x:c>
      <x:c r="AG1" s="14" t="str">
        <x:v>ID_006_TP</x:v>
      </x:c>
      <x:c r="AH1" s="14" t="str">
        <x:v>ID_006_FP</x:v>
      </x:c>
      <x:c r="AI1" s="14" t="str">
        <x:v>ID_006_FN</x:v>
      </x:c>
      <x:c r="AJ1" s="14" t="str">
        <x:v>ID_007_TP</x:v>
      </x:c>
      <x:c r="AK1" s="14" t="str">
        <x:v>ID_007_FP</x:v>
      </x:c>
      <x:c r="AL1" s="14" t="str">
        <x:v>ID_007_FN</x:v>
      </x:c>
      <x:c r="AM1" s="14" t="str">
        <x:v>ID_008_TP</x:v>
      </x:c>
      <x:c r="AN1" s="14" t="str">
        <x:v>ID_008_FP</x:v>
      </x:c>
      <x:c r="AO1" s="14" t="str">
        <x:v>ID_008_FN</x:v>
      </x:c>
      <x:c r="AP1" s="14" t="str">
        <x:v>ID_009_TP</x:v>
      </x:c>
      <x:c r="AQ1" s="14" t="str">
        <x:v>ID_009_FP</x:v>
      </x:c>
      <x:c r="AR1" s="14" t="str">
        <x:v>ID_009_FN</x:v>
      </x:c>
    </x:row>
    <x:row r="2" ht="28" customHeight="1">
      <x:c r="A2" s="14" t="str">
        <x:v>场景ID</x:v>
      </x:c>
      <x:c r="B2" s="14" t="str">
        <x:v>TP</x:v>
      </x:c>
      <x:c r="C2" s="14" t="str">
        <x:v>FP</x:v>
      </x:c>
      <x:c r="D2" s="14" t="str">
        <x:v>FN</x:v>
      </x:c>
      <x:c r="E2" s="14" t="str">
        <x:v>Precision</x:v>
      </x:c>
      <x:c r="F2" s="14" t="str">
        <x:v>Recall</x:v>
      </x:c>
      <x:c r="G2" s="14" t="str">
        <x:v>F1</x:v>
      </x:c>
      <x:c r="J2" s="17" t="str">
        <x:v>表格</x:v>
      </x:c>
      <x:c r="K2" s="17" t="str">
        <x:v>row2</x:v>
      </x:c>
      <x:c r="L2" s="29" t="n">
        <x:v>1.03</x:v>
      </x:c>
      <x:c r="M2" s="17" t="str">
        <x:v>ID_001,ID_002</x:v>
      </x:c>
      <x:c r="N2" s="17" t="str">
        <x:v>ID_001,ID_002</x:v>
      </x:c>
      <x:c r="O2" s="17" t="n">
        <x:f>IF(AND(ISNUMBER(SEARCH("ID_000",$M2)),ISNUMBER(SEARCH("ID_000",$N2))),1,0)</x:f>
        <x:v>0</x:v>
      </x:c>
      <x:c r="P2" s="17" t="n">
        <x:f>IF(AND(NOT(ISNUMBER(SEARCH("ID_000",$M2))),ISNUMBER(SEARCH("ID_000",$N2))),1,0)</x:f>
        <x:v>0</x:v>
      </x:c>
      <x:c r="Q2" s="17" t="n">
        <x:f>IF(AND(ISNUMBER(SEARCH("ID_000",$M2)),NOT(ISNUMBER(SEARCH("ID_000",$N2)))),1,0)</x:f>
        <x:v>0</x:v>
      </x:c>
      <x:c r="R2" s="17" t="n">
        <x:f>IF(AND(ISNUMBER(SEARCH("ID_001",$M2)),ISNUMBER(SEARCH("ID_001",$N2))),1,0)</x:f>
        <x:v>1</x:v>
      </x:c>
      <x:c r="S2" s="17" t="n">
        <x:f>IF(AND(NOT(ISNUMBER(SEARCH("ID_001",$M2))),ISNUMBER(SEARCH("ID_001",$N2))),1,0)</x:f>
        <x:v>0</x:v>
      </x:c>
      <x:c r="T2" s="17" t="n">
        <x:f>IF(AND(ISNUMBER(SEARCH("ID_001",$M2)),NOT(ISNUMBER(SEARCH("ID_001",$N2)))),1,0)</x:f>
        <x:v>0</x:v>
      </x:c>
      <x:c r="U2" s="17" t="n">
        <x:f>IF(AND(ISNUMBER(SEARCH("ID_002",$M2)),ISNUMBER(SEARCH("ID_002",$N2))),1,0)</x:f>
        <x:v>1</x:v>
      </x:c>
      <x:c r="V2" s="17" t="n">
        <x:f>IF(AND(NOT(ISNUMBER(SEARCH("ID_002",$M2))),ISNUMBER(SEARCH("ID_002",$N2))),1,0)</x:f>
        <x:v>0</x:v>
      </x:c>
      <x:c r="W2" s="17" t="n">
        <x:f>IF(AND(ISNUMBER(SEARCH("ID_002",$M2)),NOT(ISNUMBER(SEARCH("ID_002",$N2)))),1,0)</x:f>
        <x:v>0</x:v>
      </x:c>
      <x:c r="X2" s="17" t="n">
        <x:f>IF(AND(ISNUMBER(SEARCH("ID_003",$M2)),ISNUMBER(SEARCH("ID_003",$N2))),1,0)</x:f>
        <x:v>0</x:v>
      </x:c>
      <x:c r="Y2" s="17" t="n">
        <x:f>IF(AND(NOT(ISNUMBER(SEARCH("ID_003",$M2))),ISNUMBER(SEARCH("ID_003",$N2))),1,0)</x:f>
        <x:v>0</x:v>
      </x:c>
      <x:c r="Z2" s="17" t="n">
        <x:f>IF(AND(ISNUMBER(SEARCH("ID_003",$M2)),NOT(ISNUMBER(SEARCH("ID_003",$N2)))),1,0)</x:f>
        <x:v>0</x:v>
      </x:c>
      <x:c r="AA2" s="17" t="n">
        <x:f>IF(AND(ISNUMBER(SEARCH("ID_004",$M2)),ISNUMBER(SEARCH("ID_004",$N2))),1,0)</x:f>
        <x:v>0</x:v>
      </x:c>
      <x:c r="AB2" s="17" t="n">
        <x:f>IF(AND(NOT(ISNUMBER(SEARCH("ID_004",$M2))),ISNUMBER(SEARCH("ID_004",$N2))),1,0)</x:f>
        <x:v>0</x:v>
      </x:c>
      <x:c r="AC2" s="17" t="n">
        <x:f>IF(AND(ISNUMBER(SEARCH("ID_004",$M2)),NOT(ISNUMBER(SEARCH("ID_004",$N2)))),1,0)</x:f>
        <x:v>0</x:v>
      </x:c>
      <x:c r="AD2" s="17" t="n">
        <x:f>IF(AND(ISNUMBER(SEARCH("ID_005",$M2)),ISNUMBER(SEARCH("ID_005",$N2))),1,0)</x:f>
        <x:v>0</x:v>
      </x:c>
      <x:c r="AE2" s="17" t="n">
        <x:f>IF(AND(NOT(ISNUMBER(SEARCH("ID_005",$M2))),ISNUMBER(SEARCH("ID_005",$N2))),1,0)</x:f>
        <x:v>0</x:v>
      </x:c>
      <x:c r="AF2" s="17" t="n">
        <x:f>IF(AND(ISNUMBER(SEARCH("ID_005",$M2)),NOT(ISNUMBER(SEARCH("ID_005",$N2)))),1,0)</x:f>
        <x:v>0</x:v>
      </x:c>
      <x:c r="AG2" s="17" t="n">
        <x:f>IF(AND(ISNUMBER(SEARCH("ID_006",$M2)),ISNUMBER(SEARCH("ID_006",$N2))),1,0)</x:f>
        <x:v>0</x:v>
      </x:c>
      <x:c r="AH2" s="17" t="n">
        <x:f>IF(AND(NOT(ISNUMBER(SEARCH("ID_006",$M2))),ISNUMBER(SEARCH("ID_006",$N2))),1,0)</x:f>
        <x:v>0</x:v>
      </x:c>
      <x:c r="AI2" s="17" t="n">
        <x:f>IF(AND(ISNUMBER(SEARCH("ID_006",$M2)),NOT(ISNUMBER(SEARCH("ID_006",$N2)))),1,0)</x:f>
        <x:v>0</x:v>
      </x:c>
      <x:c r="AJ2" s="17" t="n">
        <x:f>IF(AND(ISNUMBER(SEARCH("ID_007",$M2)),ISNUMBER(SEARCH("ID_007",$N2))),1,0)</x:f>
        <x:v>0</x:v>
      </x:c>
      <x:c r="AK2" s="17" t="n">
        <x:f>IF(AND(NOT(ISNUMBER(SEARCH("ID_007",$M2))),ISNUMBER(SEARCH("ID_007",$N2))),1,0)</x:f>
        <x:v>0</x:v>
      </x:c>
      <x:c r="AL2" s="17" t="n">
        <x:f>IF(AND(ISNUMBER(SEARCH("ID_007",$M2)),NOT(ISNUMBER(SEARCH("ID_007",$N2)))),1,0)</x:f>
        <x:v>0</x:v>
      </x:c>
      <x:c r="AM2" s="17" t="n">
        <x:f>IF(AND(ISNUMBER(SEARCH("ID_008",$M2)),ISNUMBER(SEARCH("ID_008",$N2))),1,0)</x:f>
        <x:v>0</x:v>
      </x:c>
      <x:c r="AN2" s="17" t="n">
        <x:f>IF(AND(NOT(ISNUMBER(SEARCH("ID_008",$M2))),ISNUMBER(SEARCH("ID_008",$N2))),1,0)</x:f>
        <x:v>0</x:v>
      </x:c>
      <x:c r="AO2" s="17" t="n">
        <x:f>IF(AND(ISNUMBER(SEARCH("ID_008",$M2)),NOT(ISNUMBER(SEARCH("ID_008",$N2)))),1,0)</x:f>
        <x:v>0</x:v>
      </x:c>
      <x:c r="AP2" s="17" t="n">
        <x:f>IF(AND(ISNUMBER(SEARCH("ID_009",$M2)),ISNUMBER(SEARCH("ID_009",$N2))),1,0)</x:f>
        <x:v>0</x:v>
      </x:c>
      <x:c r="AQ2" s="17" t="n">
        <x:f>IF(AND(NOT(ISNUMBER(SEARCH("ID_009",$M2))),ISNUMBER(SEARCH("ID_009",$N2))),1,0)</x:f>
        <x:v>0</x:v>
      </x:c>
      <x:c r="AR2" s="17" t="n">
        <x:f>IF(AND(ISNUMBER(SEARCH("ID_009",$M2)),NOT(ISNUMBER(SEARCH("ID_009",$N2)))),1,0)</x:f>
        <x:v>0</x:v>
      </x:c>
    </x:row>
    <x:row r="3">
      <x:c r="A3" s="17" t="str">
        <x:v>ID_000</x:v>
      </x:c>
      <x:c r="B3" s="17" t="n">
        <x:f>SUM(O2:O61)</x:f>
        <x:v>7</x:v>
      </x:c>
      <x:c r="C3" s="17" t="n">
        <x:f>SUM(P2:P61)</x:f>
        <x:v>2</x:v>
      </x:c>
      <x:c r="D3" s="17" t="n">
        <x:f>SUM(Q2:Q61)</x:f>
        <x:v>3</x:v>
      </x:c>
      <x:c r="E3" s="18" t="n">
        <x:f>IFERROR(B3/(B3+C3),0)</x:f>
        <x:v>0.7777777777777778</x:v>
      </x:c>
      <x:c r="F3" s="18" t="n">
        <x:f>IFERROR(B3/(B3+D3),0)</x:f>
        <x:v>0.7</x:v>
      </x:c>
      <x:c r="G3" s="18" t="n">
        <x:f>IFERROR(2*E3*F3/(E3+F3),0)</x:f>
        <x:v>0.7368421052631577</x:v>
      </x:c>
      <x:c r="J3" s="17" t="str">
        <x:v>表格</x:v>
      </x:c>
      <x:c r="K3" s="17" t="str">
        <x:v>row3</x:v>
      </x:c>
      <x:c r="L3" s="29" t="n">
        <x:v>0.92</x:v>
      </x:c>
      <x:c r="M3" s="17" t="str">
        <x:v>ID_005</x:v>
      </x:c>
      <x:c r="N3" s="17" t="str">
        <x:v>ID_005</x:v>
      </x:c>
      <x:c r="O3" s="17" t="n">
        <x:f>IF(AND(ISNUMBER(SEARCH("ID_000",$M3)),ISNUMBER(SEARCH("ID_000",$N3))),1,0)</x:f>
        <x:v>0</x:v>
      </x:c>
      <x:c r="P3" s="17" t="n">
        <x:f>IF(AND(NOT(ISNUMBER(SEARCH("ID_000",$M3))),ISNUMBER(SEARCH("ID_000",$N3))),1,0)</x:f>
        <x:v>0</x:v>
      </x:c>
      <x:c r="Q3" s="17" t="n">
        <x:f>IF(AND(ISNUMBER(SEARCH("ID_000",$M3)),NOT(ISNUMBER(SEARCH("ID_000",$N3)))),1,0)</x:f>
        <x:v>0</x:v>
      </x:c>
      <x:c r="R3" s="17" t="n">
        <x:f>IF(AND(ISNUMBER(SEARCH("ID_001",$M3)),ISNUMBER(SEARCH("ID_001",$N3))),1,0)</x:f>
        <x:v>0</x:v>
      </x:c>
      <x:c r="S3" s="17" t="n">
        <x:f>IF(AND(NOT(ISNUMBER(SEARCH("ID_001",$M3))),ISNUMBER(SEARCH("ID_001",$N3))),1,0)</x:f>
        <x:v>0</x:v>
      </x:c>
      <x:c r="T3" s="17" t="n">
        <x:f>IF(AND(ISNUMBER(SEARCH("ID_001",$M3)),NOT(ISNUMBER(SEARCH("ID_001",$N3)))),1,0)</x:f>
        <x:v>0</x:v>
      </x:c>
      <x:c r="U3" s="17" t="n">
        <x:f>IF(AND(ISNUMBER(SEARCH("ID_002",$M3)),ISNUMBER(SEARCH("ID_002",$N3))),1,0)</x:f>
        <x:v>0</x:v>
      </x:c>
      <x:c r="V3" s="17" t="n">
        <x:f>IF(AND(NOT(ISNUMBER(SEARCH("ID_002",$M3))),ISNUMBER(SEARCH("ID_002",$N3))),1,0)</x:f>
        <x:v>0</x:v>
      </x:c>
      <x:c r="W3" s="17" t="n">
        <x:f>IF(AND(ISNUMBER(SEARCH("ID_002",$M3)),NOT(ISNUMBER(SEARCH("ID_002",$N3)))),1,0)</x:f>
        <x:v>0</x:v>
      </x:c>
      <x:c r="X3" s="17" t="n">
        <x:f>IF(AND(ISNUMBER(SEARCH("ID_003",$M3)),ISNUMBER(SEARCH("ID_003",$N3))),1,0)</x:f>
        <x:v>0</x:v>
      </x:c>
      <x:c r="Y3" s="17" t="n">
        <x:f>IF(AND(NOT(ISNUMBER(SEARCH("ID_003",$M3))),ISNUMBER(SEARCH("ID_003",$N3))),1,0)</x:f>
        <x:v>0</x:v>
      </x:c>
      <x:c r="Z3" s="17" t="n">
        <x:f>IF(AND(ISNUMBER(SEARCH("ID_003",$M3)),NOT(ISNUMBER(SEARCH("ID_003",$N3)))),1,0)</x:f>
        <x:v>0</x:v>
      </x:c>
      <x:c r="AA3" s="17" t="n">
        <x:f>IF(AND(ISNUMBER(SEARCH("ID_004",$M3)),ISNUMBER(SEARCH("ID_004",$N3))),1,0)</x:f>
        <x:v>0</x:v>
      </x:c>
      <x:c r="AB3" s="17" t="n">
        <x:f>IF(AND(NOT(ISNUMBER(SEARCH("ID_004",$M3))),ISNUMBER(SEARCH("ID_004",$N3))),1,0)</x:f>
        <x:v>0</x:v>
      </x:c>
      <x:c r="AC3" s="17" t="n">
        <x:f>IF(AND(ISNUMBER(SEARCH("ID_004",$M3)),NOT(ISNUMBER(SEARCH("ID_004",$N3)))),1,0)</x:f>
        <x:v>0</x:v>
      </x:c>
      <x:c r="AD3" s="17" t="n">
        <x:f>IF(AND(ISNUMBER(SEARCH("ID_005",$M3)),ISNUMBER(SEARCH("ID_005",$N3))),1,0)</x:f>
        <x:v>1</x:v>
      </x:c>
      <x:c r="AE3" s="17" t="n">
        <x:f>IF(AND(NOT(ISNUMBER(SEARCH("ID_005",$M3))),ISNUMBER(SEARCH("ID_005",$N3))),1,0)</x:f>
        <x:v>0</x:v>
      </x:c>
      <x:c r="AF3" s="17" t="n">
        <x:f>IF(AND(ISNUMBER(SEARCH("ID_005",$M3)),NOT(ISNUMBER(SEARCH("ID_005",$N3)))),1,0)</x:f>
        <x:v>0</x:v>
      </x:c>
      <x:c r="AG3" s="17" t="n">
        <x:f>IF(AND(ISNUMBER(SEARCH("ID_006",$M3)),ISNUMBER(SEARCH("ID_006",$N3))),1,0)</x:f>
        <x:v>0</x:v>
      </x:c>
      <x:c r="AH3" s="17" t="n">
        <x:f>IF(AND(NOT(ISNUMBER(SEARCH("ID_006",$M3))),ISNUMBER(SEARCH("ID_006",$N3))),1,0)</x:f>
        <x:v>0</x:v>
      </x:c>
      <x:c r="AI3" s="17" t="n">
        <x:f>IF(AND(ISNUMBER(SEARCH("ID_006",$M3)),NOT(ISNUMBER(SEARCH("ID_006",$N3)))),1,0)</x:f>
        <x:v>0</x:v>
      </x:c>
      <x:c r="AJ3" s="17" t="n">
        <x:f>IF(AND(ISNUMBER(SEARCH("ID_007",$M3)),ISNUMBER(SEARCH("ID_007",$N3))),1,0)</x:f>
        <x:v>0</x:v>
      </x:c>
      <x:c r="AK3" s="17" t="n">
        <x:f>IF(AND(NOT(ISNUMBER(SEARCH("ID_007",$M3))),ISNUMBER(SEARCH("ID_007",$N3))),1,0)</x:f>
        <x:v>0</x:v>
      </x:c>
      <x:c r="AL3" s="17" t="n">
        <x:f>IF(AND(ISNUMBER(SEARCH("ID_007",$M3)),NOT(ISNUMBER(SEARCH("ID_007",$N3)))),1,0)</x:f>
        <x:v>0</x:v>
      </x:c>
      <x:c r="AM3" s="17" t="n">
        <x:f>IF(AND(ISNUMBER(SEARCH("ID_008",$M3)),ISNUMBER(SEARCH("ID_008",$N3))),1,0)</x:f>
        <x:v>0</x:v>
      </x:c>
      <x:c r="AN3" s="17" t="n">
        <x:f>IF(AND(NOT(ISNUMBER(SEARCH("ID_008",$M3))),ISNUMBER(SEARCH("ID_008",$N3))),1,0)</x:f>
        <x:v>0</x:v>
      </x:c>
      <x:c r="AO3" s="17" t="n">
        <x:f>IF(AND(ISNUMBER(SEARCH("ID_008",$M3)),NOT(ISNUMBER(SEARCH("ID_008",$N3)))),1,0)</x:f>
        <x:v>0</x:v>
      </x:c>
      <x:c r="AP3" s="17" t="n">
        <x:f>IF(AND(ISNUMBER(SEARCH("ID_009",$M3)),ISNUMBER(SEARCH("ID_009",$N3))),1,0)</x:f>
        <x:v>0</x:v>
      </x:c>
      <x:c r="AQ3" s="17" t="n">
        <x:f>IF(AND(NOT(ISNUMBER(SEARCH("ID_009",$M3))),ISNUMBER(SEARCH("ID_009",$N3))),1,0)</x:f>
        <x:v>0</x:v>
      </x:c>
      <x:c r="AR3" s="17" t="n">
        <x:f>IF(AND(ISNUMBER(SEARCH("ID_009",$M3)),NOT(ISNUMBER(SEARCH("ID_009",$N3)))),1,0)</x:f>
        <x:v>0</x:v>
      </x:c>
    </x:row>
    <x:row r="4">
      <x:c r="A4" s="17" t="str">
        <x:v>ID_001</x:v>
      </x:c>
      <x:c r="B4" s="17" t="n">
        <x:f>SUM(R2:R61)</x:f>
        <x:v>4</x:v>
      </x:c>
      <x:c r="C4" s="17" t="n">
        <x:f>SUM(S2:S61)</x:f>
        <x:v>2</x:v>
      </x:c>
      <x:c r="D4" s="17" t="n">
        <x:f>SUM(T2:T61)</x:f>
        <x:v>0</x:v>
      </x:c>
      <x:c r="E4" s="18" t="n">
        <x:f>IFERROR(B4/(B4+C4),0)</x:f>
        <x:v>0.6666666666666666</x:v>
      </x:c>
      <x:c r="F4" s="18" t="n">
        <x:f>IFERROR(B4/(B4+D4),0)</x:f>
        <x:v>1</x:v>
      </x:c>
      <x:c r="G4" s="18" t="n">
        <x:f>IFERROR(2*E4*F4/(E4+F4),0)</x:f>
        <x:v>0.8</x:v>
      </x:c>
      <x:c r="J4" s="17" t="str">
        <x:v>表格</x:v>
      </x:c>
      <x:c r="K4" s="17" t="str">
        <x:v>row4</x:v>
      </x:c>
      <x:c r="L4" s="29" t="n">
        <x:v>1.11</x:v>
      </x:c>
      <x:c r="M4" s="17" t="str">
        <x:v>ID_002</x:v>
      </x:c>
      <x:c r="N4" s="17" t="str">
        <x:v>ID_002</x:v>
      </x:c>
      <x:c r="O4" s="17" t="n">
        <x:f>IF(AND(ISNUMBER(SEARCH("ID_000",$M4)),ISNUMBER(SEARCH("ID_000",$N4))),1,0)</x:f>
        <x:v>0</x:v>
      </x:c>
      <x:c r="P4" s="17" t="n">
        <x:f>IF(AND(NOT(ISNUMBER(SEARCH("ID_000",$M4))),ISNUMBER(SEARCH("ID_000",$N4))),1,0)</x:f>
        <x:v>0</x:v>
      </x:c>
      <x:c r="Q4" s="17" t="n">
        <x:f>IF(AND(ISNUMBER(SEARCH("ID_000",$M4)),NOT(ISNUMBER(SEARCH("ID_000",$N4)))),1,0)</x:f>
        <x:v>0</x:v>
      </x:c>
      <x:c r="R4" s="17" t="n">
        <x:f>IF(AND(ISNUMBER(SEARCH("ID_001",$M4)),ISNUMBER(SEARCH("ID_001",$N4))),1,0)</x:f>
        <x:v>0</x:v>
      </x:c>
      <x:c r="S4" s="17" t="n">
        <x:f>IF(AND(NOT(ISNUMBER(SEARCH("ID_001",$M4))),ISNUMBER(SEARCH("ID_001",$N4))),1,0)</x:f>
        <x:v>0</x:v>
      </x:c>
      <x:c r="T4" s="17" t="n">
        <x:f>IF(AND(ISNUMBER(SEARCH("ID_001",$M4)),NOT(ISNUMBER(SEARCH("ID_001",$N4)))),1,0)</x:f>
        <x:v>0</x:v>
      </x:c>
      <x:c r="U4" s="17" t="n">
        <x:f>IF(AND(ISNUMBER(SEARCH("ID_002",$M4)),ISNUMBER(SEARCH("ID_002",$N4))),1,0)</x:f>
        <x:v>1</x:v>
      </x:c>
      <x:c r="V4" s="17" t="n">
        <x:f>IF(AND(NOT(ISNUMBER(SEARCH("ID_002",$M4))),ISNUMBER(SEARCH("ID_002",$N4))),1,0)</x:f>
        <x:v>0</x:v>
      </x:c>
      <x:c r="W4" s="17" t="n">
        <x:f>IF(AND(ISNUMBER(SEARCH("ID_002",$M4)),NOT(ISNUMBER(SEARCH("ID_002",$N4)))),1,0)</x:f>
        <x:v>0</x:v>
      </x:c>
      <x:c r="X4" s="17" t="n">
        <x:f>IF(AND(ISNUMBER(SEARCH("ID_003",$M4)),ISNUMBER(SEARCH("ID_003",$N4))),1,0)</x:f>
        <x:v>0</x:v>
      </x:c>
      <x:c r="Y4" s="17" t="n">
        <x:f>IF(AND(NOT(ISNUMBER(SEARCH("ID_003",$M4))),ISNUMBER(SEARCH("ID_003",$N4))),1,0)</x:f>
        <x:v>0</x:v>
      </x:c>
      <x:c r="Z4" s="17" t="n">
        <x:f>IF(AND(ISNUMBER(SEARCH("ID_003",$M4)),NOT(ISNUMBER(SEARCH("ID_003",$N4)))),1,0)</x:f>
        <x:v>0</x:v>
      </x:c>
      <x:c r="AA4" s="17" t="n">
        <x:f>IF(AND(ISNUMBER(SEARCH("ID_004",$M4)),ISNUMBER(SEARCH("ID_004",$N4))),1,0)</x:f>
        <x:v>0</x:v>
      </x:c>
      <x:c r="AB4" s="17" t="n">
        <x:f>IF(AND(NOT(ISNUMBER(SEARCH("ID_004",$M4))),ISNUMBER(SEARCH("ID_004",$N4))),1,0)</x:f>
        <x:v>0</x:v>
      </x:c>
      <x:c r="AC4" s="17" t="n">
        <x:f>IF(AND(ISNUMBER(SEARCH("ID_004",$M4)),NOT(ISNUMBER(SEARCH("ID_004",$N4)))),1,0)</x:f>
        <x:v>0</x:v>
      </x:c>
      <x:c r="AD4" s="17" t="n">
        <x:f>IF(AND(ISNUMBER(SEARCH("ID_005",$M4)),ISNUMBER(SEARCH("ID_005",$N4))),1,0)</x:f>
        <x:v>0</x:v>
      </x:c>
      <x:c r="AE4" s="17" t="n">
        <x:f>IF(AND(NOT(ISNUMBER(SEARCH("ID_005",$M4))),ISNUMBER(SEARCH("ID_005",$N4))),1,0)</x:f>
        <x:v>0</x:v>
      </x:c>
      <x:c r="AF4" s="17" t="n">
        <x:f>IF(AND(ISNUMBER(SEARCH("ID_005",$M4)),NOT(ISNUMBER(SEARCH("ID_005",$N4)))),1,0)</x:f>
        <x:v>0</x:v>
      </x:c>
      <x:c r="AG4" s="17" t="n">
        <x:f>IF(AND(ISNUMBER(SEARCH("ID_006",$M4)),ISNUMBER(SEARCH("ID_006",$N4))),1,0)</x:f>
        <x:v>0</x:v>
      </x:c>
      <x:c r="AH4" s="17" t="n">
        <x:f>IF(AND(NOT(ISNUMBER(SEARCH("ID_006",$M4))),ISNUMBER(SEARCH("ID_006",$N4))),1,0)</x:f>
        <x:v>0</x:v>
      </x:c>
      <x:c r="AI4" s="17" t="n">
        <x:f>IF(AND(ISNUMBER(SEARCH("ID_006",$M4)),NOT(ISNUMBER(SEARCH("ID_006",$N4)))),1,0)</x:f>
        <x:v>0</x:v>
      </x:c>
      <x:c r="AJ4" s="17" t="n">
        <x:f>IF(AND(ISNUMBER(SEARCH("ID_007",$M4)),ISNUMBER(SEARCH("ID_007",$N4))),1,0)</x:f>
        <x:v>0</x:v>
      </x:c>
      <x:c r="AK4" s="17" t="n">
        <x:f>IF(AND(NOT(ISNUMBER(SEARCH("ID_007",$M4))),ISNUMBER(SEARCH("ID_007",$N4))),1,0)</x:f>
        <x:v>0</x:v>
      </x:c>
      <x:c r="AL4" s="17" t="n">
        <x:f>IF(AND(ISNUMBER(SEARCH("ID_007",$M4)),NOT(ISNUMBER(SEARCH("ID_007",$N4)))),1,0)</x:f>
        <x:v>0</x:v>
      </x:c>
      <x:c r="AM4" s="17" t="n">
        <x:f>IF(AND(ISNUMBER(SEARCH("ID_008",$M4)),ISNUMBER(SEARCH("ID_008",$N4))),1,0)</x:f>
        <x:v>0</x:v>
      </x:c>
      <x:c r="AN4" s="17" t="n">
        <x:f>IF(AND(NOT(ISNUMBER(SEARCH("ID_008",$M4))),ISNUMBER(SEARCH("ID_008",$N4))),1,0)</x:f>
        <x:v>0</x:v>
      </x:c>
      <x:c r="AO4" s="17" t="n">
        <x:f>IF(AND(ISNUMBER(SEARCH("ID_008",$M4)),NOT(ISNUMBER(SEARCH("ID_008",$N4)))),1,0)</x:f>
        <x:v>0</x:v>
      </x:c>
      <x:c r="AP4" s="17" t="n">
        <x:f>IF(AND(ISNUMBER(SEARCH("ID_009",$M4)),ISNUMBER(SEARCH("ID_009",$N4))),1,0)</x:f>
        <x:v>0</x:v>
      </x:c>
      <x:c r="AQ4" s="17" t="n">
        <x:f>IF(AND(NOT(ISNUMBER(SEARCH("ID_009",$M4))),ISNUMBER(SEARCH("ID_009",$N4))),1,0)</x:f>
        <x:v>0</x:v>
      </x:c>
      <x:c r="AR4" s="17" t="n">
        <x:f>IF(AND(ISNUMBER(SEARCH("ID_009",$M4)),NOT(ISNUMBER(SEARCH("ID_009",$N4)))),1,0)</x:f>
        <x:v>0</x:v>
      </x:c>
    </x:row>
    <x:row r="5">
      <x:c r="A5" s="17" t="str">
        <x:v>ID_002</x:v>
      </x:c>
      <x:c r="B5" s="17" t="n">
        <x:f>SUM(U2:U61)</x:f>
        <x:v>16</x:v>
      </x:c>
      <x:c r="C5" s="17" t="n">
        <x:f>SUM(V2:V61)</x:f>
        <x:v>1</x:v>
      </x:c>
      <x:c r="D5" s="17" t="n">
        <x:f>SUM(W2:W61)</x:f>
        <x:v>0</x:v>
      </x:c>
      <x:c r="E5" s="18" t="n">
        <x:f>IFERROR(B5/(B5+C5),0)</x:f>
        <x:v>0.9411764705882353</x:v>
      </x:c>
      <x:c r="F5" s="18" t="n">
        <x:f>IFERROR(B5/(B5+D5),0)</x:f>
        <x:v>1</x:v>
      </x:c>
      <x:c r="G5" s="18" t="n">
        <x:f>IFERROR(2*E5*F5/(E5+F5),0)</x:f>
        <x:v>0.9696969696969697</x:v>
      </x:c>
      <x:c r="J5" s="17" t="str">
        <x:v>表格</x:v>
      </x:c>
      <x:c r="K5" s="17" t="str">
        <x:v>row5</x:v>
      </x:c>
      <x:c r="L5" s="29" t="n">
        <x:v>1.97</x:v>
      </x:c>
      <x:c r="M5" s="17" t="str">
        <x:v>ID_000</x:v>
      </x:c>
      <x:c r="N5" s="17" t="str">
        <x:v>ID_002</x:v>
      </x:c>
      <x:c r="O5" s="17" t="n">
        <x:f>IF(AND(ISNUMBER(SEARCH("ID_000",$M5)),ISNUMBER(SEARCH("ID_000",$N5))),1,0)</x:f>
        <x:v>0</x:v>
      </x:c>
      <x:c r="P5" s="17" t="n">
        <x:f>IF(AND(NOT(ISNUMBER(SEARCH("ID_000",$M5))),ISNUMBER(SEARCH("ID_000",$N5))),1,0)</x:f>
        <x:v>0</x:v>
      </x:c>
      <x:c r="Q5" s="17" t="n">
        <x:f>IF(AND(ISNUMBER(SEARCH("ID_000",$M5)),NOT(ISNUMBER(SEARCH("ID_000",$N5)))),1,0)</x:f>
        <x:v>1</x:v>
      </x:c>
      <x:c r="R5" s="17" t="n">
        <x:f>IF(AND(ISNUMBER(SEARCH("ID_001",$M5)),ISNUMBER(SEARCH("ID_001",$N5))),1,0)</x:f>
        <x:v>0</x:v>
      </x:c>
      <x:c r="S5" s="17" t="n">
        <x:f>IF(AND(NOT(ISNUMBER(SEARCH("ID_001",$M5))),ISNUMBER(SEARCH("ID_001",$N5))),1,0)</x:f>
        <x:v>0</x:v>
      </x:c>
      <x:c r="T5" s="17" t="n">
        <x:f>IF(AND(ISNUMBER(SEARCH("ID_001",$M5)),NOT(ISNUMBER(SEARCH("ID_001",$N5)))),1,0)</x:f>
        <x:v>0</x:v>
      </x:c>
      <x:c r="U5" s="17" t="n">
        <x:f>IF(AND(ISNUMBER(SEARCH("ID_002",$M5)),ISNUMBER(SEARCH("ID_002",$N5))),1,0)</x:f>
        <x:v>0</x:v>
      </x:c>
      <x:c r="V5" s="17" t="n">
        <x:f>IF(AND(NOT(ISNUMBER(SEARCH("ID_002",$M5))),ISNUMBER(SEARCH("ID_002",$N5))),1,0)</x:f>
        <x:v>1</x:v>
      </x:c>
      <x:c r="W5" s="17" t="n">
        <x:f>IF(AND(ISNUMBER(SEARCH("ID_002",$M5)),NOT(ISNUMBER(SEARCH("ID_002",$N5)))),1,0)</x:f>
        <x:v>0</x:v>
      </x:c>
      <x:c r="X5" s="17" t="n">
        <x:f>IF(AND(ISNUMBER(SEARCH("ID_003",$M5)),ISNUMBER(SEARCH("ID_003",$N5))),1,0)</x:f>
        <x:v>0</x:v>
      </x:c>
      <x:c r="Y5" s="17" t="n">
        <x:f>IF(AND(NOT(ISNUMBER(SEARCH("ID_003",$M5))),ISNUMBER(SEARCH("ID_003",$N5))),1,0)</x:f>
        <x:v>0</x:v>
      </x:c>
      <x:c r="Z5" s="17" t="n">
        <x:f>IF(AND(ISNUMBER(SEARCH("ID_003",$M5)),NOT(ISNUMBER(SEARCH("ID_003",$N5)))),1,0)</x:f>
        <x:v>0</x:v>
      </x:c>
      <x:c r="AA5" s="17" t="n">
        <x:f>IF(AND(ISNUMBER(SEARCH("ID_004",$M5)),ISNUMBER(SEARCH("ID_004",$N5))),1,0)</x:f>
        <x:v>0</x:v>
      </x:c>
      <x:c r="AB5" s="17" t="n">
        <x:f>IF(AND(NOT(ISNUMBER(SEARCH("ID_004",$M5))),ISNUMBER(SEARCH("ID_004",$N5))),1,0)</x:f>
        <x:v>0</x:v>
      </x:c>
      <x:c r="AC5" s="17" t="n">
        <x:f>IF(AND(ISNUMBER(SEARCH("ID_004",$M5)),NOT(ISNUMBER(SEARCH("ID_004",$N5)))),1,0)</x:f>
        <x:v>0</x:v>
      </x:c>
      <x:c r="AD5" s="17" t="n">
        <x:f>IF(AND(ISNUMBER(SEARCH("ID_005",$M5)),ISNUMBER(SEARCH("ID_005",$N5))),1,0)</x:f>
        <x:v>0</x:v>
      </x:c>
      <x:c r="AE5" s="17" t="n">
        <x:f>IF(AND(NOT(ISNUMBER(SEARCH("ID_005",$M5))),ISNUMBER(SEARCH("ID_005",$N5))),1,0)</x:f>
        <x:v>0</x:v>
      </x:c>
      <x:c r="AF5" s="17" t="n">
        <x:f>IF(AND(ISNUMBER(SEARCH("ID_005",$M5)),NOT(ISNUMBER(SEARCH("ID_005",$N5)))),1,0)</x:f>
        <x:v>0</x:v>
      </x:c>
      <x:c r="AG5" s="17" t="n">
        <x:f>IF(AND(ISNUMBER(SEARCH("ID_006",$M5)),ISNUMBER(SEARCH("ID_006",$N5))),1,0)</x:f>
        <x:v>0</x:v>
      </x:c>
      <x:c r="AH5" s="17" t="n">
        <x:f>IF(AND(NOT(ISNUMBER(SEARCH("ID_006",$M5))),ISNUMBER(SEARCH("ID_006",$N5))),1,0)</x:f>
        <x:v>0</x:v>
      </x:c>
      <x:c r="AI5" s="17" t="n">
        <x:f>IF(AND(ISNUMBER(SEARCH("ID_006",$M5)),NOT(ISNUMBER(SEARCH("ID_006",$N5)))),1,0)</x:f>
        <x:v>0</x:v>
      </x:c>
      <x:c r="AJ5" s="17" t="n">
        <x:f>IF(AND(ISNUMBER(SEARCH("ID_007",$M5)),ISNUMBER(SEARCH("ID_007",$N5))),1,0)</x:f>
        <x:v>0</x:v>
      </x:c>
      <x:c r="AK5" s="17" t="n">
        <x:f>IF(AND(NOT(ISNUMBER(SEARCH("ID_007",$M5))),ISNUMBER(SEARCH("ID_007",$N5))),1,0)</x:f>
        <x:v>0</x:v>
      </x:c>
      <x:c r="AL5" s="17" t="n">
        <x:f>IF(AND(ISNUMBER(SEARCH("ID_007",$M5)),NOT(ISNUMBER(SEARCH("ID_007",$N5)))),1,0)</x:f>
        <x:v>0</x:v>
      </x:c>
      <x:c r="AM5" s="17" t="n">
        <x:f>IF(AND(ISNUMBER(SEARCH("ID_008",$M5)),ISNUMBER(SEARCH("ID_008",$N5))),1,0)</x:f>
        <x:v>0</x:v>
      </x:c>
      <x:c r="AN5" s="17" t="n">
        <x:f>IF(AND(NOT(ISNUMBER(SEARCH("ID_008",$M5))),ISNUMBER(SEARCH("ID_008",$N5))),1,0)</x:f>
        <x:v>0</x:v>
      </x:c>
      <x:c r="AO5" s="17" t="n">
        <x:f>IF(AND(ISNUMBER(SEARCH("ID_008",$M5)),NOT(ISNUMBER(SEARCH("ID_008",$N5)))),1,0)</x:f>
        <x:v>0</x:v>
      </x:c>
      <x:c r="AP5" s="17" t="n">
        <x:f>IF(AND(ISNUMBER(SEARCH("ID_009",$M5)),ISNUMBER(SEARCH("ID_009",$N5))),1,0)</x:f>
        <x:v>0</x:v>
      </x:c>
      <x:c r="AQ5" s="17" t="n">
        <x:f>IF(AND(NOT(ISNUMBER(SEARCH("ID_009",$M5))),ISNUMBER(SEARCH("ID_009",$N5))),1,0)</x:f>
        <x:v>0</x:v>
      </x:c>
      <x:c r="AR5" s="17" t="n">
        <x:f>IF(AND(ISNUMBER(SEARCH("ID_009",$M5)),NOT(ISNUMBER(SEARCH("ID_009",$N5)))),1,0)</x:f>
        <x:v>0</x:v>
      </x:c>
    </x:row>
    <x:row r="6">
      <x:c r="A6" s="17" t="str">
        <x:v>ID_003</x:v>
      </x:c>
      <x:c r="B6" s="17" t="n">
        <x:f>SUM(X2:X61)</x:f>
        <x:v>5</x:v>
      </x:c>
      <x:c r="C6" s="17" t="n">
        <x:f>SUM(Y2:Y61)</x:f>
        <x:v>1</x:v>
      </x:c>
      <x:c r="D6" s="17" t="n">
        <x:f>SUM(Z2:Z61)</x:f>
        <x:v>0</x:v>
      </x:c>
      <x:c r="E6" s="18" t="n">
        <x:f>IFERROR(B6/(B6+C6),0)</x:f>
        <x:v>0.8333333333333334</x:v>
      </x:c>
      <x:c r="F6" s="18" t="n">
        <x:f>IFERROR(B6/(B6+D6),0)</x:f>
        <x:v>1</x:v>
      </x:c>
      <x:c r="G6" s="18" t="n">
        <x:f>IFERROR(2*E6*F6/(E6+F6),0)</x:f>
        <x:v>0.9090909090909091</x:v>
      </x:c>
      <x:c r="J6" s="17" t="str">
        <x:v>表格</x:v>
      </x:c>
      <x:c r="K6" s="17" t="str">
        <x:v>row6</x:v>
      </x:c>
      <x:c r="L6" s="29" t="n">
        <x:v>0.72</x:v>
      </x:c>
      <x:c r="M6" s="17" t="str">
        <x:v>ID_002</x:v>
      </x:c>
      <x:c r="N6" s="17" t="str">
        <x:v>ID_002</x:v>
      </x:c>
      <x:c r="O6" s="17" t="n">
        <x:f>IF(AND(ISNUMBER(SEARCH("ID_000",$M6)),ISNUMBER(SEARCH("ID_000",$N6))),1,0)</x:f>
        <x:v>0</x:v>
      </x:c>
      <x:c r="P6" s="17" t="n">
        <x:f>IF(AND(NOT(ISNUMBER(SEARCH("ID_000",$M6))),ISNUMBER(SEARCH("ID_000",$N6))),1,0)</x:f>
        <x:v>0</x:v>
      </x:c>
      <x:c r="Q6" s="17" t="n">
        <x:f>IF(AND(ISNUMBER(SEARCH("ID_000",$M6)),NOT(ISNUMBER(SEARCH("ID_000",$N6)))),1,0)</x:f>
        <x:v>0</x:v>
      </x:c>
      <x:c r="R6" s="17" t="n">
        <x:f>IF(AND(ISNUMBER(SEARCH("ID_001",$M6)),ISNUMBER(SEARCH("ID_001",$N6))),1,0)</x:f>
        <x:v>0</x:v>
      </x:c>
      <x:c r="S6" s="17" t="n">
        <x:f>IF(AND(NOT(ISNUMBER(SEARCH("ID_001",$M6))),ISNUMBER(SEARCH("ID_001",$N6))),1,0)</x:f>
        <x:v>0</x:v>
      </x:c>
      <x:c r="T6" s="17" t="n">
        <x:f>IF(AND(ISNUMBER(SEARCH("ID_001",$M6)),NOT(ISNUMBER(SEARCH("ID_001",$N6)))),1,0)</x:f>
        <x:v>0</x:v>
      </x:c>
      <x:c r="U6" s="17" t="n">
        <x:f>IF(AND(ISNUMBER(SEARCH("ID_002",$M6)),ISNUMBER(SEARCH("ID_002",$N6))),1,0)</x:f>
        <x:v>1</x:v>
      </x:c>
      <x:c r="V6" s="17" t="n">
        <x:f>IF(AND(NOT(ISNUMBER(SEARCH("ID_002",$M6))),ISNUMBER(SEARCH("ID_002",$N6))),1,0)</x:f>
        <x:v>0</x:v>
      </x:c>
      <x:c r="W6" s="17" t="n">
        <x:f>IF(AND(ISNUMBER(SEARCH("ID_002",$M6)),NOT(ISNUMBER(SEARCH("ID_002",$N6)))),1,0)</x:f>
        <x:v>0</x:v>
      </x:c>
      <x:c r="X6" s="17" t="n">
        <x:f>IF(AND(ISNUMBER(SEARCH("ID_003",$M6)),ISNUMBER(SEARCH("ID_003",$N6))),1,0)</x:f>
        <x:v>0</x:v>
      </x:c>
      <x:c r="Y6" s="17" t="n">
        <x:f>IF(AND(NOT(ISNUMBER(SEARCH("ID_003",$M6))),ISNUMBER(SEARCH("ID_003",$N6))),1,0)</x:f>
        <x:v>0</x:v>
      </x:c>
      <x:c r="Z6" s="17" t="n">
        <x:f>IF(AND(ISNUMBER(SEARCH("ID_003",$M6)),NOT(ISNUMBER(SEARCH("ID_003",$N6)))),1,0)</x:f>
        <x:v>0</x:v>
      </x:c>
      <x:c r="AA6" s="17" t="n">
        <x:f>IF(AND(ISNUMBER(SEARCH("ID_004",$M6)),ISNUMBER(SEARCH("ID_004",$N6))),1,0)</x:f>
        <x:v>0</x:v>
      </x:c>
      <x:c r="AB6" s="17" t="n">
        <x:f>IF(AND(NOT(ISNUMBER(SEARCH("ID_004",$M6))),ISNUMBER(SEARCH("ID_004",$N6))),1,0)</x:f>
        <x:v>0</x:v>
      </x:c>
      <x:c r="AC6" s="17" t="n">
        <x:f>IF(AND(ISNUMBER(SEARCH("ID_004",$M6)),NOT(ISNUMBER(SEARCH("ID_004",$N6)))),1,0)</x:f>
        <x:v>0</x:v>
      </x:c>
      <x:c r="AD6" s="17" t="n">
        <x:f>IF(AND(ISNUMBER(SEARCH("ID_005",$M6)),ISNUMBER(SEARCH("ID_005",$N6))),1,0)</x:f>
        <x:v>0</x:v>
      </x:c>
      <x:c r="AE6" s="17" t="n">
        <x:f>IF(AND(NOT(ISNUMBER(SEARCH("ID_005",$M6))),ISNUMBER(SEARCH("ID_005",$N6))),1,0)</x:f>
        <x:v>0</x:v>
      </x:c>
      <x:c r="AF6" s="17" t="n">
        <x:f>IF(AND(ISNUMBER(SEARCH("ID_005",$M6)),NOT(ISNUMBER(SEARCH("ID_005",$N6)))),1,0)</x:f>
        <x:v>0</x:v>
      </x:c>
      <x:c r="AG6" s="17" t="n">
        <x:f>IF(AND(ISNUMBER(SEARCH("ID_006",$M6)),ISNUMBER(SEARCH("ID_006",$N6))),1,0)</x:f>
        <x:v>0</x:v>
      </x:c>
      <x:c r="AH6" s="17" t="n">
        <x:f>IF(AND(NOT(ISNUMBER(SEARCH("ID_006",$M6))),ISNUMBER(SEARCH("ID_006",$N6))),1,0)</x:f>
        <x:v>0</x:v>
      </x:c>
      <x:c r="AI6" s="17" t="n">
        <x:f>IF(AND(ISNUMBER(SEARCH("ID_006",$M6)),NOT(ISNUMBER(SEARCH("ID_006",$N6)))),1,0)</x:f>
        <x:v>0</x:v>
      </x:c>
      <x:c r="AJ6" s="17" t="n">
        <x:f>IF(AND(ISNUMBER(SEARCH("ID_007",$M6)),ISNUMBER(SEARCH("ID_007",$N6))),1,0)</x:f>
        <x:v>0</x:v>
      </x:c>
      <x:c r="AK6" s="17" t="n">
        <x:f>IF(AND(NOT(ISNUMBER(SEARCH("ID_007",$M6))),ISNUMBER(SEARCH("ID_007",$N6))),1,0)</x:f>
        <x:v>0</x:v>
      </x:c>
      <x:c r="AL6" s="17" t="n">
        <x:f>IF(AND(ISNUMBER(SEARCH("ID_007",$M6)),NOT(ISNUMBER(SEARCH("ID_007",$N6)))),1,0)</x:f>
        <x:v>0</x:v>
      </x:c>
      <x:c r="AM6" s="17" t="n">
        <x:f>IF(AND(ISNUMBER(SEARCH("ID_008",$M6)),ISNUMBER(SEARCH("ID_008",$N6))),1,0)</x:f>
        <x:v>0</x:v>
      </x:c>
      <x:c r="AN6" s="17" t="n">
        <x:f>IF(AND(NOT(ISNUMBER(SEARCH("ID_008",$M6))),ISNUMBER(SEARCH("ID_008",$N6))),1,0)</x:f>
        <x:v>0</x:v>
      </x:c>
      <x:c r="AO6" s="17" t="n">
        <x:f>IF(AND(ISNUMBER(SEARCH("ID_008",$M6)),NOT(ISNUMBER(SEARCH("ID_008",$N6)))),1,0)</x:f>
        <x:v>0</x:v>
      </x:c>
      <x:c r="AP6" s="17" t="n">
        <x:f>IF(AND(ISNUMBER(SEARCH("ID_009",$M6)),ISNUMBER(SEARCH("ID_009",$N6))),1,0)</x:f>
        <x:v>0</x:v>
      </x:c>
      <x:c r="AQ6" s="17" t="n">
        <x:f>IF(AND(NOT(ISNUMBER(SEARCH("ID_009",$M6))),ISNUMBER(SEARCH("ID_009",$N6))),1,0)</x:f>
        <x:v>0</x:v>
      </x:c>
      <x:c r="AR6" s="17" t="n">
        <x:f>IF(AND(ISNUMBER(SEARCH("ID_009",$M6)),NOT(ISNUMBER(SEARCH("ID_009",$N6)))),1,0)</x:f>
        <x:v>0</x:v>
      </x:c>
    </x:row>
    <x:row r="7">
      <x:c r="A7" s="17" t="str">
        <x:v>ID_004</x:v>
      </x:c>
      <x:c r="B7" s="17" t="n">
        <x:f>SUM(AA2:AA61)</x:f>
        <x:v>8</x:v>
      </x:c>
      <x:c r="C7" s="17" t="n">
        <x:f>SUM(AB2:AB61)</x:f>
        <x:v>0</x:v>
      </x:c>
      <x:c r="D7" s="17" t="n">
        <x:f>SUM(AC2:AC61)</x:f>
        <x:v>0</x:v>
      </x:c>
      <x:c r="E7" s="18" t="n">
        <x:f>IFERROR(B7/(B7+C7),0)</x:f>
        <x:v>1</x:v>
      </x:c>
      <x:c r="F7" s="18" t="n">
        <x:f>IFERROR(B7/(B7+D7),0)</x:f>
        <x:v>1</x:v>
      </x:c>
      <x:c r="G7" s="18" t="n">
        <x:f>IFERROR(2*E7*F7/(E7+F7),0)</x:f>
        <x:v>1</x:v>
      </x:c>
      <x:c r="J7" s="17" t="str">
        <x:v>表格</x:v>
      </x:c>
      <x:c r="K7" s="17" t="str">
        <x:v>row7</x:v>
      </x:c>
      <x:c r="L7" s="29" t="n">
        <x:v>0.77</x:v>
      </x:c>
      <x:c r="M7" s="17" t="str">
        <x:v>ID_002</x:v>
      </x:c>
      <x:c r="N7" s="17" t="str">
        <x:v>ID_001,ID_002</x:v>
      </x:c>
      <x:c r="O7" s="17" t="n">
        <x:f>IF(AND(ISNUMBER(SEARCH("ID_000",$M7)),ISNUMBER(SEARCH("ID_000",$N7))),1,0)</x:f>
        <x:v>0</x:v>
      </x:c>
      <x:c r="P7" s="17" t="n">
        <x:f>IF(AND(NOT(ISNUMBER(SEARCH("ID_000",$M7))),ISNUMBER(SEARCH("ID_000",$N7))),1,0)</x:f>
        <x:v>0</x:v>
      </x:c>
      <x:c r="Q7" s="17" t="n">
        <x:f>IF(AND(ISNUMBER(SEARCH("ID_000",$M7)),NOT(ISNUMBER(SEARCH("ID_000",$N7)))),1,0)</x:f>
        <x:v>0</x:v>
      </x:c>
      <x:c r="R7" s="17" t="n">
        <x:f>IF(AND(ISNUMBER(SEARCH("ID_001",$M7)),ISNUMBER(SEARCH("ID_001",$N7))),1,0)</x:f>
        <x:v>0</x:v>
      </x:c>
      <x:c r="S7" s="17" t="n">
        <x:f>IF(AND(NOT(ISNUMBER(SEARCH("ID_001",$M7))),ISNUMBER(SEARCH("ID_001",$N7))),1,0)</x:f>
        <x:v>1</x:v>
      </x:c>
      <x:c r="T7" s="17" t="n">
        <x:f>IF(AND(ISNUMBER(SEARCH("ID_001",$M7)),NOT(ISNUMBER(SEARCH("ID_001",$N7)))),1,0)</x:f>
        <x:v>0</x:v>
      </x:c>
      <x:c r="U7" s="17" t="n">
        <x:f>IF(AND(ISNUMBER(SEARCH("ID_002",$M7)),ISNUMBER(SEARCH("ID_002",$N7))),1,0)</x:f>
        <x:v>1</x:v>
      </x:c>
      <x:c r="V7" s="17" t="n">
        <x:f>IF(AND(NOT(ISNUMBER(SEARCH("ID_002",$M7))),ISNUMBER(SEARCH("ID_002",$N7))),1,0)</x:f>
        <x:v>0</x:v>
      </x:c>
      <x:c r="W7" s="17" t="n">
        <x:f>IF(AND(ISNUMBER(SEARCH("ID_002",$M7)),NOT(ISNUMBER(SEARCH("ID_002",$N7)))),1,0)</x:f>
        <x:v>0</x:v>
      </x:c>
      <x:c r="X7" s="17" t="n">
        <x:f>IF(AND(ISNUMBER(SEARCH("ID_003",$M7)),ISNUMBER(SEARCH("ID_003",$N7))),1,0)</x:f>
        <x:v>0</x:v>
      </x:c>
      <x:c r="Y7" s="17" t="n">
        <x:f>IF(AND(NOT(ISNUMBER(SEARCH("ID_003",$M7))),ISNUMBER(SEARCH("ID_003",$N7))),1,0)</x:f>
        <x:v>0</x:v>
      </x:c>
      <x:c r="Z7" s="17" t="n">
        <x:f>IF(AND(ISNUMBER(SEARCH("ID_003",$M7)),NOT(ISNUMBER(SEARCH("ID_003",$N7)))),1,0)</x:f>
        <x:v>0</x:v>
      </x:c>
      <x:c r="AA7" s="17" t="n">
        <x:f>IF(AND(ISNUMBER(SEARCH("ID_004",$M7)),ISNUMBER(SEARCH("ID_004",$N7))),1,0)</x:f>
        <x:v>0</x:v>
      </x:c>
      <x:c r="AB7" s="17" t="n">
        <x:f>IF(AND(NOT(ISNUMBER(SEARCH("ID_004",$M7))),ISNUMBER(SEARCH("ID_004",$N7))),1,0)</x:f>
        <x:v>0</x:v>
      </x:c>
      <x:c r="AC7" s="17" t="n">
        <x:f>IF(AND(ISNUMBER(SEARCH("ID_004",$M7)),NOT(ISNUMBER(SEARCH("ID_004",$N7)))),1,0)</x:f>
        <x:v>0</x:v>
      </x:c>
      <x:c r="AD7" s="17" t="n">
        <x:f>IF(AND(ISNUMBER(SEARCH("ID_005",$M7)),ISNUMBER(SEARCH("ID_005",$N7))),1,0)</x:f>
        <x:v>0</x:v>
      </x:c>
      <x:c r="AE7" s="17" t="n">
        <x:f>IF(AND(NOT(ISNUMBER(SEARCH("ID_005",$M7))),ISNUMBER(SEARCH("ID_005",$N7))),1,0)</x:f>
        <x:v>0</x:v>
      </x:c>
      <x:c r="AF7" s="17" t="n">
        <x:f>IF(AND(ISNUMBER(SEARCH("ID_005",$M7)),NOT(ISNUMBER(SEARCH("ID_005",$N7)))),1,0)</x:f>
        <x:v>0</x:v>
      </x:c>
      <x:c r="AG7" s="17" t="n">
        <x:f>IF(AND(ISNUMBER(SEARCH("ID_006",$M7)),ISNUMBER(SEARCH("ID_006",$N7))),1,0)</x:f>
        <x:v>0</x:v>
      </x:c>
      <x:c r="AH7" s="17" t="n">
        <x:f>IF(AND(NOT(ISNUMBER(SEARCH("ID_006",$M7))),ISNUMBER(SEARCH("ID_006",$N7))),1,0)</x:f>
        <x:v>0</x:v>
      </x:c>
      <x:c r="AI7" s="17" t="n">
        <x:f>IF(AND(ISNUMBER(SEARCH("ID_006",$M7)),NOT(ISNUMBER(SEARCH("ID_006",$N7)))),1,0)</x:f>
        <x:v>0</x:v>
      </x:c>
      <x:c r="AJ7" s="17" t="n">
        <x:f>IF(AND(ISNUMBER(SEARCH("ID_007",$M7)),ISNUMBER(SEARCH("ID_007",$N7))),1,0)</x:f>
        <x:v>0</x:v>
      </x:c>
      <x:c r="AK7" s="17" t="n">
        <x:f>IF(AND(NOT(ISNUMBER(SEARCH("ID_007",$M7))),ISNUMBER(SEARCH("ID_007",$N7))),1,0)</x:f>
        <x:v>0</x:v>
      </x:c>
      <x:c r="AL7" s="17" t="n">
        <x:f>IF(AND(ISNUMBER(SEARCH("ID_007",$M7)),NOT(ISNUMBER(SEARCH("ID_007",$N7)))),1,0)</x:f>
        <x:v>0</x:v>
      </x:c>
      <x:c r="AM7" s="17" t="n">
        <x:f>IF(AND(ISNUMBER(SEARCH("ID_008",$M7)),ISNUMBER(SEARCH("ID_008",$N7))),1,0)</x:f>
        <x:v>0</x:v>
      </x:c>
      <x:c r="AN7" s="17" t="n">
        <x:f>IF(AND(NOT(ISNUMBER(SEARCH("ID_008",$M7))),ISNUMBER(SEARCH("ID_008",$N7))),1,0)</x:f>
        <x:v>0</x:v>
      </x:c>
      <x:c r="AO7" s="17" t="n">
        <x:f>IF(AND(ISNUMBER(SEARCH("ID_008",$M7)),NOT(ISNUMBER(SEARCH("ID_008",$N7)))),1,0)</x:f>
        <x:v>0</x:v>
      </x:c>
      <x:c r="AP7" s="17" t="n">
        <x:f>IF(AND(ISNUMBER(SEARCH("ID_009",$M7)),ISNUMBER(SEARCH("ID_009",$N7))),1,0)</x:f>
        <x:v>0</x:v>
      </x:c>
      <x:c r="AQ7" s="17" t="n">
        <x:f>IF(AND(NOT(ISNUMBER(SEARCH("ID_009",$M7))),ISNUMBER(SEARCH("ID_009",$N7))),1,0)</x:f>
        <x:v>0</x:v>
      </x:c>
      <x:c r="AR7" s="17" t="n">
        <x:f>IF(AND(ISNUMBER(SEARCH("ID_009",$M7)),NOT(ISNUMBER(SEARCH("ID_009",$N7)))),1,0)</x:f>
        <x:v>0</x:v>
      </x:c>
    </x:row>
    <x:row r="8">
      <x:c r="A8" s="17" t="str">
        <x:v>ID_005</x:v>
      </x:c>
      <x:c r="B8" s="17" t="n">
        <x:f>SUM(AD2:AD61)</x:f>
        <x:v>3</x:v>
      </x:c>
      <x:c r="C8" s="17" t="n">
        <x:f>SUM(AE2:AE61)</x:f>
        <x:v>1</x:v>
      </x:c>
      <x:c r="D8" s="17" t="n">
        <x:f>SUM(AF2:AF61)</x:f>
        <x:v>0</x:v>
      </x:c>
      <x:c r="E8" s="18" t="n">
        <x:f>IFERROR(B8/(B8+C8),0)</x:f>
        <x:v>0.75</x:v>
      </x:c>
      <x:c r="F8" s="18" t="n">
        <x:f>IFERROR(B8/(B8+D8),0)</x:f>
        <x:v>1</x:v>
      </x:c>
      <x:c r="G8" s="18" t="n">
        <x:f>IFERROR(2*E8*F8/(E8+F8),0)</x:f>
        <x:v>0.8571428571428571</x:v>
      </x:c>
      <x:c r="J8" s="17" t="str">
        <x:v>表格</x:v>
      </x:c>
      <x:c r="K8" s="17" t="str">
        <x:v>row8</x:v>
      </x:c>
      <x:c r="L8" s="29" t="n">
        <x:v>1.02</x:v>
      </x:c>
      <x:c r="M8" s="17" t="str">
        <x:v>ID_002</x:v>
      </x:c>
      <x:c r="N8" s="17" t="str">
        <x:v>ID_002</x:v>
      </x:c>
      <x:c r="O8" s="17" t="n">
        <x:f>IF(AND(ISNUMBER(SEARCH("ID_000",$M8)),ISNUMBER(SEARCH("ID_000",$N8))),1,0)</x:f>
        <x:v>0</x:v>
      </x:c>
      <x:c r="P8" s="17" t="n">
        <x:f>IF(AND(NOT(ISNUMBER(SEARCH("ID_000",$M8))),ISNUMBER(SEARCH("ID_000",$N8))),1,0)</x:f>
        <x:v>0</x:v>
      </x:c>
      <x:c r="Q8" s="17" t="n">
        <x:f>IF(AND(ISNUMBER(SEARCH("ID_000",$M8)),NOT(ISNUMBER(SEARCH("ID_000",$N8)))),1,0)</x:f>
        <x:v>0</x:v>
      </x:c>
      <x:c r="R8" s="17" t="n">
        <x:f>IF(AND(ISNUMBER(SEARCH("ID_001",$M8)),ISNUMBER(SEARCH("ID_001",$N8))),1,0)</x:f>
        <x:v>0</x:v>
      </x:c>
      <x:c r="S8" s="17" t="n">
        <x:f>IF(AND(NOT(ISNUMBER(SEARCH("ID_001",$M8))),ISNUMBER(SEARCH("ID_001",$N8))),1,0)</x:f>
        <x:v>0</x:v>
      </x:c>
      <x:c r="T8" s="17" t="n">
        <x:f>IF(AND(ISNUMBER(SEARCH("ID_001",$M8)),NOT(ISNUMBER(SEARCH("ID_001",$N8)))),1,0)</x:f>
        <x:v>0</x:v>
      </x:c>
      <x:c r="U8" s="17" t="n">
        <x:f>IF(AND(ISNUMBER(SEARCH("ID_002",$M8)),ISNUMBER(SEARCH("ID_002",$N8))),1,0)</x:f>
        <x:v>1</x:v>
      </x:c>
      <x:c r="V8" s="17" t="n">
        <x:f>IF(AND(NOT(ISNUMBER(SEARCH("ID_002",$M8))),ISNUMBER(SEARCH("ID_002",$N8))),1,0)</x:f>
        <x:v>0</x:v>
      </x:c>
      <x:c r="W8" s="17" t="n">
        <x:f>IF(AND(ISNUMBER(SEARCH("ID_002",$M8)),NOT(ISNUMBER(SEARCH("ID_002",$N8)))),1,0)</x:f>
        <x:v>0</x:v>
      </x:c>
      <x:c r="X8" s="17" t="n">
        <x:f>IF(AND(ISNUMBER(SEARCH("ID_003",$M8)),ISNUMBER(SEARCH("ID_003",$N8))),1,0)</x:f>
        <x:v>0</x:v>
      </x:c>
      <x:c r="Y8" s="17" t="n">
        <x:f>IF(AND(NOT(ISNUMBER(SEARCH("ID_003",$M8))),ISNUMBER(SEARCH("ID_003",$N8))),1,0)</x:f>
        <x:v>0</x:v>
      </x:c>
      <x:c r="Z8" s="17" t="n">
        <x:f>IF(AND(ISNUMBER(SEARCH("ID_003",$M8)),NOT(ISNUMBER(SEARCH("ID_003",$N8)))),1,0)</x:f>
        <x:v>0</x:v>
      </x:c>
      <x:c r="AA8" s="17" t="n">
        <x:f>IF(AND(ISNUMBER(SEARCH("ID_004",$M8)),ISNUMBER(SEARCH("ID_004",$N8))),1,0)</x:f>
        <x:v>0</x:v>
      </x:c>
      <x:c r="AB8" s="17" t="n">
        <x:f>IF(AND(NOT(ISNUMBER(SEARCH("ID_004",$M8))),ISNUMBER(SEARCH("ID_004",$N8))),1,0)</x:f>
        <x:v>0</x:v>
      </x:c>
      <x:c r="AC8" s="17" t="n">
        <x:f>IF(AND(ISNUMBER(SEARCH("ID_004",$M8)),NOT(ISNUMBER(SEARCH("ID_004",$N8)))),1,0)</x:f>
        <x:v>0</x:v>
      </x:c>
      <x:c r="AD8" s="17" t="n">
        <x:f>IF(AND(ISNUMBER(SEARCH("ID_005",$M8)),ISNUMBER(SEARCH("ID_005",$N8))),1,0)</x:f>
        <x:v>0</x:v>
      </x:c>
      <x:c r="AE8" s="17" t="n">
        <x:f>IF(AND(NOT(ISNUMBER(SEARCH("ID_005",$M8))),ISNUMBER(SEARCH("ID_005",$N8))),1,0)</x:f>
        <x:v>0</x:v>
      </x:c>
      <x:c r="AF8" s="17" t="n">
        <x:f>IF(AND(ISNUMBER(SEARCH("ID_005",$M8)),NOT(ISNUMBER(SEARCH("ID_005",$N8)))),1,0)</x:f>
        <x:v>0</x:v>
      </x:c>
      <x:c r="AG8" s="17" t="n">
        <x:f>IF(AND(ISNUMBER(SEARCH("ID_006",$M8)),ISNUMBER(SEARCH("ID_006",$N8))),1,0)</x:f>
        <x:v>0</x:v>
      </x:c>
      <x:c r="AH8" s="17" t="n">
        <x:f>IF(AND(NOT(ISNUMBER(SEARCH("ID_006",$M8))),ISNUMBER(SEARCH("ID_006",$N8))),1,0)</x:f>
        <x:v>0</x:v>
      </x:c>
      <x:c r="AI8" s="17" t="n">
        <x:f>IF(AND(ISNUMBER(SEARCH("ID_006",$M8)),NOT(ISNUMBER(SEARCH("ID_006",$N8)))),1,0)</x:f>
        <x:v>0</x:v>
      </x:c>
      <x:c r="AJ8" s="17" t="n">
        <x:f>IF(AND(ISNUMBER(SEARCH("ID_007",$M8)),ISNUMBER(SEARCH("ID_007",$N8))),1,0)</x:f>
        <x:v>0</x:v>
      </x:c>
      <x:c r="AK8" s="17" t="n">
        <x:f>IF(AND(NOT(ISNUMBER(SEARCH("ID_007",$M8))),ISNUMBER(SEARCH("ID_007",$N8))),1,0)</x:f>
        <x:v>0</x:v>
      </x:c>
      <x:c r="AL8" s="17" t="n">
        <x:f>IF(AND(ISNUMBER(SEARCH("ID_007",$M8)),NOT(ISNUMBER(SEARCH("ID_007",$N8)))),1,0)</x:f>
        <x:v>0</x:v>
      </x:c>
      <x:c r="AM8" s="17" t="n">
        <x:f>IF(AND(ISNUMBER(SEARCH("ID_008",$M8)),ISNUMBER(SEARCH("ID_008",$N8))),1,0)</x:f>
        <x:v>0</x:v>
      </x:c>
      <x:c r="AN8" s="17" t="n">
        <x:f>IF(AND(NOT(ISNUMBER(SEARCH("ID_008",$M8))),ISNUMBER(SEARCH("ID_008",$N8))),1,0)</x:f>
        <x:v>0</x:v>
      </x:c>
      <x:c r="AO8" s="17" t="n">
        <x:f>IF(AND(ISNUMBER(SEARCH("ID_008",$M8)),NOT(ISNUMBER(SEARCH("ID_008",$N8)))),1,0)</x:f>
        <x:v>0</x:v>
      </x:c>
      <x:c r="AP8" s="17" t="n">
        <x:f>IF(AND(ISNUMBER(SEARCH("ID_009",$M8)),ISNUMBER(SEARCH("ID_009",$N8))),1,0)</x:f>
        <x:v>0</x:v>
      </x:c>
      <x:c r="AQ8" s="17" t="n">
        <x:f>IF(AND(NOT(ISNUMBER(SEARCH("ID_009",$M8))),ISNUMBER(SEARCH("ID_009",$N8))),1,0)</x:f>
        <x:v>0</x:v>
      </x:c>
      <x:c r="AR8" s="17" t="n">
        <x:f>IF(AND(ISNUMBER(SEARCH("ID_009",$M8)),NOT(ISNUMBER(SEARCH("ID_009",$N8)))),1,0)</x:f>
        <x:v>0</x:v>
      </x:c>
    </x:row>
    <x:row r="9">
      <x:c r="A9" s="17" t="str">
        <x:v>ID_006</x:v>
      </x:c>
      <x:c r="B9" s="17" t="n">
        <x:f>SUM(AG2:AG61)</x:f>
        <x:v>7</x:v>
      </x:c>
      <x:c r="C9" s="17" t="n">
        <x:f>SUM(AH2:AH61)</x:f>
        <x:v>0</x:v>
      </x:c>
      <x:c r="D9" s="17" t="n">
        <x:f>SUM(AI2:AI61)</x:f>
        <x:v>2</x:v>
      </x:c>
      <x:c r="E9" s="18" t="n">
        <x:f>IFERROR(B9/(B9+C9),0)</x:f>
        <x:v>1</x:v>
      </x:c>
      <x:c r="F9" s="18" t="n">
        <x:f>IFERROR(B9/(B9+D9),0)</x:f>
        <x:v>0.7777777777777778</x:v>
      </x:c>
      <x:c r="G9" s="18" t="n">
        <x:f>IFERROR(2*E9*F9/(E9+F9),0)</x:f>
        <x:v>0.8750000000000001</x:v>
      </x:c>
      <x:c r="J9" s="17" t="str">
        <x:v>表格</x:v>
      </x:c>
      <x:c r="K9" s="17" t="str">
        <x:v>row9</x:v>
      </x:c>
      <x:c r="L9" s="29" t="n">
        <x:v>1.11</x:v>
      </x:c>
      <x:c r="M9" s="17" t="str">
        <x:v>ID_002</x:v>
      </x:c>
      <x:c r="N9" s="17" t="str">
        <x:v>ID_002</x:v>
      </x:c>
      <x:c r="O9" s="17" t="n">
        <x:f>IF(AND(ISNUMBER(SEARCH("ID_000",$M9)),ISNUMBER(SEARCH("ID_000",$N9))),1,0)</x:f>
        <x:v>0</x:v>
      </x:c>
      <x:c r="P9" s="17" t="n">
        <x:f>IF(AND(NOT(ISNUMBER(SEARCH("ID_000",$M9))),ISNUMBER(SEARCH("ID_000",$N9))),1,0)</x:f>
        <x:v>0</x:v>
      </x:c>
      <x:c r="Q9" s="17" t="n">
        <x:f>IF(AND(ISNUMBER(SEARCH("ID_000",$M9)),NOT(ISNUMBER(SEARCH("ID_000",$N9)))),1,0)</x:f>
        <x:v>0</x:v>
      </x:c>
      <x:c r="R9" s="17" t="n">
        <x:f>IF(AND(ISNUMBER(SEARCH("ID_001",$M9)),ISNUMBER(SEARCH("ID_001",$N9))),1,0)</x:f>
        <x:v>0</x:v>
      </x:c>
      <x:c r="S9" s="17" t="n">
        <x:f>IF(AND(NOT(ISNUMBER(SEARCH("ID_001",$M9))),ISNUMBER(SEARCH("ID_001",$N9))),1,0)</x:f>
        <x:v>0</x:v>
      </x:c>
      <x:c r="T9" s="17" t="n">
        <x:f>IF(AND(ISNUMBER(SEARCH("ID_001",$M9)),NOT(ISNUMBER(SEARCH("ID_001",$N9)))),1,0)</x:f>
        <x:v>0</x:v>
      </x:c>
      <x:c r="U9" s="17" t="n">
        <x:f>IF(AND(ISNUMBER(SEARCH("ID_002",$M9)),ISNUMBER(SEARCH("ID_002",$N9))),1,0)</x:f>
        <x:v>1</x:v>
      </x:c>
      <x:c r="V9" s="17" t="n">
        <x:f>IF(AND(NOT(ISNUMBER(SEARCH("ID_002",$M9))),ISNUMBER(SEARCH("ID_002",$N9))),1,0)</x:f>
        <x:v>0</x:v>
      </x:c>
      <x:c r="W9" s="17" t="n">
        <x:f>IF(AND(ISNUMBER(SEARCH("ID_002",$M9)),NOT(ISNUMBER(SEARCH("ID_002",$N9)))),1,0)</x:f>
        <x:v>0</x:v>
      </x:c>
      <x:c r="X9" s="17" t="n">
        <x:f>IF(AND(ISNUMBER(SEARCH("ID_003",$M9)),ISNUMBER(SEARCH("ID_003",$N9))),1,0)</x:f>
        <x:v>0</x:v>
      </x:c>
      <x:c r="Y9" s="17" t="n">
        <x:f>IF(AND(NOT(ISNUMBER(SEARCH("ID_003",$M9))),ISNUMBER(SEARCH("ID_003",$N9))),1,0)</x:f>
        <x:v>0</x:v>
      </x:c>
      <x:c r="Z9" s="17" t="n">
        <x:f>IF(AND(ISNUMBER(SEARCH("ID_003",$M9)),NOT(ISNUMBER(SEARCH("ID_003",$N9)))),1,0)</x:f>
        <x:v>0</x:v>
      </x:c>
      <x:c r="AA9" s="17" t="n">
        <x:f>IF(AND(ISNUMBER(SEARCH("ID_004",$M9)),ISNUMBER(SEARCH("ID_004",$N9))),1,0)</x:f>
        <x:v>0</x:v>
      </x:c>
      <x:c r="AB9" s="17" t="n">
        <x:f>IF(AND(NOT(ISNUMBER(SEARCH("ID_004",$M9))),ISNUMBER(SEARCH("ID_004",$N9))),1,0)</x:f>
        <x:v>0</x:v>
      </x:c>
      <x:c r="AC9" s="17" t="n">
        <x:f>IF(AND(ISNUMBER(SEARCH("ID_004",$M9)),NOT(ISNUMBER(SEARCH("ID_004",$N9)))),1,0)</x:f>
        <x:v>0</x:v>
      </x:c>
      <x:c r="AD9" s="17" t="n">
        <x:f>IF(AND(ISNUMBER(SEARCH("ID_005",$M9)),ISNUMBER(SEARCH("ID_005",$N9))),1,0)</x:f>
        <x:v>0</x:v>
      </x:c>
      <x:c r="AE9" s="17" t="n">
        <x:f>IF(AND(NOT(ISNUMBER(SEARCH("ID_005",$M9))),ISNUMBER(SEARCH("ID_005",$N9))),1,0)</x:f>
        <x:v>0</x:v>
      </x:c>
      <x:c r="AF9" s="17" t="n">
        <x:f>IF(AND(ISNUMBER(SEARCH("ID_005",$M9)),NOT(ISNUMBER(SEARCH("ID_005",$N9)))),1,0)</x:f>
        <x:v>0</x:v>
      </x:c>
      <x:c r="AG9" s="17" t="n">
        <x:f>IF(AND(ISNUMBER(SEARCH("ID_006",$M9)),ISNUMBER(SEARCH("ID_006",$N9))),1,0)</x:f>
        <x:v>0</x:v>
      </x:c>
      <x:c r="AH9" s="17" t="n">
        <x:f>IF(AND(NOT(ISNUMBER(SEARCH("ID_006",$M9))),ISNUMBER(SEARCH("ID_006",$N9))),1,0)</x:f>
        <x:v>0</x:v>
      </x:c>
      <x:c r="AI9" s="17" t="n">
        <x:f>IF(AND(ISNUMBER(SEARCH("ID_006",$M9)),NOT(ISNUMBER(SEARCH("ID_006",$N9)))),1,0)</x:f>
        <x:v>0</x:v>
      </x:c>
      <x:c r="AJ9" s="17" t="n">
        <x:f>IF(AND(ISNUMBER(SEARCH("ID_007",$M9)),ISNUMBER(SEARCH("ID_007",$N9))),1,0)</x:f>
        <x:v>0</x:v>
      </x:c>
      <x:c r="AK9" s="17" t="n">
        <x:f>IF(AND(NOT(ISNUMBER(SEARCH("ID_007",$M9))),ISNUMBER(SEARCH("ID_007",$N9))),1,0)</x:f>
        <x:v>0</x:v>
      </x:c>
      <x:c r="AL9" s="17" t="n">
        <x:f>IF(AND(ISNUMBER(SEARCH("ID_007",$M9)),NOT(ISNUMBER(SEARCH("ID_007",$N9)))),1,0)</x:f>
        <x:v>0</x:v>
      </x:c>
      <x:c r="AM9" s="17" t="n">
        <x:f>IF(AND(ISNUMBER(SEARCH("ID_008",$M9)),ISNUMBER(SEARCH("ID_008",$N9))),1,0)</x:f>
        <x:v>0</x:v>
      </x:c>
      <x:c r="AN9" s="17" t="n">
        <x:f>IF(AND(NOT(ISNUMBER(SEARCH("ID_008",$M9))),ISNUMBER(SEARCH("ID_008",$N9))),1,0)</x:f>
        <x:v>0</x:v>
      </x:c>
      <x:c r="AO9" s="17" t="n">
        <x:f>IF(AND(ISNUMBER(SEARCH("ID_008",$M9)),NOT(ISNUMBER(SEARCH("ID_008",$N9)))),1,0)</x:f>
        <x:v>0</x:v>
      </x:c>
      <x:c r="AP9" s="17" t="n">
        <x:f>IF(AND(ISNUMBER(SEARCH("ID_009",$M9)),ISNUMBER(SEARCH("ID_009",$N9))),1,0)</x:f>
        <x:v>0</x:v>
      </x:c>
      <x:c r="AQ9" s="17" t="n">
        <x:f>IF(AND(NOT(ISNUMBER(SEARCH("ID_009",$M9))),ISNUMBER(SEARCH("ID_009",$N9))),1,0)</x:f>
        <x:v>0</x:v>
      </x:c>
      <x:c r="AR9" s="17" t="n">
        <x:f>IF(AND(ISNUMBER(SEARCH("ID_009",$M9)),NOT(ISNUMBER(SEARCH("ID_009",$N9)))),1,0)</x:f>
        <x:v>0</x:v>
      </x:c>
    </x:row>
    <x:row r="10">
      <x:c r="A10" s="17" t="str">
        <x:v>ID_007</x:v>
      </x:c>
      <x:c r="B10" s="17" t="n">
        <x:f>SUM(AJ2:AJ61)</x:f>
        <x:v>7</x:v>
      </x:c>
      <x:c r="C10" s="17" t="n">
        <x:f>SUM(AK2:AK61)</x:f>
        <x:v>0</x:v>
      </x:c>
      <x:c r="D10" s="17" t="n">
        <x:f>SUM(AL2:AL61)</x:f>
        <x:v>0</x:v>
      </x:c>
      <x:c r="E10" s="18" t="n">
        <x:f>IFERROR(B10/(B10+C10),0)</x:f>
        <x:v>1</x:v>
      </x:c>
      <x:c r="F10" s="18" t="n">
        <x:f>IFERROR(B10/(B10+D10),0)</x:f>
        <x:v>1</x:v>
      </x:c>
      <x:c r="G10" s="18" t="n">
        <x:f>IFERROR(2*E10*F10/(E10+F10),0)</x:f>
        <x:v>1</x:v>
      </x:c>
      <x:c r="J10" s="17" t="str">
        <x:v>表格</x:v>
      </x:c>
      <x:c r="K10" s="17" t="str">
        <x:v>row10</x:v>
      </x:c>
      <x:c r="L10" s="29" t="n">
        <x:v>0.99</x:v>
      </x:c>
      <x:c r="M10" s="17" t="str">
        <x:v>ID_001</x:v>
      </x:c>
      <x:c r="N10" s="17" t="str">
        <x:v>ID_001</x:v>
      </x:c>
      <x:c r="O10" s="17" t="n">
        <x:f>IF(AND(ISNUMBER(SEARCH("ID_000",$M10)),ISNUMBER(SEARCH("ID_000",$N10))),1,0)</x:f>
        <x:v>0</x:v>
      </x:c>
      <x:c r="P10" s="17" t="n">
        <x:f>IF(AND(NOT(ISNUMBER(SEARCH("ID_000",$M10))),ISNUMBER(SEARCH("ID_000",$N10))),1,0)</x:f>
        <x:v>0</x:v>
      </x:c>
      <x:c r="Q10" s="17" t="n">
        <x:f>IF(AND(ISNUMBER(SEARCH("ID_000",$M10)),NOT(ISNUMBER(SEARCH("ID_000",$N10)))),1,0)</x:f>
        <x:v>0</x:v>
      </x:c>
      <x:c r="R10" s="17" t="n">
        <x:f>IF(AND(ISNUMBER(SEARCH("ID_001",$M10)),ISNUMBER(SEARCH("ID_001",$N10))),1,0)</x:f>
        <x:v>1</x:v>
      </x:c>
      <x:c r="S10" s="17" t="n">
        <x:f>IF(AND(NOT(ISNUMBER(SEARCH("ID_001",$M10))),ISNUMBER(SEARCH("ID_001",$N10))),1,0)</x:f>
        <x:v>0</x:v>
      </x:c>
      <x:c r="T10" s="17" t="n">
        <x:f>IF(AND(ISNUMBER(SEARCH("ID_001",$M10)),NOT(ISNUMBER(SEARCH("ID_001",$N10)))),1,0)</x:f>
        <x:v>0</x:v>
      </x:c>
      <x:c r="U10" s="17" t="n">
        <x:f>IF(AND(ISNUMBER(SEARCH("ID_002",$M10)),ISNUMBER(SEARCH("ID_002",$N10))),1,0)</x:f>
        <x:v>0</x:v>
      </x:c>
      <x:c r="V10" s="17" t="n">
        <x:f>IF(AND(NOT(ISNUMBER(SEARCH("ID_002",$M10))),ISNUMBER(SEARCH("ID_002",$N10))),1,0)</x:f>
        <x:v>0</x:v>
      </x:c>
      <x:c r="W10" s="17" t="n">
        <x:f>IF(AND(ISNUMBER(SEARCH("ID_002",$M10)),NOT(ISNUMBER(SEARCH("ID_002",$N10)))),1,0)</x:f>
        <x:v>0</x:v>
      </x:c>
      <x:c r="X10" s="17" t="n">
        <x:f>IF(AND(ISNUMBER(SEARCH("ID_003",$M10)),ISNUMBER(SEARCH("ID_003",$N10))),1,0)</x:f>
        <x:v>0</x:v>
      </x:c>
      <x:c r="Y10" s="17" t="n">
        <x:f>IF(AND(NOT(ISNUMBER(SEARCH("ID_003",$M10))),ISNUMBER(SEARCH("ID_003",$N10))),1,0)</x:f>
        <x:v>0</x:v>
      </x:c>
      <x:c r="Z10" s="17" t="n">
        <x:f>IF(AND(ISNUMBER(SEARCH("ID_003",$M10)),NOT(ISNUMBER(SEARCH("ID_003",$N10)))),1,0)</x:f>
        <x:v>0</x:v>
      </x:c>
      <x:c r="AA10" s="17" t="n">
        <x:f>IF(AND(ISNUMBER(SEARCH("ID_004",$M10)),ISNUMBER(SEARCH("ID_004",$N10))),1,0)</x:f>
        <x:v>0</x:v>
      </x:c>
      <x:c r="AB10" s="17" t="n">
        <x:f>IF(AND(NOT(ISNUMBER(SEARCH("ID_004",$M10))),ISNUMBER(SEARCH("ID_004",$N10))),1,0)</x:f>
        <x:v>0</x:v>
      </x:c>
      <x:c r="AC10" s="17" t="n">
        <x:f>IF(AND(ISNUMBER(SEARCH("ID_004",$M10)),NOT(ISNUMBER(SEARCH("ID_004",$N10)))),1,0)</x:f>
        <x:v>0</x:v>
      </x:c>
      <x:c r="AD10" s="17" t="n">
        <x:f>IF(AND(ISNUMBER(SEARCH("ID_005",$M10)),ISNUMBER(SEARCH("ID_005",$N10))),1,0)</x:f>
        <x:v>0</x:v>
      </x:c>
      <x:c r="AE10" s="17" t="n">
        <x:f>IF(AND(NOT(ISNUMBER(SEARCH("ID_005",$M10))),ISNUMBER(SEARCH("ID_005",$N10))),1,0)</x:f>
        <x:v>0</x:v>
      </x:c>
      <x:c r="AF10" s="17" t="n">
        <x:f>IF(AND(ISNUMBER(SEARCH("ID_005",$M10)),NOT(ISNUMBER(SEARCH("ID_005",$N10)))),1,0)</x:f>
        <x:v>0</x:v>
      </x:c>
      <x:c r="AG10" s="17" t="n">
        <x:f>IF(AND(ISNUMBER(SEARCH("ID_006",$M10)),ISNUMBER(SEARCH("ID_006",$N10))),1,0)</x:f>
        <x:v>0</x:v>
      </x:c>
      <x:c r="AH10" s="17" t="n">
        <x:f>IF(AND(NOT(ISNUMBER(SEARCH("ID_006",$M10))),ISNUMBER(SEARCH("ID_006",$N10))),1,0)</x:f>
        <x:v>0</x:v>
      </x:c>
      <x:c r="AI10" s="17" t="n">
        <x:f>IF(AND(ISNUMBER(SEARCH("ID_006",$M10)),NOT(ISNUMBER(SEARCH("ID_006",$N10)))),1,0)</x:f>
        <x:v>0</x:v>
      </x:c>
      <x:c r="AJ10" s="17" t="n">
        <x:f>IF(AND(ISNUMBER(SEARCH("ID_007",$M10)),ISNUMBER(SEARCH("ID_007",$N10))),1,0)</x:f>
        <x:v>0</x:v>
      </x:c>
      <x:c r="AK10" s="17" t="n">
        <x:f>IF(AND(NOT(ISNUMBER(SEARCH("ID_007",$M10))),ISNUMBER(SEARCH("ID_007",$N10))),1,0)</x:f>
        <x:v>0</x:v>
      </x:c>
      <x:c r="AL10" s="17" t="n">
        <x:f>IF(AND(ISNUMBER(SEARCH("ID_007",$M10)),NOT(ISNUMBER(SEARCH("ID_007",$N10)))),1,0)</x:f>
        <x:v>0</x:v>
      </x:c>
      <x:c r="AM10" s="17" t="n">
        <x:f>IF(AND(ISNUMBER(SEARCH("ID_008",$M10)),ISNUMBER(SEARCH("ID_008",$N10))),1,0)</x:f>
        <x:v>0</x:v>
      </x:c>
      <x:c r="AN10" s="17" t="n">
        <x:f>IF(AND(NOT(ISNUMBER(SEARCH("ID_008",$M10))),ISNUMBER(SEARCH("ID_008",$N10))),1,0)</x:f>
        <x:v>0</x:v>
      </x:c>
      <x:c r="AO10" s="17" t="n">
        <x:f>IF(AND(ISNUMBER(SEARCH("ID_008",$M10)),NOT(ISNUMBER(SEARCH("ID_008",$N10)))),1,0)</x:f>
        <x:v>0</x:v>
      </x:c>
      <x:c r="AP10" s="17" t="n">
        <x:f>IF(AND(ISNUMBER(SEARCH("ID_009",$M10)),ISNUMBER(SEARCH("ID_009",$N10))),1,0)</x:f>
        <x:v>0</x:v>
      </x:c>
      <x:c r="AQ10" s="17" t="n">
        <x:f>IF(AND(NOT(ISNUMBER(SEARCH("ID_009",$M10))),ISNUMBER(SEARCH("ID_009",$N10))),1,0)</x:f>
        <x:v>0</x:v>
      </x:c>
      <x:c r="AR10" s="17" t="n">
        <x:f>IF(AND(ISNUMBER(SEARCH("ID_009",$M10)),NOT(ISNUMBER(SEARCH("ID_009",$N10)))),1,0)</x:f>
        <x:v>0</x:v>
      </x:c>
    </x:row>
    <x:row r="11">
      <x:c r="A11" s="17" t="str">
        <x:v>ID_008</x:v>
      </x:c>
      <x:c r="B11" s="17" t="n">
        <x:f>SUM(AM2:AM61)</x:f>
        <x:v>3</x:v>
      </x:c>
      <x:c r="C11" s="17" t="n">
        <x:f>SUM(AN2:AN61)</x:f>
        <x:v>0</x:v>
      </x:c>
      <x:c r="D11" s="17" t="n">
        <x:f>SUM(AO2:AO61)</x:f>
        <x:v>0</x:v>
      </x:c>
      <x:c r="E11" s="18" t="n">
        <x:f>IFERROR(B11/(B11+C11),0)</x:f>
        <x:v>1</x:v>
      </x:c>
      <x:c r="F11" s="18" t="n">
        <x:f>IFERROR(B11/(B11+D11),0)</x:f>
        <x:v>1</x:v>
      </x:c>
      <x:c r="G11" s="18" t="n">
        <x:f>IFERROR(2*E11*F11/(E11+F11),0)</x:f>
        <x:v>1</x:v>
      </x:c>
      <x:c r="J11" s="17" t="str">
        <x:v>表格</x:v>
      </x:c>
      <x:c r="K11" s="17" t="str">
        <x:v>row11</x:v>
      </x:c>
      <x:c r="L11" s="29" t="n">
        <x:v>0.99</x:v>
      </x:c>
      <x:c r="M11" s="17" t="str">
        <x:v>ID_000</x:v>
      </x:c>
      <x:c r="N11" s="17" t="str">
        <x:v>ID_003</x:v>
      </x:c>
      <x:c r="O11" s="17" t="n">
        <x:f>IF(AND(ISNUMBER(SEARCH("ID_000",$M11)),ISNUMBER(SEARCH("ID_000",$N11))),1,0)</x:f>
        <x:v>0</x:v>
      </x:c>
      <x:c r="P11" s="17" t="n">
        <x:f>IF(AND(NOT(ISNUMBER(SEARCH("ID_000",$M11))),ISNUMBER(SEARCH("ID_000",$N11))),1,0)</x:f>
        <x:v>0</x:v>
      </x:c>
      <x:c r="Q11" s="17" t="n">
        <x:f>IF(AND(ISNUMBER(SEARCH("ID_000",$M11)),NOT(ISNUMBER(SEARCH("ID_000",$N11)))),1,0)</x:f>
        <x:v>1</x:v>
      </x:c>
      <x:c r="R11" s="17" t="n">
        <x:f>IF(AND(ISNUMBER(SEARCH("ID_001",$M11)),ISNUMBER(SEARCH("ID_001",$N11))),1,0)</x:f>
        <x:v>0</x:v>
      </x:c>
      <x:c r="S11" s="17" t="n">
        <x:f>IF(AND(NOT(ISNUMBER(SEARCH("ID_001",$M11))),ISNUMBER(SEARCH("ID_001",$N11))),1,0)</x:f>
        <x:v>0</x:v>
      </x:c>
      <x:c r="T11" s="17" t="n">
        <x:f>IF(AND(ISNUMBER(SEARCH("ID_001",$M11)),NOT(ISNUMBER(SEARCH("ID_001",$N11)))),1,0)</x:f>
        <x:v>0</x:v>
      </x:c>
      <x:c r="U11" s="17" t="n">
        <x:f>IF(AND(ISNUMBER(SEARCH("ID_002",$M11)),ISNUMBER(SEARCH("ID_002",$N11))),1,0)</x:f>
        <x:v>0</x:v>
      </x:c>
      <x:c r="V11" s="17" t="n">
        <x:f>IF(AND(NOT(ISNUMBER(SEARCH("ID_002",$M11))),ISNUMBER(SEARCH("ID_002",$N11))),1,0)</x:f>
        <x:v>0</x:v>
      </x:c>
      <x:c r="W11" s="17" t="n">
        <x:f>IF(AND(ISNUMBER(SEARCH("ID_002",$M11)),NOT(ISNUMBER(SEARCH("ID_002",$N11)))),1,0)</x:f>
        <x:v>0</x:v>
      </x:c>
      <x:c r="X11" s="17" t="n">
        <x:f>IF(AND(ISNUMBER(SEARCH("ID_003",$M11)),ISNUMBER(SEARCH("ID_003",$N11))),1,0)</x:f>
        <x:v>0</x:v>
      </x:c>
      <x:c r="Y11" s="17" t="n">
        <x:f>IF(AND(NOT(ISNUMBER(SEARCH("ID_003",$M11))),ISNUMBER(SEARCH("ID_003",$N11))),1,0)</x:f>
        <x:v>1</x:v>
      </x:c>
      <x:c r="Z11" s="17" t="n">
        <x:f>IF(AND(ISNUMBER(SEARCH("ID_003",$M11)),NOT(ISNUMBER(SEARCH("ID_003",$N11)))),1,0)</x:f>
        <x:v>0</x:v>
      </x:c>
      <x:c r="AA11" s="17" t="n">
        <x:f>IF(AND(ISNUMBER(SEARCH("ID_004",$M11)),ISNUMBER(SEARCH("ID_004",$N11))),1,0)</x:f>
        <x:v>0</x:v>
      </x:c>
      <x:c r="AB11" s="17" t="n">
        <x:f>IF(AND(NOT(ISNUMBER(SEARCH("ID_004",$M11))),ISNUMBER(SEARCH("ID_004",$N11))),1,0)</x:f>
        <x:v>0</x:v>
      </x:c>
      <x:c r="AC11" s="17" t="n">
        <x:f>IF(AND(ISNUMBER(SEARCH("ID_004",$M11)),NOT(ISNUMBER(SEARCH("ID_004",$N11)))),1,0)</x:f>
        <x:v>0</x:v>
      </x:c>
      <x:c r="AD11" s="17" t="n">
        <x:f>IF(AND(ISNUMBER(SEARCH("ID_005",$M11)),ISNUMBER(SEARCH("ID_005",$N11))),1,0)</x:f>
        <x:v>0</x:v>
      </x:c>
      <x:c r="AE11" s="17" t="n">
        <x:f>IF(AND(NOT(ISNUMBER(SEARCH("ID_005",$M11))),ISNUMBER(SEARCH("ID_005",$N11))),1,0)</x:f>
        <x:v>0</x:v>
      </x:c>
      <x:c r="AF11" s="17" t="n">
        <x:f>IF(AND(ISNUMBER(SEARCH("ID_005",$M11)),NOT(ISNUMBER(SEARCH("ID_005",$N11)))),1,0)</x:f>
        <x:v>0</x:v>
      </x:c>
      <x:c r="AG11" s="17" t="n">
        <x:f>IF(AND(ISNUMBER(SEARCH("ID_006",$M11)),ISNUMBER(SEARCH("ID_006",$N11))),1,0)</x:f>
        <x:v>0</x:v>
      </x:c>
      <x:c r="AH11" s="17" t="n">
        <x:f>IF(AND(NOT(ISNUMBER(SEARCH("ID_006",$M11))),ISNUMBER(SEARCH("ID_006",$N11))),1,0)</x:f>
        <x:v>0</x:v>
      </x:c>
      <x:c r="AI11" s="17" t="n">
        <x:f>IF(AND(ISNUMBER(SEARCH("ID_006",$M11)),NOT(ISNUMBER(SEARCH("ID_006",$N11)))),1,0)</x:f>
        <x:v>0</x:v>
      </x:c>
      <x:c r="AJ11" s="17" t="n">
        <x:f>IF(AND(ISNUMBER(SEARCH("ID_007",$M11)),ISNUMBER(SEARCH("ID_007",$N11))),1,0)</x:f>
        <x:v>0</x:v>
      </x:c>
      <x:c r="AK11" s="17" t="n">
        <x:f>IF(AND(NOT(ISNUMBER(SEARCH("ID_007",$M11))),ISNUMBER(SEARCH("ID_007",$N11))),1,0)</x:f>
        <x:v>0</x:v>
      </x:c>
      <x:c r="AL11" s="17" t="n">
        <x:f>IF(AND(ISNUMBER(SEARCH("ID_007",$M11)),NOT(ISNUMBER(SEARCH("ID_007",$N11)))),1,0)</x:f>
        <x:v>0</x:v>
      </x:c>
      <x:c r="AM11" s="17" t="n">
        <x:f>IF(AND(ISNUMBER(SEARCH("ID_008",$M11)),ISNUMBER(SEARCH("ID_008",$N11))),1,0)</x:f>
        <x:v>0</x:v>
      </x:c>
      <x:c r="AN11" s="17" t="n">
        <x:f>IF(AND(NOT(ISNUMBER(SEARCH("ID_008",$M11))),ISNUMBER(SEARCH("ID_008",$N11))),1,0)</x:f>
        <x:v>0</x:v>
      </x:c>
      <x:c r="AO11" s="17" t="n">
        <x:f>IF(AND(ISNUMBER(SEARCH("ID_008",$M11)),NOT(ISNUMBER(SEARCH("ID_008",$N11)))),1,0)</x:f>
        <x:v>0</x:v>
      </x:c>
      <x:c r="AP11" s="17" t="n">
        <x:f>IF(AND(ISNUMBER(SEARCH("ID_009",$M11)),ISNUMBER(SEARCH("ID_009",$N11))),1,0)</x:f>
        <x:v>0</x:v>
      </x:c>
      <x:c r="AQ11" s="17" t="n">
        <x:f>IF(AND(NOT(ISNUMBER(SEARCH("ID_009",$M11))),ISNUMBER(SEARCH("ID_009",$N11))),1,0)</x:f>
        <x:v>0</x:v>
      </x:c>
      <x:c r="AR11" s="17" t="n">
        <x:f>IF(AND(ISNUMBER(SEARCH("ID_009",$M11)),NOT(ISNUMBER(SEARCH("ID_009",$N11)))),1,0)</x:f>
        <x:v>0</x:v>
      </x:c>
    </x:row>
    <x:row r="12">
      <x:c r="A12" s="17" t="str">
        <x:v>ID_009</x:v>
      </x:c>
      <x:c r="B12" s="17" t="n">
        <x:f>SUM(AP2:AP61)</x:f>
        <x:v>2</x:v>
      </x:c>
      <x:c r="C12" s="17" t="n">
        <x:f>SUM(AQ2:AQ61)</x:f>
        <x:v>0</x:v>
      </x:c>
      <x:c r="D12" s="17" t="n">
        <x:f>SUM(AR2:AR61)</x:f>
        <x:v>0</x:v>
      </x:c>
      <x:c r="E12" s="18" t="n">
        <x:f>IFERROR(B12/(B12+C12),0)</x:f>
        <x:v>1</x:v>
      </x:c>
      <x:c r="F12" s="18" t="n">
        <x:f>IFERROR(B12/(B12+D12),0)</x:f>
        <x:v>1</x:v>
      </x:c>
      <x:c r="G12" s="18" t="n">
        <x:f>IFERROR(2*E12*F12/(E12+F12),0)</x:f>
        <x:v>1</x:v>
      </x:c>
      <x:c r="J12" s="17" t="str">
        <x:v>表格</x:v>
      </x:c>
      <x:c r="K12" s="17" t="str">
        <x:v>row12</x:v>
      </x:c>
      <x:c r="L12" s="29" t="n">
        <x:v>1.33</x:v>
      </x:c>
      <x:c r="M12" s="17" t="str">
        <x:v>ID_004</x:v>
      </x:c>
      <x:c r="N12" s="17" t="str">
        <x:v>ID_004</x:v>
      </x:c>
      <x:c r="O12" s="17" t="n">
        <x:f>IF(AND(ISNUMBER(SEARCH("ID_000",$M12)),ISNUMBER(SEARCH("ID_000",$N12))),1,0)</x:f>
        <x:v>0</x:v>
      </x:c>
      <x:c r="P12" s="17" t="n">
        <x:f>IF(AND(NOT(ISNUMBER(SEARCH("ID_000",$M12))),ISNUMBER(SEARCH("ID_000",$N12))),1,0)</x:f>
        <x:v>0</x:v>
      </x:c>
      <x:c r="Q12" s="17" t="n">
        <x:f>IF(AND(ISNUMBER(SEARCH("ID_000",$M12)),NOT(ISNUMBER(SEARCH("ID_000",$N12)))),1,0)</x:f>
        <x:v>0</x:v>
      </x:c>
      <x:c r="R12" s="17" t="n">
        <x:f>IF(AND(ISNUMBER(SEARCH("ID_001",$M12)),ISNUMBER(SEARCH("ID_001",$N12))),1,0)</x:f>
        <x:v>0</x:v>
      </x:c>
      <x:c r="S12" s="17" t="n">
        <x:f>IF(AND(NOT(ISNUMBER(SEARCH("ID_001",$M12))),ISNUMBER(SEARCH("ID_001",$N12))),1,0)</x:f>
        <x:v>0</x:v>
      </x:c>
      <x:c r="T12" s="17" t="n">
        <x:f>IF(AND(ISNUMBER(SEARCH("ID_001",$M12)),NOT(ISNUMBER(SEARCH("ID_001",$N12)))),1,0)</x:f>
        <x:v>0</x:v>
      </x:c>
      <x:c r="U12" s="17" t="n">
        <x:f>IF(AND(ISNUMBER(SEARCH("ID_002",$M12)),ISNUMBER(SEARCH("ID_002",$N12))),1,0)</x:f>
        <x:v>0</x:v>
      </x:c>
      <x:c r="V12" s="17" t="n">
        <x:f>IF(AND(NOT(ISNUMBER(SEARCH("ID_002",$M12))),ISNUMBER(SEARCH("ID_002",$N12))),1,0)</x:f>
        <x:v>0</x:v>
      </x:c>
      <x:c r="W12" s="17" t="n">
        <x:f>IF(AND(ISNUMBER(SEARCH("ID_002",$M12)),NOT(ISNUMBER(SEARCH("ID_002",$N12)))),1,0)</x:f>
        <x:v>0</x:v>
      </x:c>
      <x:c r="X12" s="17" t="n">
        <x:f>IF(AND(ISNUMBER(SEARCH("ID_003",$M12)),ISNUMBER(SEARCH("ID_003",$N12))),1,0)</x:f>
        <x:v>0</x:v>
      </x:c>
      <x:c r="Y12" s="17" t="n">
        <x:f>IF(AND(NOT(ISNUMBER(SEARCH("ID_003",$M12))),ISNUMBER(SEARCH("ID_003",$N12))),1,0)</x:f>
        <x:v>0</x:v>
      </x:c>
      <x:c r="Z12" s="17" t="n">
        <x:f>IF(AND(ISNUMBER(SEARCH("ID_003",$M12)),NOT(ISNUMBER(SEARCH("ID_003",$N12)))),1,0)</x:f>
        <x:v>0</x:v>
      </x:c>
      <x:c r="AA12" s="17" t="n">
        <x:f>IF(AND(ISNUMBER(SEARCH("ID_004",$M12)),ISNUMBER(SEARCH("ID_004",$N12))),1,0)</x:f>
        <x:v>1</x:v>
      </x:c>
      <x:c r="AB12" s="17" t="n">
        <x:f>IF(AND(NOT(ISNUMBER(SEARCH("ID_004",$M12))),ISNUMBER(SEARCH("ID_004",$N12))),1,0)</x:f>
        <x:v>0</x:v>
      </x:c>
      <x:c r="AC12" s="17" t="n">
        <x:f>IF(AND(ISNUMBER(SEARCH("ID_004",$M12)),NOT(ISNUMBER(SEARCH("ID_004",$N12)))),1,0)</x:f>
        <x:v>0</x:v>
      </x:c>
      <x:c r="AD12" s="17" t="n">
        <x:f>IF(AND(ISNUMBER(SEARCH("ID_005",$M12)),ISNUMBER(SEARCH("ID_005",$N12))),1,0)</x:f>
        <x:v>0</x:v>
      </x:c>
      <x:c r="AE12" s="17" t="n">
        <x:f>IF(AND(NOT(ISNUMBER(SEARCH("ID_005",$M12))),ISNUMBER(SEARCH("ID_005",$N12))),1,0)</x:f>
        <x:v>0</x:v>
      </x:c>
      <x:c r="AF12" s="17" t="n">
        <x:f>IF(AND(ISNUMBER(SEARCH("ID_005",$M12)),NOT(ISNUMBER(SEARCH("ID_005",$N12)))),1,0)</x:f>
        <x:v>0</x:v>
      </x:c>
      <x:c r="AG12" s="17" t="n">
        <x:f>IF(AND(ISNUMBER(SEARCH("ID_006",$M12)),ISNUMBER(SEARCH("ID_006",$N12))),1,0)</x:f>
        <x:v>0</x:v>
      </x:c>
      <x:c r="AH12" s="17" t="n">
        <x:f>IF(AND(NOT(ISNUMBER(SEARCH("ID_006",$M12))),ISNUMBER(SEARCH("ID_006",$N12))),1,0)</x:f>
        <x:v>0</x:v>
      </x:c>
      <x:c r="AI12" s="17" t="n">
        <x:f>IF(AND(ISNUMBER(SEARCH("ID_006",$M12)),NOT(ISNUMBER(SEARCH("ID_006",$N12)))),1,0)</x:f>
        <x:v>0</x:v>
      </x:c>
      <x:c r="AJ12" s="17" t="n">
        <x:f>IF(AND(ISNUMBER(SEARCH("ID_007",$M12)),ISNUMBER(SEARCH("ID_007",$N12))),1,0)</x:f>
        <x:v>0</x:v>
      </x:c>
      <x:c r="AK12" s="17" t="n">
        <x:f>IF(AND(NOT(ISNUMBER(SEARCH("ID_007",$M12))),ISNUMBER(SEARCH("ID_007",$N12))),1,0)</x:f>
        <x:v>0</x:v>
      </x:c>
      <x:c r="AL12" s="17" t="n">
        <x:f>IF(AND(ISNUMBER(SEARCH("ID_007",$M12)),NOT(ISNUMBER(SEARCH("ID_007",$N12)))),1,0)</x:f>
        <x:v>0</x:v>
      </x:c>
      <x:c r="AM12" s="17" t="n">
        <x:f>IF(AND(ISNUMBER(SEARCH("ID_008",$M12)),ISNUMBER(SEARCH("ID_008",$N12))),1,0)</x:f>
        <x:v>0</x:v>
      </x:c>
      <x:c r="AN12" s="17" t="n">
        <x:f>IF(AND(NOT(ISNUMBER(SEARCH("ID_008",$M12))),ISNUMBER(SEARCH("ID_008",$N12))),1,0)</x:f>
        <x:v>0</x:v>
      </x:c>
      <x:c r="AO12" s="17" t="n">
        <x:f>IF(AND(ISNUMBER(SEARCH("ID_008",$M12)),NOT(ISNUMBER(SEARCH("ID_008",$N12)))),1,0)</x:f>
        <x:v>0</x:v>
      </x:c>
      <x:c r="AP12" s="17" t="n">
        <x:f>IF(AND(ISNUMBER(SEARCH("ID_009",$M12)),ISNUMBER(SEARCH("ID_009",$N12))),1,0)</x:f>
        <x:v>0</x:v>
      </x:c>
      <x:c r="AQ12" s="17" t="n">
        <x:f>IF(AND(NOT(ISNUMBER(SEARCH("ID_009",$M12))),ISNUMBER(SEARCH("ID_009",$N12))),1,0)</x:f>
        <x:v>0</x:v>
      </x:c>
      <x:c r="AR12" s="17" t="n">
        <x:f>IF(AND(ISNUMBER(SEARCH("ID_009",$M12)),NOT(ISNUMBER(SEARCH("ID_009",$N12)))),1,0)</x:f>
        <x:v>0</x:v>
      </x:c>
    </x:row>
    <x:row r="13">
      <x:c r="J13" s="17" t="str">
        <x:v>表格</x:v>
      </x:c>
      <x:c r="K13" s="17" t="str">
        <x:v>row13</x:v>
      </x:c>
      <x:c r="L13" s="29" t="n">
        <x:v>1.06</x:v>
      </x:c>
      <x:c r="M13" s="17" t="str">
        <x:v>ID_002</x:v>
      </x:c>
      <x:c r="N13" s="17" t="str">
        <x:v>ID_002</x:v>
      </x:c>
      <x:c r="O13" s="17" t="n">
        <x:f>IF(AND(ISNUMBER(SEARCH("ID_000",$M13)),ISNUMBER(SEARCH("ID_000",$N13))),1,0)</x:f>
        <x:v>0</x:v>
      </x:c>
      <x:c r="P13" s="17" t="n">
        <x:f>IF(AND(NOT(ISNUMBER(SEARCH("ID_000",$M13))),ISNUMBER(SEARCH("ID_000",$N13))),1,0)</x:f>
        <x:v>0</x:v>
      </x:c>
      <x:c r="Q13" s="17" t="n">
        <x:f>IF(AND(ISNUMBER(SEARCH("ID_000",$M13)),NOT(ISNUMBER(SEARCH("ID_000",$N13)))),1,0)</x:f>
        <x:v>0</x:v>
      </x:c>
      <x:c r="R13" s="17" t="n">
        <x:f>IF(AND(ISNUMBER(SEARCH("ID_001",$M13)),ISNUMBER(SEARCH("ID_001",$N13))),1,0)</x:f>
        <x:v>0</x:v>
      </x:c>
      <x:c r="S13" s="17" t="n">
        <x:f>IF(AND(NOT(ISNUMBER(SEARCH("ID_001",$M13))),ISNUMBER(SEARCH("ID_001",$N13))),1,0)</x:f>
        <x:v>0</x:v>
      </x:c>
      <x:c r="T13" s="17" t="n">
        <x:f>IF(AND(ISNUMBER(SEARCH("ID_001",$M13)),NOT(ISNUMBER(SEARCH("ID_001",$N13)))),1,0)</x:f>
        <x:v>0</x:v>
      </x:c>
      <x:c r="U13" s="17" t="n">
        <x:f>IF(AND(ISNUMBER(SEARCH("ID_002",$M13)),ISNUMBER(SEARCH("ID_002",$N13))),1,0)</x:f>
        <x:v>1</x:v>
      </x:c>
      <x:c r="V13" s="17" t="n">
        <x:f>IF(AND(NOT(ISNUMBER(SEARCH("ID_002",$M13))),ISNUMBER(SEARCH("ID_002",$N13))),1,0)</x:f>
        <x:v>0</x:v>
      </x:c>
      <x:c r="W13" s="17" t="n">
        <x:f>IF(AND(ISNUMBER(SEARCH("ID_002",$M13)),NOT(ISNUMBER(SEARCH("ID_002",$N13)))),1,0)</x:f>
        <x:v>0</x:v>
      </x:c>
      <x:c r="X13" s="17" t="n">
        <x:f>IF(AND(ISNUMBER(SEARCH("ID_003",$M13)),ISNUMBER(SEARCH("ID_003",$N13))),1,0)</x:f>
        <x:v>0</x:v>
      </x:c>
      <x:c r="Y13" s="17" t="n">
        <x:f>IF(AND(NOT(ISNUMBER(SEARCH("ID_003",$M13))),ISNUMBER(SEARCH("ID_003",$N13))),1,0)</x:f>
        <x:v>0</x:v>
      </x:c>
      <x:c r="Z13" s="17" t="n">
        <x:f>IF(AND(ISNUMBER(SEARCH("ID_003",$M13)),NOT(ISNUMBER(SEARCH("ID_003",$N13)))),1,0)</x:f>
        <x:v>0</x:v>
      </x:c>
      <x:c r="AA13" s="17" t="n">
        <x:f>IF(AND(ISNUMBER(SEARCH("ID_004",$M13)),ISNUMBER(SEARCH("ID_004",$N13))),1,0)</x:f>
        <x:v>0</x:v>
      </x:c>
      <x:c r="AB13" s="17" t="n">
        <x:f>IF(AND(NOT(ISNUMBER(SEARCH("ID_004",$M13))),ISNUMBER(SEARCH("ID_004",$N13))),1,0)</x:f>
        <x:v>0</x:v>
      </x:c>
      <x:c r="AC13" s="17" t="n">
        <x:f>IF(AND(ISNUMBER(SEARCH("ID_004",$M13)),NOT(ISNUMBER(SEARCH("ID_004",$N13)))),1,0)</x:f>
        <x:v>0</x:v>
      </x:c>
      <x:c r="AD13" s="17" t="n">
        <x:f>IF(AND(ISNUMBER(SEARCH("ID_005",$M13)),ISNUMBER(SEARCH("ID_005",$N13))),1,0)</x:f>
        <x:v>0</x:v>
      </x:c>
      <x:c r="AE13" s="17" t="n">
        <x:f>IF(AND(NOT(ISNUMBER(SEARCH("ID_005",$M13))),ISNUMBER(SEARCH("ID_005",$N13))),1,0)</x:f>
        <x:v>0</x:v>
      </x:c>
      <x:c r="AF13" s="17" t="n">
        <x:f>IF(AND(ISNUMBER(SEARCH("ID_005",$M13)),NOT(ISNUMBER(SEARCH("ID_005",$N13)))),1,0)</x:f>
        <x:v>0</x:v>
      </x:c>
      <x:c r="AG13" s="17" t="n">
        <x:f>IF(AND(ISNUMBER(SEARCH("ID_006",$M13)),ISNUMBER(SEARCH("ID_006",$N13))),1,0)</x:f>
        <x:v>0</x:v>
      </x:c>
      <x:c r="AH13" s="17" t="n">
        <x:f>IF(AND(NOT(ISNUMBER(SEARCH("ID_006",$M13))),ISNUMBER(SEARCH("ID_006",$N13))),1,0)</x:f>
        <x:v>0</x:v>
      </x:c>
      <x:c r="AI13" s="17" t="n">
        <x:f>IF(AND(ISNUMBER(SEARCH("ID_006",$M13)),NOT(ISNUMBER(SEARCH("ID_006",$N13)))),1,0)</x:f>
        <x:v>0</x:v>
      </x:c>
      <x:c r="AJ13" s="17" t="n">
        <x:f>IF(AND(ISNUMBER(SEARCH("ID_007",$M13)),ISNUMBER(SEARCH("ID_007",$N13))),1,0)</x:f>
        <x:v>0</x:v>
      </x:c>
      <x:c r="AK13" s="17" t="n">
        <x:f>IF(AND(NOT(ISNUMBER(SEARCH("ID_007",$M13))),ISNUMBER(SEARCH("ID_007",$N13))),1,0)</x:f>
        <x:v>0</x:v>
      </x:c>
      <x:c r="AL13" s="17" t="n">
        <x:f>IF(AND(ISNUMBER(SEARCH("ID_007",$M13)),NOT(ISNUMBER(SEARCH("ID_007",$N13)))),1,0)</x:f>
        <x:v>0</x:v>
      </x:c>
      <x:c r="AM13" s="17" t="n">
        <x:f>IF(AND(ISNUMBER(SEARCH("ID_008",$M13)),ISNUMBER(SEARCH("ID_008",$N13))),1,0)</x:f>
        <x:v>0</x:v>
      </x:c>
      <x:c r="AN13" s="17" t="n">
        <x:f>IF(AND(NOT(ISNUMBER(SEARCH("ID_008",$M13))),ISNUMBER(SEARCH("ID_008",$N13))),1,0)</x:f>
        <x:v>0</x:v>
      </x:c>
      <x:c r="AO13" s="17" t="n">
        <x:f>IF(AND(ISNUMBER(SEARCH("ID_008",$M13)),NOT(ISNUMBER(SEARCH("ID_008",$N13)))),1,0)</x:f>
        <x:v>0</x:v>
      </x:c>
      <x:c r="AP13" s="17" t="n">
        <x:f>IF(AND(ISNUMBER(SEARCH("ID_009",$M13)),ISNUMBER(SEARCH("ID_009",$N13))),1,0)</x:f>
        <x:v>0</x:v>
      </x:c>
      <x:c r="AQ13" s="17" t="n">
        <x:f>IF(AND(NOT(ISNUMBER(SEARCH("ID_009",$M13))),ISNUMBER(SEARCH("ID_009",$N13))),1,0)</x:f>
        <x:v>0</x:v>
      </x:c>
      <x:c r="AR13" s="17" t="n">
        <x:f>IF(AND(ISNUMBER(SEARCH("ID_009",$M13)),NOT(ISNUMBER(SEARCH("ID_009",$N13)))),1,0)</x:f>
        <x:v>0</x:v>
      </x:c>
    </x:row>
    <x:row r="14">
      <x:c r="J14" s="17" t="str">
        <x:v>表格</x:v>
      </x:c>
      <x:c r="K14" s="17" t="str">
        <x:v>row14</x:v>
      </x:c>
      <x:c r="L14" s="29" t="n">
        <x:v>0.72</x:v>
      </x:c>
      <x:c r="M14" s="17" t="str">
        <x:v>ID_004</x:v>
      </x:c>
      <x:c r="N14" s="17" t="str">
        <x:v>ID_004</x:v>
      </x:c>
      <x:c r="O14" s="17" t="n">
        <x:f>IF(AND(ISNUMBER(SEARCH("ID_000",$M14)),ISNUMBER(SEARCH("ID_000",$N14))),1,0)</x:f>
        <x:v>0</x:v>
      </x:c>
      <x:c r="P14" s="17" t="n">
        <x:f>IF(AND(NOT(ISNUMBER(SEARCH("ID_000",$M14))),ISNUMBER(SEARCH("ID_000",$N14))),1,0)</x:f>
        <x:v>0</x:v>
      </x:c>
      <x:c r="Q14" s="17" t="n">
        <x:f>IF(AND(ISNUMBER(SEARCH("ID_000",$M14)),NOT(ISNUMBER(SEARCH("ID_000",$N14)))),1,0)</x:f>
        <x:v>0</x:v>
      </x:c>
      <x:c r="R14" s="17" t="n">
        <x:f>IF(AND(ISNUMBER(SEARCH("ID_001",$M14)),ISNUMBER(SEARCH("ID_001",$N14))),1,0)</x:f>
        <x:v>0</x:v>
      </x:c>
      <x:c r="S14" s="17" t="n">
        <x:f>IF(AND(NOT(ISNUMBER(SEARCH("ID_001",$M14))),ISNUMBER(SEARCH("ID_001",$N14))),1,0)</x:f>
        <x:v>0</x:v>
      </x:c>
      <x:c r="T14" s="17" t="n">
        <x:f>IF(AND(ISNUMBER(SEARCH("ID_001",$M14)),NOT(ISNUMBER(SEARCH("ID_001",$N14)))),1,0)</x:f>
        <x:v>0</x:v>
      </x:c>
      <x:c r="U14" s="17" t="n">
        <x:f>IF(AND(ISNUMBER(SEARCH("ID_002",$M14)),ISNUMBER(SEARCH("ID_002",$N14))),1,0)</x:f>
        <x:v>0</x:v>
      </x:c>
      <x:c r="V14" s="17" t="n">
        <x:f>IF(AND(NOT(ISNUMBER(SEARCH("ID_002",$M14))),ISNUMBER(SEARCH("ID_002",$N14))),1,0)</x:f>
        <x:v>0</x:v>
      </x:c>
      <x:c r="W14" s="17" t="n">
        <x:f>IF(AND(ISNUMBER(SEARCH("ID_002",$M14)),NOT(ISNUMBER(SEARCH("ID_002",$N14)))),1,0)</x:f>
        <x:v>0</x:v>
      </x:c>
      <x:c r="X14" s="17" t="n">
        <x:f>IF(AND(ISNUMBER(SEARCH("ID_003",$M14)),ISNUMBER(SEARCH("ID_003",$N14))),1,0)</x:f>
        <x:v>0</x:v>
      </x:c>
      <x:c r="Y14" s="17" t="n">
        <x:f>IF(AND(NOT(ISNUMBER(SEARCH("ID_003",$M14))),ISNUMBER(SEARCH("ID_003",$N14))),1,0)</x:f>
        <x:v>0</x:v>
      </x:c>
      <x:c r="Z14" s="17" t="n">
        <x:f>IF(AND(ISNUMBER(SEARCH("ID_003",$M14)),NOT(ISNUMBER(SEARCH("ID_003",$N14)))),1,0)</x:f>
        <x:v>0</x:v>
      </x:c>
      <x:c r="AA14" s="17" t="n">
        <x:f>IF(AND(ISNUMBER(SEARCH("ID_004",$M14)),ISNUMBER(SEARCH("ID_004",$N14))),1,0)</x:f>
        <x:v>1</x:v>
      </x:c>
      <x:c r="AB14" s="17" t="n">
        <x:f>IF(AND(NOT(ISNUMBER(SEARCH("ID_004",$M14))),ISNUMBER(SEARCH("ID_004",$N14))),1,0)</x:f>
        <x:v>0</x:v>
      </x:c>
      <x:c r="AC14" s="17" t="n">
        <x:f>IF(AND(ISNUMBER(SEARCH("ID_004",$M14)),NOT(ISNUMBER(SEARCH("ID_004",$N14)))),1,0)</x:f>
        <x:v>0</x:v>
      </x:c>
      <x:c r="AD14" s="17" t="n">
        <x:f>IF(AND(ISNUMBER(SEARCH("ID_005",$M14)),ISNUMBER(SEARCH("ID_005",$N14))),1,0)</x:f>
        <x:v>0</x:v>
      </x:c>
      <x:c r="AE14" s="17" t="n">
        <x:f>IF(AND(NOT(ISNUMBER(SEARCH("ID_005",$M14))),ISNUMBER(SEARCH("ID_005",$N14))),1,0)</x:f>
        <x:v>0</x:v>
      </x:c>
      <x:c r="AF14" s="17" t="n">
        <x:f>IF(AND(ISNUMBER(SEARCH("ID_005",$M14)),NOT(ISNUMBER(SEARCH("ID_005",$N14)))),1,0)</x:f>
        <x:v>0</x:v>
      </x:c>
      <x:c r="AG14" s="17" t="n">
        <x:f>IF(AND(ISNUMBER(SEARCH("ID_006",$M14)),ISNUMBER(SEARCH("ID_006",$N14))),1,0)</x:f>
        <x:v>0</x:v>
      </x:c>
      <x:c r="AH14" s="17" t="n">
        <x:f>IF(AND(NOT(ISNUMBER(SEARCH("ID_006",$M14))),ISNUMBER(SEARCH("ID_006",$N14))),1,0)</x:f>
        <x:v>0</x:v>
      </x:c>
      <x:c r="AI14" s="17" t="n">
        <x:f>IF(AND(ISNUMBER(SEARCH("ID_006",$M14)),NOT(ISNUMBER(SEARCH("ID_006",$N14)))),1,0)</x:f>
        <x:v>0</x:v>
      </x:c>
      <x:c r="AJ14" s="17" t="n">
        <x:f>IF(AND(ISNUMBER(SEARCH("ID_007",$M14)),ISNUMBER(SEARCH("ID_007",$N14))),1,0)</x:f>
        <x:v>0</x:v>
      </x:c>
      <x:c r="AK14" s="17" t="n">
        <x:f>IF(AND(NOT(ISNUMBER(SEARCH("ID_007",$M14))),ISNUMBER(SEARCH("ID_007",$N14))),1,0)</x:f>
        <x:v>0</x:v>
      </x:c>
      <x:c r="AL14" s="17" t="n">
        <x:f>IF(AND(ISNUMBER(SEARCH("ID_007",$M14)),NOT(ISNUMBER(SEARCH("ID_007",$N14)))),1,0)</x:f>
        <x:v>0</x:v>
      </x:c>
      <x:c r="AM14" s="17" t="n">
        <x:f>IF(AND(ISNUMBER(SEARCH("ID_008",$M14)),ISNUMBER(SEARCH("ID_008",$N14))),1,0)</x:f>
        <x:v>0</x:v>
      </x:c>
      <x:c r="AN14" s="17" t="n">
        <x:f>IF(AND(NOT(ISNUMBER(SEARCH("ID_008",$M14))),ISNUMBER(SEARCH("ID_008",$N14))),1,0)</x:f>
        <x:v>0</x:v>
      </x:c>
      <x:c r="AO14" s="17" t="n">
        <x:f>IF(AND(ISNUMBER(SEARCH("ID_008",$M14)),NOT(ISNUMBER(SEARCH("ID_008",$N14)))),1,0)</x:f>
        <x:v>0</x:v>
      </x:c>
      <x:c r="AP14" s="17" t="n">
        <x:f>IF(AND(ISNUMBER(SEARCH("ID_009",$M14)),ISNUMBER(SEARCH("ID_009",$N14))),1,0)</x:f>
        <x:v>0</x:v>
      </x:c>
      <x:c r="AQ14" s="17" t="n">
        <x:f>IF(AND(NOT(ISNUMBER(SEARCH("ID_009",$M14))),ISNUMBER(SEARCH("ID_009",$N14))),1,0)</x:f>
        <x:v>0</x:v>
      </x:c>
      <x:c r="AR14" s="17" t="n">
        <x:f>IF(AND(ISNUMBER(SEARCH("ID_009",$M14)),NOT(ISNUMBER(SEARCH("ID_009",$N14)))),1,0)</x:f>
        <x:v>0</x:v>
      </x:c>
    </x:row>
    <x:row r="15">
      <x:c r="J15" s="17" t="str">
        <x:v>表格</x:v>
      </x:c>
      <x:c r="K15" s="17" t="str">
        <x:v>row15</x:v>
      </x:c>
      <x:c r="L15" s="29" t="n">
        <x:v>0.99</x:v>
      </x:c>
      <x:c r="M15" s="17" t="str">
        <x:v>ID_004</x:v>
      </x:c>
      <x:c r="N15" s="17" t="str">
        <x:v>ID_004</x:v>
      </x:c>
      <x:c r="O15" s="17" t="n">
        <x:f>IF(AND(ISNUMBER(SEARCH("ID_000",$M15)),ISNUMBER(SEARCH("ID_000",$N15))),1,0)</x:f>
        <x:v>0</x:v>
      </x:c>
      <x:c r="P15" s="17" t="n">
        <x:f>IF(AND(NOT(ISNUMBER(SEARCH("ID_000",$M15))),ISNUMBER(SEARCH("ID_000",$N15))),1,0)</x:f>
        <x:v>0</x:v>
      </x:c>
      <x:c r="Q15" s="17" t="n">
        <x:f>IF(AND(ISNUMBER(SEARCH("ID_000",$M15)),NOT(ISNUMBER(SEARCH("ID_000",$N15)))),1,0)</x:f>
        <x:v>0</x:v>
      </x:c>
      <x:c r="R15" s="17" t="n">
        <x:f>IF(AND(ISNUMBER(SEARCH("ID_001",$M15)),ISNUMBER(SEARCH("ID_001",$N15))),1,0)</x:f>
        <x:v>0</x:v>
      </x:c>
      <x:c r="S15" s="17" t="n">
        <x:f>IF(AND(NOT(ISNUMBER(SEARCH("ID_001",$M15))),ISNUMBER(SEARCH("ID_001",$N15))),1,0)</x:f>
        <x:v>0</x:v>
      </x:c>
      <x:c r="T15" s="17" t="n">
        <x:f>IF(AND(ISNUMBER(SEARCH("ID_001",$M15)),NOT(ISNUMBER(SEARCH("ID_001",$N15)))),1,0)</x:f>
        <x:v>0</x:v>
      </x:c>
      <x:c r="U15" s="17" t="n">
        <x:f>IF(AND(ISNUMBER(SEARCH("ID_002",$M15)),ISNUMBER(SEARCH("ID_002",$N15))),1,0)</x:f>
        <x:v>0</x:v>
      </x:c>
      <x:c r="V15" s="17" t="n">
        <x:f>IF(AND(NOT(ISNUMBER(SEARCH("ID_002",$M15))),ISNUMBER(SEARCH("ID_002",$N15))),1,0)</x:f>
        <x:v>0</x:v>
      </x:c>
      <x:c r="W15" s="17" t="n">
        <x:f>IF(AND(ISNUMBER(SEARCH("ID_002",$M15)),NOT(ISNUMBER(SEARCH("ID_002",$N15)))),1,0)</x:f>
        <x:v>0</x:v>
      </x:c>
      <x:c r="X15" s="17" t="n">
        <x:f>IF(AND(ISNUMBER(SEARCH("ID_003",$M15)),ISNUMBER(SEARCH("ID_003",$N15))),1,0)</x:f>
        <x:v>0</x:v>
      </x:c>
      <x:c r="Y15" s="17" t="n">
        <x:f>IF(AND(NOT(ISNUMBER(SEARCH("ID_003",$M15))),ISNUMBER(SEARCH("ID_003",$N15))),1,0)</x:f>
        <x:v>0</x:v>
      </x:c>
      <x:c r="Z15" s="17" t="n">
        <x:f>IF(AND(ISNUMBER(SEARCH("ID_003",$M15)),NOT(ISNUMBER(SEARCH("ID_003",$N15)))),1,0)</x:f>
        <x:v>0</x:v>
      </x:c>
      <x:c r="AA15" s="17" t="n">
        <x:f>IF(AND(ISNUMBER(SEARCH("ID_004",$M15)),ISNUMBER(SEARCH("ID_004",$N15))),1,0)</x:f>
        <x:v>1</x:v>
      </x:c>
      <x:c r="AB15" s="17" t="n">
        <x:f>IF(AND(NOT(ISNUMBER(SEARCH("ID_004",$M15))),ISNUMBER(SEARCH("ID_004",$N15))),1,0)</x:f>
        <x:v>0</x:v>
      </x:c>
      <x:c r="AC15" s="17" t="n">
        <x:f>IF(AND(ISNUMBER(SEARCH("ID_004",$M15)),NOT(ISNUMBER(SEARCH("ID_004",$N15)))),1,0)</x:f>
        <x:v>0</x:v>
      </x:c>
      <x:c r="AD15" s="17" t="n">
        <x:f>IF(AND(ISNUMBER(SEARCH("ID_005",$M15)),ISNUMBER(SEARCH("ID_005",$N15))),1,0)</x:f>
        <x:v>0</x:v>
      </x:c>
      <x:c r="AE15" s="17" t="n">
        <x:f>IF(AND(NOT(ISNUMBER(SEARCH("ID_005",$M15))),ISNUMBER(SEARCH("ID_005",$N15))),1,0)</x:f>
        <x:v>0</x:v>
      </x:c>
      <x:c r="AF15" s="17" t="n">
        <x:f>IF(AND(ISNUMBER(SEARCH("ID_005",$M15)),NOT(ISNUMBER(SEARCH("ID_005",$N15)))),1,0)</x:f>
        <x:v>0</x:v>
      </x:c>
      <x:c r="AG15" s="17" t="n">
        <x:f>IF(AND(ISNUMBER(SEARCH("ID_006",$M15)),ISNUMBER(SEARCH("ID_006",$N15))),1,0)</x:f>
        <x:v>0</x:v>
      </x:c>
      <x:c r="AH15" s="17" t="n">
        <x:f>IF(AND(NOT(ISNUMBER(SEARCH("ID_006",$M15))),ISNUMBER(SEARCH("ID_006",$N15))),1,0)</x:f>
        <x:v>0</x:v>
      </x:c>
      <x:c r="AI15" s="17" t="n">
        <x:f>IF(AND(ISNUMBER(SEARCH("ID_006",$M15)),NOT(ISNUMBER(SEARCH("ID_006",$N15)))),1,0)</x:f>
        <x:v>0</x:v>
      </x:c>
      <x:c r="AJ15" s="17" t="n">
        <x:f>IF(AND(ISNUMBER(SEARCH("ID_007",$M15)),ISNUMBER(SEARCH("ID_007",$N15))),1,0)</x:f>
        <x:v>0</x:v>
      </x:c>
      <x:c r="AK15" s="17" t="n">
        <x:f>IF(AND(NOT(ISNUMBER(SEARCH("ID_007",$M15))),ISNUMBER(SEARCH("ID_007",$N15))),1,0)</x:f>
        <x:v>0</x:v>
      </x:c>
      <x:c r="AL15" s="17" t="n">
        <x:f>IF(AND(ISNUMBER(SEARCH("ID_007",$M15)),NOT(ISNUMBER(SEARCH("ID_007",$N15)))),1,0)</x:f>
        <x:v>0</x:v>
      </x:c>
      <x:c r="AM15" s="17" t="n">
        <x:f>IF(AND(ISNUMBER(SEARCH("ID_008",$M15)),ISNUMBER(SEARCH("ID_008",$N15))),1,0)</x:f>
        <x:v>0</x:v>
      </x:c>
      <x:c r="AN15" s="17" t="n">
        <x:f>IF(AND(NOT(ISNUMBER(SEARCH("ID_008",$M15))),ISNUMBER(SEARCH("ID_008",$N15))),1,0)</x:f>
        <x:v>0</x:v>
      </x:c>
      <x:c r="AO15" s="17" t="n">
        <x:f>IF(AND(ISNUMBER(SEARCH("ID_008",$M15)),NOT(ISNUMBER(SEARCH("ID_008",$N15)))),1,0)</x:f>
        <x:v>0</x:v>
      </x:c>
      <x:c r="AP15" s="17" t="n">
        <x:f>IF(AND(ISNUMBER(SEARCH("ID_009",$M15)),ISNUMBER(SEARCH("ID_009",$N15))),1,0)</x:f>
        <x:v>0</x:v>
      </x:c>
      <x:c r="AQ15" s="17" t="n">
        <x:f>IF(AND(NOT(ISNUMBER(SEARCH("ID_009",$M15))),ISNUMBER(SEARCH("ID_009",$N15))),1,0)</x:f>
        <x:v>0</x:v>
      </x:c>
      <x:c r="AR15" s="17" t="n">
        <x:f>IF(AND(ISNUMBER(SEARCH("ID_009",$M15)),NOT(ISNUMBER(SEARCH("ID_009",$N15)))),1,0)</x:f>
        <x:v>0</x:v>
      </x:c>
    </x:row>
    <x:row r="16">
      <x:c r="J16" s="17" t="str">
        <x:v>表格</x:v>
      </x:c>
      <x:c r="K16" s="17" t="str">
        <x:v>row16</x:v>
      </x:c>
      <x:c r="L16" s="29" t="n">
        <x:v>0.89</x:v>
      </x:c>
      <x:c r="M16" s="17" t="str">
        <x:v>ID_002,ID_003</x:v>
      </x:c>
      <x:c r="N16" s="17" t="str">
        <x:v>ID_001,ID_002,ID_003</x:v>
      </x:c>
      <x:c r="O16" s="17" t="n">
        <x:f>IF(AND(ISNUMBER(SEARCH("ID_000",$M16)),ISNUMBER(SEARCH("ID_000",$N16))),1,0)</x:f>
        <x:v>0</x:v>
      </x:c>
      <x:c r="P16" s="17" t="n">
        <x:f>IF(AND(NOT(ISNUMBER(SEARCH("ID_000",$M16))),ISNUMBER(SEARCH("ID_000",$N16))),1,0)</x:f>
        <x:v>0</x:v>
      </x:c>
      <x:c r="Q16" s="17" t="n">
        <x:f>IF(AND(ISNUMBER(SEARCH("ID_000",$M16)),NOT(ISNUMBER(SEARCH("ID_000",$N16)))),1,0)</x:f>
        <x:v>0</x:v>
      </x:c>
      <x:c r="R16" s="17" t="n">
        <x:f>IF(AND(ISNUMBER(SEARCH("ID_001",$M16)),ISNUMBER(SEARCH("ID_001",$N16))),1,0)</x:f>
        <x:v>0</x:v>
      </x:c>
      <x:c r="S16" s="17" t="n">
        <x:f>IF(AND(NOT(ISNUMBER(SEARCH("ID_001",$M16))),ISNUMBER(SEARCH("ID_001",$N16))),1,0)</x:f>
        <x:v>1</x:v>
      </x:c>
      <x:c r="T16" s="17" t="n">
        <x:f>IF(AND(ISNUMBER(SEARCH("ID_001",$M16)),NOT(ISNUMBER(SEARCH("ID_001",$N16)))),1,0)</x:f>
        <x:v>0</x:v>
      </x:c>
      <x:c r="U16" s="17" t="n">
        <x:f>IF(AND(ISNUMBER(SEARCH("ID_002",$M16)),ISNUMBER(SEARCH("ID_002",$N16))),1,0)</x:f>
        <x:v>1</x:v>
      </x:c>
      <x:c r="V16" s="17" t="n">
        <x:f>IF(AND(NOT(ISNUMBER(SEARCH("ID_002",$M16))),ISNUMBER(SEARCH("ID_002",$N16))),1,0)</x:f>
        <x:v>0</x:v>
      </x:c>
      <x:c r="W16" s="17" t="n">
        <x:f>IF(AND(ISNUMBER(SEARCH("ID_002",$M16)),NOT(ISNUMBER(SEARCH("ID_002",$N16)))),1,0)</x:f>
        <x:v>0</x:v>
      </x:c>
      <x:c r="X16" s="17" t="n">
        <x:f>IF(AND(ISNUMBER(SEARCH("ID_003",$M16)),ISNUMBER(SEARCH("ID_003",$N16))),1,0)</x:f>
        <x:v>1</x:v>
      </x:c>
      <x:c r="Y16" s="17" t="n">
        <x:f>IF(AND(NOT(ISNUMBER(SEARCH("ID_003",$M16))),ISNUMBER(SEARCH("ID_003",$N16))),1,0)</x:f>
        <x:v>0</x:v>
      </x:c>
      <x:c r="Z16" s="17" t="n">
        <x:f>IF(AND(ISNUMBER(SEARCH("ID_003",$M16)),NOT(ISNUMBER(SEARCH("ID_003",$N16)))),1,0)</x:f>
        <x:v>0</x:v>
      </x:c>
      <x:c r="AA16" s="17" t="n">
        <x:f>IF(AND(ISNUMBER(SEARCH("ID_004",$M16)),ISNUMBER(SEARCH("ID_004",$N16))),1,0)</x:f>
        <x:v>0</x:v>
      </x:c>
      <x:c r="AB16" s="17" t="n">
        <x:f>IF(AND(NOT(ISNUMBER(SEARCH("ID_004",$M16))),ISNUMBER(SEARCH("ID_004",$N16))),1,0)</x:f>
        <x:v>0</x:v>
      </x:c>
      <x:c r="AC16" s="17" t="n">
        <x:f>IF(AND(ISNUMBER(SEARCH("ID_004",$M16)),NOT(ISNUMBER(SEARCH("ID_004",$N16)))),1,0)</x:f>
        <x:v>0</x:v>
      </x:c>
      <x:c r="AD16" s="17" t="n">
        <x:f>IF(AND(ISNUMBER(SEARCH("ID_005",$M16)),ISNUMBER(SEARCH("ID_005",$N16))),1,0)</x:f>
        <x:v>0</x:v>
      </x:c>
      <x:c r="AE16" s="17" t="n">
        <x:f>IF(AND(NOT(ISNUMBER(SEARCH("ID_005",$M16))),ISNUMBER(SEARCH("ID_005",$N16))),1,0)</x:f>
        <x:v>0</x:v>
      </x:c>
      <x:c r="AF16" s="17" t="n">
        <x:f>IF(AND(ISNUMBER(SEARCH("ID_005",$M16)),NOT(ISNUMBER(SEARCH("ID_005",$N16)))),1,0)</x:f>
        <x:v>0</x:v>
      </x:c>
      <x:c r="AG16" s="17" t="n">
        <x:f>IF(AND(ISNUMBER(SEARCH("ID_006",$M16)),ISNUMBER(SEARCH("ID_006",$N16))),1,0)</x:f>
        <x:v>0</x:v>
      </x:c>
      <x:c r="AH16" s="17" t="n">
        <x:f>IF(AND(NOT(ISNUMBER(SEARCH("ID_006",$M16))),ISNUMBER(SEARCH("ID_006",$N16))),1,0)</x:f>
        <x:v>0</x:v>
      </x:c>
      <x:c r="AI16" s="17" t="n">
        <x:f>IF(AND(ISNUMBER(SEARCH("ID_006",$M16)),NOT(ISNUMBER(SEARCH("ID_006",$N16)))),1,0)</x:f>
        <x:v>0</x:v>
      </x:c>
      <x:c r="AJ16" s="17" t="n">
        <x:f>IF(AND(ISNUMBER(SEARCH("ID_007",$M16)),ISNUMBER(SEARCH("ID_007",$N16))),1,0)</x:f>
        <x:v>0</x:v>
      </x:c>
      <x:c r="AK16" s="17" t="n">
        <x:f>IF(AND(NOT(ISNUMBER(SEARCH("ID_007",$M16))),ISNUMBER(SEARCH("ID_007",$N16))),1,0)</x:f>
        <x:v>0</x:v>
      </x:c>
      <x:c r="AL16" s="17" t="n">
        <x:f>IF(AND(ISNUMBER(SEARCH("ID_007",$M16)),NOT(ISNUMBER(SEARCH("ID_007",$N16)))),1,0)</x:f>
        <x:v>0</x:v>
      </x:c>
      <x:c r="AM16" s="17" t="n">
        <x:f>IF(AND(ISNUMBER(SEARCH("ID_008",$M16)),ISNUMBER(SEARCH("ID_008",$N16))),1,0)</x:f>
        <x:v>0</x:v>
      </x:c>
      <x:c r="AN16" s="17" t="n">
        <x:f>IF(AND(NOT(ISNUMBER(SEARCH("ID_008",$M16))),ISNUMBER(SEARCH("ID_008",$N16))),1,0)</x:f>
        <x:v>0</x:v>
      </x:c>
      <x:c r="AO16" s="17" t="n">
        <x:f>IF(AND(ISNUMBER(SEARCH("ID_008",$M16)),NOT(ISNUMBER(SEARCH("ID_008",$N16)))),1,0)</x:f>
        <x:v>0</x:v>
      </x:c>
      <x:c r="AP16" s="17" t="n">
        <x:f>IF(AND(ISNUMBER(SEARCH("ID_009",$M16)),ISNUMBER(SEARCH("ID_009",$N16))),1,0)</x:f>
        <x:v>0</x:v>
      </x:c>
      <x:c r="AQ16" s="17" t="n">
        <x:f>IF(AND(NOT(ISNUMBER(SEARCH("ID_009",$M16))),ISNUMBER(SEARCH("ID_009",$N16))),1,0)</x:f>
        <x:v>0</x:v>
      </x:c>
      <x:c r="AR16" s="17" t="n">
        <x:f>IF(AND(ISNUMBER(SEARCH("ID_009",$M16)),NOT(ISNUMBER(SEARCH("ID_009",$N16)))),1,0)</x:f>
        <x:v>0</x:v>
      </x:c>
    </x:row>
    <x:row r="17">
      <x:c r="J17" s="17" t="str">
        <x:v>表格</x:v>
      </x:c>
      <x:c r="K17" s="17" t="str">
        <x:v>row17</x:v>
      </x:c>
      <x:c r="L17" s="29" t="n">
        <x:v>2.04</x:v>
      </x:c>
      <x:c r="M17" s="17" t="str">
        <x:v>ID_006,ID_007</x:v>
      </x:c>
      <x:c r="N17" s="17" t="str">
        <x:v>ID_006,ID_007</x:v>
      </x:c>
      <x:c r="O17" s="17" t="n">
        <x:f>IF(AND(ISNUMBER(SEARCH("ID_000",$M17)),ISNUMBER(SEARCH("ID_000",$N17))),1,0)</x:f>
        <x:v>0</x:v>
      </x:c>
      <x:c r="P17" s="17" t="n">
        <x:f>IF(AND(NOT(ISNUMBER(SEARCH("ID_000",$M17))),ISNUMBER(SEARCH("ID_000",$N17))),1,0)</x:f>
        <x:v>0</x:v>
      </x:c>
      <x:c r="Q17" s="17" t="n">
        <x:f>IF(AND(ISNUMBER(SEARCH("ID_000",$M17)),NOT(ISNUMBER(SEARCH("ID_000",$N17)))),1,0)</x:f>
        <x:v>0</x:v>
      </x:c>
      <x:c r="R17" s="17" t="n">
        <x:f>IF(AND(ISNUMBER(SEARCH("ID_001",$M17)),ISNUMBER(SEARCH("ID_001",$N17))),1,0)</x:f>
        <x:v>0</x:v>
      </x:c>
      <x:c r="S17" s="17" t="n">
        <x:f>IF(AND(NOT(ISNUMBER(SEARCH("ID_001",$M17))),ISNUMBER(SEARCH("ID_001",$N17))),1,0)</x:f>
        <x:v>0</x:v>
      </x:c>
      <x:c r="T17" s="17" t="n">
        <x:f>IF(AND(ISNUMBER(SEARCH("ID_001",$M17)),NOT(ISNUMBER(SEARCH("ID_001",$N17)))),1,0)</x:f>
        <x:v>0</x:v>
      </x:c>
      <x:c r="U17" s="17" t="n">
        <x:f>IF(AND(ISNUMBER(SEARCH("ID_002",$M17)),ISNUMBER(SEARCH("ID_002",$N17))),1,0)</x:f>
        <x:v>0</x:v>
      </x:c>
      <x:c r="V17" s="17" t="n">
        <x:f>IF(AND(NOT(ISNUMBER(SEARCH("ID_002",$M17))),ISNUMBER(SEARCH("ID_002",$N17))),1,0)</x:f>
        <x:v>0</x:v>
      </x:c>
      <x:c r="W17" s="17" t="n">
        <x:f>IF(AND(ISNUMBER(SEARCH("ID_002",$M17)),NOT(ISNUMBER(SEARCH("ID_002",$N17)))),1,0)</x:f>
        <x:v>0</x:v>
      </x:c>
      <x:c r="X17" s="17" t="n">
        <x:f>IF(AND(ISNUMBER(SEARCH("ID_003",$M17)),ISNUMBER(SEARCH("ID_003",$N17))),1,0)</x:f>
        <x:v>0</x:v>
      </x:c>
      <x:c r="Y17" s="17" t="n">
        <x:f>IF(AND(NOT(ISNUMBER(SEARCH("ID_003",$M17))),ISNUMBER(SEARCH("ID_003",$N17))),1,0)</x:f>
        <x:v>0</x:v>
      </x:c>
      <x:c r="Z17" s="17" t="n">
        <x:f>IF(AND(ISNUMBER(SEARCH("ID_003",$M17)),NOT(ISNUMBER(SEARCH("ID_003",$N17)))),1,0)</x:f>
        <x:v>0</x:v>
      </x:c>
      <x:c r="AA17" s="17" t="n">
        <x:f>IF(AND(ISNUMBER(SEARCH("ID_004",$M17)),ISNUMBER(SEARCH("ID_004",$N17))),1,0)</x:f>
        <x:v>0</x:v>
      </x:c>
      <x:c r="AB17" s="17" t="n">
        <x:f>IF(AND(NOT(ISNUMBER(SEARCH("ID_004",$M17))),ISNUMBER(SEARCH("ID_004",$N17))),1,0)</x:f>
        <x:v>0</x:v>
      </x:c>
      <x:c r="AC17" s="17" t="n">
        <x:f>IF(AND(ISNUMBER(SEARCH("ID_004",$M17)),NOT(ISNUMBER(SEARCH("ID_004",$N17)))),1,0)</x:f>
        <x:v>0</x:v>
      </x:c>
      <x:c r="AD17" s="17" t="n">
        <x:f>IF(AND(ISNUMBER(SEARCH("ID_005",$M17)),ISNUMBER(SEARCH("ID_005",$N17))),1,0)</x:f>
        <x:v>0</x:v>
      </x:c>
      <x:c r="AE17" s="17" t="n">
        <x:f>IF(AND(NOT(ISNUMBER(SEARCH("ID_005",$M17))),ISNUMBER(SEARCH("ID_005",$N17))),1,0)</x:f>
        <x:v>0</x:v>
      </x:c>
      <x:c r="AF17" s="17" t="n">
        <x:f>IF(AND(ISNUMBER(SEARCH("ID_005",$M17)),NOT(ISNUMBER(SEARCH("ID_005",$N17)))),1,0)</x:f>
        <x:v>0</x:v>
      </x:c>
      <x:c r="AG17" s="17" t="n">
        <x:f>IF(AND(ISNUMBER(SEARCH("ID_006",$M17)),ISNUMBER(SEARCH("ID_006",$N17))),1,0)</x:f>
        <x:v>1</x:v>
      </x:c>
      <x:c r="AH17" s="17" t="n">
        <x:f>IF(AND(NOT(ISNUMBER(SEARCH("ID_006",$M17))),ISNUMBER(SEARCH("ID_006",$N17))),1,0)</x:f>
        <x:v>0</x:v>
      </x:c>
      <x:c r="AI17" s="17" t="n">
        <x:f>IF(AND(ISNUMBER(SEARCH("ID_006",$M17)),NOT(ISNUMBER(SEARCH("ID_006",$N17)))),1,0)</x:f>
        <x:v>0</x:v>
      </x:c>
      <x:c r="AJ17" s="17" t="n">
        <x:f>IF(AND(ISNUMBER(SEARCH("ID_007",$M17)),ISNUMBER(SEARCH("ID_007",$N17))),1,0)</x:f>
        <x:v>1</x:v>
      </x:c>
      <x:c r="AK17" s="17" t="n">
        <x:f>IF(AND(NOT(ISNUMBER(SEARCH("ID_007",$M17))),ISNUMBER(SEARCH("ID_007",$N17))),1,0)</x:f>
        <x:v>0</x:v>
      </x:c>
      <x:c r="AL17" s="17" t="n">
        <x:f>IF(AND(ISNUMBER(SEARCH("ID_007",$M17)),NOT(ISNUMBER(SEARCH("ID_007",$N17)))),1,0)</x:f>
        <x:v>0</x:v>
      </x:c>
      <x:c r="AM17" s="17" t="n">
        <x:f>IF(AND(ISNUMBER(SEARCH("ID_008",$M17)),ISNUMBER(SEARCH("ID_008",$N17))),1,0)</x:f>
        <x:v>0</x:v>
      </x:c>
      <x:c r="AN17" s="17" t="n">
        <x:f>IF(AND(NOT(ISNUMBER(SEARCH("ID_008",$M17))),ISNUMBER(SEARCH("ID_008",$N17))),1,0)</x:f>
        <x:v>0</x:v>
      </x:c>
      <x:c r="AO17" s="17" t="n">
        <x:f>IF(AND(ISNUMBER(SEARCH("ID_008",$M17)),NOT(ISNUMBER(SEARCH("ID_008",$N17)))),1,0)</x:f>
        <x:v>0</x:v>
      </x:c>
      <x:c r="AP17" s="17" t="n">
        <x:f>IF(AND(ISNUMBER(SEARCH("ID_009",$M17)),ISNUMBER(SEARCH("ID_009",$N17))),1,0)</x:f>
        <x:v>0</x:v>
      </x:c>
      <x:c r="AQ17" s="17" t="n">
        <x:f>IF(AND(NOT(ISNUMBER(SEARCH("ID_009",$M17))),ISNUMBER(SEARCH("ID_009",$N17))),1,0)</x:f>
        <x:v>0</x:v>
      </x:c>
      <x:c r="AR17" s="17" t="n">
        <x:f>IF(AND(ISNUMBER(SEARCH("ID_009",$M17)),NOT(ISNUMBER(SEARCH("ID_009",$N17)))),1,0)</x:f>
        <x:v>0</x:v>
      </x:c>
    </x:row>
    <x:row r="18">
      <x:c r="J18" s="17" t="str">
        <x:v>表格</x:v>
      </x:c>
      <x:c r="K18" s="17" t="str">
        <x:v>row18</x:v>
      </x:c>
      <x:c r="L18" s="29" t="n">
        <x:v>1.04</x:v>
      </x:c>
      <x:c r="M18" s="17" t="str">
        <x:v>ID_002</x:v>
      </x:c>
      <x:c r="N18" s="17" t="str">
        <x:v>ID_002</x:v>
      </x:c>
      <x:c r="O18" s="17" t="n">
        <x:f>IF(AND(ISNUMBER(SEARCH("ID_000",$M18)),ISNUMBER(SEARCH("ID_000",$N18))),1,0)</x:f>
        <x:v>0</x:v>
      </x:c>
      <x:c r="P18" s="17" t="n">
        <x:f>IF(AND(NOT(ISNUMBER(SEARCH("ID_000",$M18))),ISNUMBER(SEARCH("ID_000",$N18))),1,0)</x:f>
        <x:v>0</x:v>
      </x:c>
      <x:c r="Q18" s="17" t="n">
        <x:f>IF(AND(ISNUMBER(SEARCH("ID_000",$M18)),NOT(ISNUMBER(SEARCH("ID_000",$N18)))),1,0)</x:f>
        <x:v>0</x:v>
      </x:c>
      <x:c r="R18" s="17" t="n">
        <x:f>IF(AND(ISNUMBER(SEARCH("ID_001",$M18)),ISNUMBER(SEARCH("ID_001",$N18))),1,0)</x:f>
        <x:v>0</x:v>
      </x:c>
      <x:c r="S18" s="17" t="n">
        <x:f>IF(AND(NOT(ISNUMBER(SEARCH("ID_001",$M18))),ISNUMBER(SEARCH("ID_001",$N18))),1,0)</x:f>
        <x:v>0</x:v>
      </x:c>
      <x:c r="T18" s="17" t="n">
        <x:f>IF(AND(ISNUMBER(SEARCH("ID_001",$M18)),NOT(ISNUMBER(SEARCH("ID_001",$N18)))),1,0)</x:f>
        <x:v>0</x:v>
      </x:c>
      <x:c r="U18" s="17" t="n">
        <x:f>IF(AND(ISNUMBER(SEARCH("ID_002",$M18)),ISNUMBER(SEARCH("ID_002",$N18))),1,0)</x:f>
        <x:v>1</x:v>
      </x:c>
      <x:c r="V18" s="17" t="n">
        <x:f>IF(AND(NOT(ISNUMBER(SEARCH("ID_002",$M18))),ISNUMBER(SEARCH("ID_002",$N18))),1,0)</x:f>
        <x:v>0</x:v>
      </x:c>
      <x:c r="W18" s="17" t="n">
        <x:f>IF(AND(ISNUMBER(SEARCH("ID_002",$M18)),NOT(ISNUMBER(SEARCH("ID_002",$N18)))),1,0)</x:f>
        <x:v>0</x:v>
      </x:c>
      <x:c r="X18" s="17" t="n">
        <x:f>IF(AND(ISNUMBER(SEARCH("ID_003",$M18)),ISNUMBER(SEARCH("ID_003",$N18))),1,0)</x:f>
        <x:v>0</x:v>
      </x:c>
      <x:c r="Y18" s="17" t="n">
        <x:f>IF(AND(NOT(ISNUMBER(SEARCH("ID_003",$M18))),ISNUMBER(SEARCH("ID_003",$N18))),1,0)</x:f>
        <x:v>0</x:v>
      </x:c>
      <x:c r="Z18" s="17" t="n">
        <x:f>IF(AND(ISNUMBER(SEARCH("ID_003",$M18)),NOT(ISNUMBER(SEARCH("ID_003",$N18)))),1,0)</x:f>
        <x:v>0</x:v>
      </x:c>
      <x:c r="AA18" s="17" t="n">
        <x:f>IF(AND(ISNUMBER(SEARCH("ID_004",$M18)),ISNUMBER(SEARCH("ID_004",$N18))),1,0)</x:f>
        <x:v>0</x:v>
      </x:c>
      <x:c r="AB18" s="17" t="n">
        <x:f>IF(AND(NOT(ISNUMBER(SEARCH("ID_004",$M18))),ISNUMBER(SEARCH("ID_004",$N18))),1,0)</x:f>
        <x:v>0</x:v>
      </x:c>
      <x:c r="AC18" s="17" t="n">
        <x:f>IF(AND(ISNUMBER(SEARCH("ID_004",$M18)),NOT(ISNUMBER(SEARCH("ID_004",$N18)))),1,0)</x:f>
        <x:v>0</x:v>
      </x:c>
      <x:c r="AD18" s="17" t="n">
        <x:f>IF(AND(ISNUMBER(SEARCH("ID_005",$M18)),ISNUMBER(SEARCH("ID_005",$N18))),1,0)</x:f>
        <x:v>0</x:v>
      </x:c>
      <x:c r="AE18" s="17" t="n">
        <x:f>IF(AND(NOT(ISNUMBER(SEARCH("ID_005",$M18))),ISNUMBER(SEARCH("ID_005",$N18))),1,0)</x:f>
        <x:v>0</x:v>
      </x:c>
      <x:c r="AF18" s="17" t="n">
        <x:f>IF(AND(ISNUMBER(SEARCH("ID_005",$M18)),NOT(ISNUMBER(SEARCH("ID_005",$N18)))),1,0)</x:f>
        <x:v>0</x:v>
      </x:c>
      <x:c r="AG18" s="17" t="n">
        <x:f>IF(AND(ISNUMBER(SEARCH("ID_006",$M18)),ISNUMBER(SEARCH("ID_006",$N18))),1,0)</x:f>
        <x:v>0</x:v>
      </x:c>
      <x:c r="AH18" s="17" t="n">
        <x:f>IF(AND(NOT(ISNUMBER(SEARCH("ID_006",$M18))),ISNUMBER(SEARCH("ID_006",$N18))),1,0)</x:f>
        <x:v>0</x:v>
      </x:c>
      <x:c r="AI18" s="17" t="n">
        <x:f>IF(AND(ISNUMBER(SEARCH("ID_006",$M18)),NOT(ISNUMBER(SEARCH("ID_006",$N18)))),1,0)</x:f>
        <x:v>0</x:v>
      </x:c>
      <x:c r="AJ18" s="17" t="n">
        <x:f>IF(AND(ISNUMBER(SEARCH("ID_007",$M18)),ISNUMBER(SEARCH("ID_007",$N18))),1,0)</x:f>
        <x:v>0</x:v>
      </x:c>
      <x:c r="AK18" s="17" t="n">
        <x:f>IF(AND(NOT(ISNUMBER(SEARCH("ID_007",$M18))),ISNUMBER(SEARCH("ID_007",$N18))),1,0)</x:f>
        <x:v>0</x:v>
      </x:c>
      <x:c r="AL18" s="17" t="n">
        <x:f>IF(AND(ISNUMBER(SEARCH("ID_007",$M18)),NOT(ISNUMBER(SEARCH("ID_007",$N18)))),1,0)</x:f>
        <x:v>0</x:v>
      </x:c>
      <x:c r="AM18" s="17" t="n">
        <x:f>IF(AND(ISNUMBER(SEARCH("ID_008",$M18)),ISNUMBER(SEARCH("ID_008",$N18))),1,0)</x:f>
        <x:v>0</x:v>
      </x:c>
      <x:c r="AN18" s="17" t="n">
        <x:f>IF(AND(NOT(ISNUMBER(SEARCH("ID_008",$M18))),ISNUMBER(SEARCH("ID_008",$N18))),1,0)</x:f>
        <x:v>0</x:v>
      </x:c>
      <x:c r="AO18" s="17" t="n">
        <x:f>IF(AND(ISNUMBER(SEARCH("ID_008",$M18)),NOT(ISNUMBER(SEARCH("ID_008",$N18)))),1,0)</x:f>
        <x:v>0</x:v>
      </x:c>
      <x:c r="AP18" s="17" t="n">
        <x:f>IF(AND(ISNUMBER(SEARCH("ID_009",$M18)),ISNUMBER(SEARCH("ID_009",$N18))),1,0)</x:f>
        <x:v>0</x:v>
      </x:c>
      <x:c r="AQ18" s="17" t="n">
        <x:f>IF(AND(NOT(ISNUMBER(SEARCH("ID_009",$M18))),ISNUMBER(SEARCH("ID_009",$N18))),1,0)</x:f>
        <x:v>0</x:v>
      </x:c>
      <x:c r="AR18" s="17" t="n">
        <x:f>IF(AND(ISNUMBER(SEARCH("ID_009",$M18)),NOT(ISNUMBER(SEARCH("ID_009",$N18)))),1,0)</x:f>
        <x:v>0</x:v>
      </x:c>
    </x:row>
    <x:row r="19">
      <x:c r="J19" s="17" t="str">
        <x:v>表格</x:v>
      </x:c>
      <x:c r="K19" s="17" t="str">
        <x:v>row19</x:v>
      </x:c>
      <x:c r="L19" s="29" t="n">
        <x:v>0.75</x:v>
      </x:c>
      <x:c r="M19" s="17" t="str">
        <x:v>ID_004</x:v>
      </x:c>
      <x:c r="N19" s="17" t="str">
        <x:v>ID_004</x:v>
      </x:c>
      <x:c r="O19" s="17" t="n">
        <x:f>IF(AND(ISNUMBER(SEARCH("ID_000",$M19)),ISNUMBER(SEARCH("ID_000",$N19))),1,0)</x:f>
        <x:v>0</x:v>
      </x:c>
      <x:c r="P19" s="17" t="n">
        <x:f>IF(AND(NOT(ISNUMBER(SEARCH("ID_000",$M19))),ISNUMBER(SEARCH("ID_000",$N19))),1,0)</x:f>
        <x:v>0</x:v>
      </x:c>
      <x:c r="Q19" s="17" t="n">
        <x:f>IF(AND(ISNUMBER(SEARCH("ID_000",$M19)),NOT(ISNUMBER(SEARCH("ID_000",$N19)))),1,0)</x:f>
        <x:v>0</x:v>
      </x:c>
      <x:c r="R19" s="17" t="n">
        <x:f>IF(AND(ISNUMBER(SEARCH("ID_001",$M19)),ISNUMBER(SEARCH("ID_001",$N19))),1,0)</x:f>
        <x:v>0</x:v>
      </x:c>
      <x:c r="S19" s="17" t="n">
        <x:f>IF(AND(NOT(ISNUMBER(SEARCH("ID_001",$M19))),ISNUMBER(SEARCH("ID_001",$N19))),1,0)</x:f>
        <x:v>0</x:v>
      </x:c>
      <x:c r="T19" s="17" t="n">
        <x:f>IF(AND(ISNUMBER(SEARCH("ID_001",$M19)),NOT(ISNUMBER(SEARCH("ID_001",$N19)))),1,0)</x:f>
        <x:v>0</x:v>
      </x:c>
      <x:c r="U19" s="17" t="n">
        <x:f>IF(AND(ISNUMBER(SEARCH("ID_002",$M19)),ISNUMBER(SEARCH("ID_002",$N19))),1,0)</x:f>
        <x:v>0</x:v>
      </x:c>
      <x:c r="V19" s="17" t="n">
        <x:f>IF(AND(NOT(ISNUMBER(SEARCH("ID_002",$M19))),ISNUMBER(SEARCH("ID_002",$N19))),1,0)</x:f>
        <x:v>0</x:v>
      </x:c>
      <x:c r="W19" s="17" t="n">
        <x:f>IF(AND(ISNUMBER(SEARCH("ID_002",$M19)),NOT(ISNUMBER(SEARCH("ID_002",$N19)))),1,0)</x:f>
        <x:v>0</x:v>
      </x:c>
      <x:c r="X19" s="17" t="n">
        <x:f>IF(AND(ISNUMBER(SEARCH("ID_003",$M19)),ISNUMBER(SEARCH("ID_003",$N19))),1,0)</x:f>
        <x:v>0</x:v>
      </x:c>
      <x:c r="Y19" s="17" t="n">
        <x:f>IF(AND(NOT(ISNUMBER(SEARCH("ID_003",$M19))),ISNUMBER(SEARCH("ID_003",$N19))),1,0)</x:f>
        <x:v>0</x:v>
      </x:c>
      <x:c r="Z19" s="17" t="n">
        <x:f>IF(AND(ISNUMBER(SEARCH("ID_003",$M19)),NOT(ISNUMBER(SEARCH("ID_003",$N19)))),1,0)</x:f>
        <x:v>0</x:v>
      </x:c>
      <x:c r="AA19" s="17" t="n">
        <x:f>IF(AND(ISNUMBER(SEARCH("ID_004",$M19)),ISNUMBER(SEARCH("ID_004",$N19))),1,0)</x:f>
        <x:v>1</x:v>
      </x:c>
      <x:c r="AB19" s="17" t="n">
        <x:f>IF(AND(NOT(ISNUMBER(SEARCH("ID_004",$M19))),ISNUMBER(SEARCH("ID_004",$N19))),1,0)</x:f>
        <x:v>0</x:v>
      </x:c>
      <x:c r="AC19" s="17" t="n">
        <x:f>IF(AND(ISNUMBER(SEARCH("ID_004",$M19)),NOT(ISNUMBER(SEARCH("ID_004",$N19)))),1,0)</x:f>
        <x:v>0</x:v>
      </x:c>
      <x:c r="AD19" s="17" t="n">
        <x:f>IF(AND(ISNUMBER(SEARCH("ID_005",$M19)),ISNUMBER(SEARCH("ID_005",$N19))),1,0)</x:f>
        <x:v>0</x:v>
      </x:c>
      <x:c r="AE19" s="17" t="n">
        <x:f>IF(AND(NOT(ISNUMBER(SEARCH("ID_005",$M19))),ISNUMBER(SEARCH("ID_005",$N19))),1,0)</x:f>
        <x:v>0</x:v>
      </x:c>
      <x:c r="AF19" s="17" t="n">
        <x:f>IF(AND(ISNUMBER(SEARCH("ID_005",$M19)),NOT(ISNUMBER(SEARCH("ID_005",$N19)))),1,0)</x:f>
        <x:v>0</x:v>
      </x:c>
      <x:c r="AG19" s="17" t="n">
        <x:f>IF(AND(ISNUMBER(SEARCH("ID_006",$M19)),ISNUMBER(SEARCH("ID_006",$N19))),1,0)</x:f>
        <x:v>0</x:v>
      </x:c>
      <x:c r="AH19" s="17" t="n">
        <x:f>IF(AND(NOT(ISNUMBER(SEARCH("ID_006",$M19))),ISNUMBER(SEARCH("ID_006",$N19))),1,0)</x:f>
        <x:v>0</x:v>
      </x:c>
      <x:c r="AI19" s="17" t="n">
        <x:f>IF(AND(ISNUMBER(SEARCH("ID_006",$M19)),NOT(ISNUMBER(SEARCH("ID_006",$N19)))),1,0)</x:f>
        <x:v>0</x:v>
      </x:c>
      <x:c r="AJ19" s="17" t="n">
        <x:f>IF(AND(ISNUMBER(SEARCH("ID_007",$M19)),ISNUMBER(SEARCH("ID_007",$N19))),1,0)</x:f>
        <x:v>0</x:v>
      </x:c>
      <x:c r="AK19" s="17" t="n">
        <x:f>IF(AND(NOT(ISNUMBER(SEARCH("ID_007",$M19))),ISNUMBER(SEARCH("ID_007",$N19))),1,0)</x:f>
        <x:v>0</x:v>
      </x:c>
      <x:c r="AL19" s="17" t="n">
        <x:f>IF(AND(ISNUMBER(SEARCH("ID_007",$M19)),NOT(ISNUMBER(SEARCH("ID_007",$N19)))),1,0)</x:f>
        <x:v>0</x:v>
      </x:c>
      <x:c r="AM19" s="17" t="n">
        <x:f>IF(AND(ISNUMBER(SEARCH("ID_008",$M19)),ISNUMBER(SEARCH("ID_008",$N19))),1,0)</x:f>
        <x:v>0</x:v>
      </x:c>
      <x:c r="AN19" s="17" t="n">
        <x:f>IF(AND(NOT(ISNUMBER(SEARCH("ID_008",$M19))),ISNUMBER(SEARCH("ID_008",$N19))),1,0)</x:f>
        <x:v>0</x:v>
      </x:c>
      <x:c r="AO19" s="17" t="n">
        <x:f>IF(AND(ISNUMBER(SEARCH("ID_008",$M19)),NOT(ISNUMBER(SEARCH("ID_008",$N19)))),1,0)</x:f>
        <x:v>0</x:v>
      </x:c>
      <x:c r="AP19" s="17" t="n">
        <x:f>IF(AND(ISNUMBER(SEARCH("ID_009",$M19)),ISNUMBER(SEARCH("ID_009",$N19))),1,0)</x:f>
        <x:v>0</x:v>
      </x:c>
      <x:c r="AQ19" s="17" t="n">
        <x:f>IF(AND(NOT(ISNUMBER(SEARCH("ID_009",$M19))),ISNUMBER(SEARCH("ID_009",$N19))),1,0)</x:f>
        <x:v>0</x:v>
      </x:c>
      <x:c r="AR19" s="17" t="n">
        <x:f>IF(AND(ISNUMBER(SEARCH("ID_009",$M19)),NOT(ISNUMBER(SEARCH("ID_009",$N19)))),1,0)</x:f>
        <x:v>0</x:v>
      </x:c>
    </x:row>
    <x:row r="20">
      <x:c r="J20" s="17" t="str">
        <x:v>表格</x:v>
      </x:c>
      <x:c r="K20" s="17" t="str">
        <x:v>row20</x:v>
      </x:c>
      <x:c r="L20" s="29" t="n">
        <x:v>1.6</x:v>
      </x:c>
      <x:c r="M20" s="17" t="str">
        <x:v>ID_000</x:v>
      </x:c>
      <x:c r="N20" s="17" t="str">
        <x:v>ID_000</x:v>
      </x:c>
      <x:c r="O20" s="17" t="n">
        <x:f>IF(AND(ISNUMBER(SEARCH("ID_000",$M20)),ISNUMBER(SEARCH("ID_000",$N20))),1,0)</x:f>
        <x:v>1</x:v>
      </x:c>
      <x:c r="P20" s="17" t="n">
        <x:f>IF(AND(NOT(ISNUMBER(SEARCH("ID_000",$M20))),ISNUMBER(SEARCH("ID_000",$N20))),1,0)</x:f>
        <x:v>0</x:v>
      </x:c>
      <x:c r="Q20" s="17" t="n">
        <x:f>IF(AND(ISNUMBER(SEARCH("ID_000",$M20)),NOT(ISNUMBER(SEARCH("ID_000",$N20)))),1,0)</x:f>
        <x:v>0</x:v>
      </x:c>
      <x:c r="R20" s="17" t="n">
        <x:f>IF(AND(ISNUMBER(SEARCH("ID_001",$M20)),ISNUMBER(SEARCH("ID_001",$N20))),1,0)</x:f>
        <x:v>0</x:v>
      </x:c>
      <x:c r="S20" s="17" t="n">
        <x:f>IF(AND(NOT(ISNUMBER(SEARCH("ID_001",$M20))),ISNUMBER(SEARCH("ID_001",$N20))),1,0)</x:f>
        <x:v>0</x:v>
      </x:c>
      <x:c r="T20" s="17" t="n">
        <x:f>IF(AND(ISNUMBER(SEARCH("ID_001",$M20)),NOT(ISNUMBER(SEARCH("ID_001",$N20)))),1,0)</x:f>
        <x:v>0</x:v>
      </x:c>
      <x:c r="U20" s="17" t="n">
        <x:f>IF(AND(ISNUMBER(SEARCH("ID_002",$M20)),ISNUMBER(SEARCH("ID_002",$N20))),1,0)</x:f>
        <x:v>0</x:v>
      </x:c>
      <x:c r="V20" s="17" t="n">
        <x:f>IF(AND(NOT(ISNUMBER(SEARCH("ID_002",$M20))),ISNUMBER(SEARCH("ID_002",$N20))),1,0)</x:f>
        <x:v>0</x:v>
      </x:c>
      <x:c r="W20" s="17" t="n">
        <x:f>IF(AND(ISNUMBER(SEARCH("ID_002",$M20)),NOT(ISNUMBER(SEARCH("ID_002",$N20)))),1,0)</x:f>
        <x:v>0</x:v>
      </x:c>
      <x:c r="X20" s="17" t="n">
        <x:f>IF(AND(ISNUMBER(SEARCH("ID_003",$M20)),ISNUMBER(SEARCH("ID_003",$N20))),1,0)</x:f>
        <x:v>0</x:v>
      </x:c>
      <x:c r="Y20" s="17" t="n">
        <x:f>IF(AND(NOT(ISNUMBER(SEARCH("ID_003",$M20))),ISNUMBER(SEARCH("ID_003",$N20))),1,0)</x:f>
        <x:v>0</x:v>
      </x:c>
      <x:c r="Z20" s="17" t="n">
        <x:f>IF(AND(ISNUMBER(SEARCH("ID_003",$M20)),NOT(ISNUMBER(SEARCH("ID_003",$N20)))),1,0)</x:f>
        <x:v>0</x:v>
      </x:c>
      <x:c r="AA20" s="17" t="n">
        <x:f>IF(AND(ISNUMBER(SEARCH("ID_004",$M20)),ISNUMBER(SEARCH("ID_004",$N20))),1,0)</x:f>
        <x:v>0</x:v>
      </x:c>
      <x:c r="AB20" s="17" t="n">
        <x:f>IF(AND(NOT(ISNUMBER(SEARCH("ID_004",$M20))),ISNUMBER(SEARCH("ID_004",$N20))),1,0)</x:f>
        <x:v>0</x:v>
      </x:c>
      <x:c r="AC20" s="17" t="n">
        <x:f>IF(AND(ISNUMBER(SEARCH("ID_004",$M20)),NOT(ISNUMBER(SEARCH("ID_004",$N20)))),1,0)</x:f>
        <x:v>0</x:v>
      </x:c>
      <x:c r="AD20" s="17" t="n">
        <x:f>IF(AND(ISNUMBER(SEARCH("ID_005",$M20)),ISNUMBER(SEARCH("ID_005",$N20))),1,0)</x:f>
        <x:v>0</x:v>
      </x:c>
      <x:c r="AE20" s="17" t="n">
        <x:f>IF(AND(NOT(ISNUMBER(SEARCH("ID_005",$M20))),ISNUMBER(SEARCH("ID_005",$N20))),1,0)</x:f>
        <x:v>0</x:v>
      </x:c>
      <x:c r="AF20" s="17" t="n">
        <x:f>IF(AND(ISNUMBER(SEARCH("ID_005",$M20)),NOT(ISNUMBER(SEARCH("ID_005",$N20)))),1,0)</x:f>
        <x:v>0</x:v>
      </x:c>
      <x:c r="AG20" s="17" t="n">
        <x:f>IF(AND(ISNUMBER(SEARCH("ID_006",$M20)),ISNUMBER(SEARCH("ID_006",$N20))),1,0)</x:f>
        <x:v>0</x:v>
      </x:c>
      <x:c r="AH20" s="17" t="n">
        <x:f>IF(AND(NOT(ISNUMBER(SEARCH("ID_006",$M20))),ISNUMBER(SEARCH("ID_006",$N20))),1,0)</x:f>
        <x:v>0</x:v>
      </x:c>
      <x:c r="AI20" s="17" t="n">
        <x:f>IF(AND(ISNUMBER(SEARCH("ID_006",$M20)),NOT(ISNUMBER(SEARCH("ID_006",$N20)))),1,0)</x:f>
        <x:v>0</x:v>
      </x:c>
      <x:c r="AJ20" s="17" t="n">
        <x:f>IF(AND(ISNUMBER(SEARCH("ID_007",$M20)),ISNUMBER(SEARCH("ID_007",$N20))),1,0)</x:f>
        <x:v>0</x:v>
      </x:c>
      <x:c r="AK20" s="17" t="n">
        <x:f>IF(AND(NOT(ISNUMBER(SEARCH("ID_007",$M20))),ISNUMBER(SEARCH("ID_007",$N20))),1,0)</x:f>
        <x:v>0</x:v>
      </x:c>
      <x:c r="AL20" s="17" t="n">
        <x:f>IF(AND(ISNUMBER(SEARCH("ID_007",$M20)),NOT(ISNUMBER(SEARCH("ID_007",$N20)))),1,0)</x:f>
        <x:v>0</x:v>
      </x:c>
      <x:c r="AM20" s="17" t="n">
        <x:f>IF(AND(ISNUMBER(SEARCH("ID_008",$M20)),ISNUMBER(SEARCH("ID_008",$N20))),1,0)</x:f>
        <x:v>0</x:v>
      </x:c>
      <x:c r="AN20" s="17" t="n">
        <x:f>IF(AND(NOT(ISNUMBER(SEARCH("ID_008",$M20))),ISNUMBER(SEARCH("ID_008",$N20))),1,0)</x:f>
        <x:v>0</x:v>
      </x:c>
      <x:c r="AO20" s="17" t="n">
        <x:f>IF(AND(ISNUMBER(SEARCH("ID_008",$M20)),NOT(ISNUMBER(SEARCH("ID_008",$N20)))),1,0)</x:f>
        <x:v>0</x:v>
      </x:c>
      <x:c r="AP20" s="17" t="n">
        <x:f>IF(AND(ISNUMBER(SEARCH("ID_009",$M20)),ISNUMBER(SEARCH("ID_009",$N20))),1,0)</x:f>
        <x:v>0</x:v>
      </x:c>
      <x:c r="AQ20" s="17" t="n">
        <x:f>IF(AND(NOT(ISNUMBER(SEARCH("ID_009",$M20))),ISNUMBER(SEARCH("ID_009",$N20))),1,0)</x:f>
        <x:v>0</x:v>
      </x:c>
      <x:c r="AR20" s="17" t="n">
        <x:f>IF(AND(ISNUMBER(SEARCH("ID_009",$M20)),NOT(ISNUMBER(SEARCH("ID_009",$N20)))),1,0)</x:f>
        <x:v>0</x:v>
      </x:c>
    </x:row>
    <x:row r="21">
      <x:c r="J21" s="17" t="str">
        <x:v>表格</x:v>
      </x:c>
      <x:c r="K21" s="17" t="str">
        <x:v>row21</x:v>
      </x:c>
      <x:c r="L21" s="29" t="n">
        <x:v>0.68</x:v>
      </x:c>
      <x:c r="M21" s="17" t="str">
        <x:v>ID_000</x:v>
      </x:c>
      <x:c r="N21" s="17" t="str">
        <x:v>ID_000</x:v>
      </x:c>
      <x:c r="O21" s="17" t="n">
        <x:f>IF(AND(ISNUMBER(SEARCH("ID_000",$M21)),ISNUMBER(SEARCH("ID_000",$N21))),1,0)</x:f>
        <x:v>1</x:v>
      </x:c>
      <x:c r="P21" s="17" t="n">
        <x:f>IF(AND(NOT(ISNUMBER(SEARCH("ID_000",$M21))),ISNUMBER(SEARCH("ID_000",$N21))),1,0)</x:f>
        <x:v>0</x:v>
      </x:c>
      <x:c r="Q21" s="17" t="n">
        <x:f>IF(AND(ISNUMBER(SEARCH("ID_000",$M21)),NOT(ISNUMBER(SEARCH("ID_000",$N21)))),1,0)</x:f>
        <x:v>0</x:v>
      </x:c>
      <x:c r="R21" s="17" t="n">
        <x:f>IF(AND(ISNUMBER(SEARCH("ID_001",$M21)),ISNUMBER(SEARCH("ID_001",$N21))),1,0)</x:f>
        <x:v>0</x:v>
      </x:c>
      <x:c r="S21" s="17" t="n">
        <x:f>IF(AND(NOT(ISNUMBER(SEARCH("ID_001",$M21))),ISNUMBER(SEARCH("ID_001",$N21))),1,0)</x:f>
        <x:v>0</x:v>
      </x:c>
      <x:c r="T21" s="17" t="n">
        <x:f>IF(AND(ISNUMBER(SEARCH("ID_001",$M21)),NOT(ISNUMBER(SEARCH("ID_001",$N21)))),1,0)</x:f>
        <x:v>0</x:v>
      </x:c>
      <x:c r="U21" s="17" t="n">
        <x:f>IF(AND(ISNUMBER(SEARCH("ID_002",$M21)),ISNUMBER(SEARCH("ID_002",$N21))),1,0)</x:f>
        <x:v>0</x:v>
      </x:c>
      <x:c r="V21" s="17" t="n">
        <x:f>IF(AND(NOT(ISNUMBER(SEARCH("ID_002",$M21))),ISNUMBER(SEARCH("ID_002",$N21))),1,0)</x:f>
        <x:v>0</x:v>
      </x:c>
      <x:c r="W21" s="17" t="n">
        <x:f>IF(AND(ISNUMBER(SEARCH("ID_002",$M21)),NOT(ISNUMBER(SEARCH("ID_002",$N21)))),1,0)</x:f>
        <x:v>0</x:v>
      </x:c>
      <x:c r="X21" s="17" t="n">
        <x:f>IF(AND(ISNUMBER(SEARCH("ID_003",$M21)),ISNUMBER(SEARCH("ID_003",$N21))),1,0)</x:f>
        <x:v>0</x:v>
      </x:c>
      <x:c r="Y21" s="17" t="n">
        <x:f>IF(AND(NOT(ISNUMBER(SEARCH("ID_003",$M21))),ISNUMBER(SEARCH("ID_003",$N21))),1,0)</x:f>
        <x:v>0</x:v>
      </x:c>
      <x:c r="Z21" s="17" t="n">
        <x:f>IF(AND(ISNUMBER(SEARCH("ID_003",$M21)),NOT(ISNUMBER(SEARCH("ID_003",$N21)))),1,0)</x:f>
        <x:v>0</x:v>
      </x:c>
      <x:c r="AA21" s="17" t="n">
        <x:f>IF(AND(ISNUMBER(SEARCH("ID_004",$M21)),ISNUMBER(SEARCH("ID_004",$N21))),1,0)</x:f>
        <x:v>0</x:v>
      </x:c>
      <x:c r="AB21" s="17" t="n">
        <x:f>IF(AND(NOT(ISNUMBER(SEARCH("ID_004",$M21))),ISNUMBER(SEARCH("ID_004",$N21))),1,0)</x:f>
        <x:v>0</x:v>
      </x:c>
      <x:c r="AC21" s="17" t="n">
        <x:f>IF(AND(ISNUMBER(SEARCH("ID_004",$M21)),NOT(ISNUMBER(SEARCH("ID_004",$N21)))),1,0)</x:f>
        <x:v>0</x:v>
      </x:c>
      <x:c r="AD21" s="17" t="n">
        <x:f>IF(AND(ISNUMBER(SEARCH("ID_005",$M21)),ISNUMBER(SEARCH("ID_005",$N21))),1,0)</x:f>
        <x:v>0</x:v>
      </x:c>
      <x:c r="AE21" s="17" t="n">
        <x:f>IF(AND(NOT(ISNUMBER(SEARCH("ID_005",$M21))),ISNUMBER(SEARCH("ID_005",$N21))),1,0)</x:f>
        <x:v>0</x:v>
      </x:c>
      <x:c r="AF21" s="17" t="n">
        <x:f>IF(AND(ISNUMBER(SEARCH("ID_005",$M21)),NOT(ISNUMBER(SEARCH("ID_005",$N21)))),1,0)</x:f>
        <x:v>0</x:v>
      </x:c>
      <x:c r="AG21" s="17" t="n">
        <x:f>IF(AND(ISNUMBER(SEARCH("ID_006",$M21)),ISNUMBER(SEARCH("ID_006",$N21))),1,0)</x:f>
        <x:v>0</x:v>
      </x:c>
      <x:c r="AH21" s="17" t="n">
        <x:f>IF(AND(NOT(ISNUMBER(SEARCH("ID_006",$M21))),ISNUMBER(SEARCH("ID_006",$N21))),1,0)</x:f>
        <x:v>0</x:v>
      </x:c>
      <x:c r="AI21" s="17" t="n">
        <x:f>IF(AND(ISNUMBER(SEARCH("ID_006",$M21)),NOT(ISNUMBER(SEARCH("ID_006",$N21)))),1,0)</x:f>
        <x:v>0</x:v>
      </x:c>
      <x:c r="AJ21" s="17" t="n">
        <x:f>IF(AND(ISNUMBER(SEARCH("ID_007",$M21)),ISNUMBER(SEARCH("ID_007",$N21))),1,0)</x:f>
        <x:v>0</x:v>
      </x:c>
      <x:c r="AK21" s="17" t="n">
        <x:f>IF(AND(NOT(ISNUMBER(SEARCH("ID_007",$M21))),ISNUMBER(SEARCH("ID_007",$N21))),1,0)</x:f>
        <x:v>0</x:v>
      </x:c>
      <x:c r="AL21" s="17" t="n">
        <x:f>IF(AND(ISNUMBER(SEARCH("ID_007",$M21)),NOT(ISNUMBER(SEARCH("ID_007",$N21)))),1,0)</x:f>
        <x:v>0</x:v>
      </x:c>
      <x:c r="AM21" s="17" t="n">
        <x:f>IF(AND(ISNUMBER(SEARCH("ID_008",$M21)),ISNUMBER(SEARCH("ID_008",$N21))),1,0)</x:f>
        <x:v>0</x:v>
      </x:c>
      <x:c r="AN21" s="17" t="n">
        <x:f>IF(AND(NOT(ISNUMBER(SEARCH("ID_008",$M21))),ISNUMBER(SEARCH("ID_008",$N21))),1,0)</x:f>
        <x:v>0</x:v>
      </x:c>
      <x:c r="AO21" s="17" t="n">
        <x:f>IF(AND(ISNUMBER(SEARCH("ID_008",$M21)),NOT(ISNUMBER(SEARCH("ID_008",$N21)))),1,0)</x:f>
        <x:v>0</x:v>
      </x:c>
      <x:c r="AP21" s="17" t="n">
        <x:f>IF(AND(ISNUMBER(SEARCH("ID_009",$M21)),ISNUMBER(SEARCH("ID_009",$N21))),1,0)</x:f>
        <x:v>0</x:v>
      </x:c>
      <x:c r="AQ21" s="17" t="n">
        <x:f>IF(AND(NOT(ISNUMBER(SEARCH("ID_009",$M21))),ISNUMBER(SEARCH("ID_009",$N21))),1,0)</x:f>
        <x:v>0</x:v>
      </x:c>
      <x:c r="AR21" s="17" t="n">
        <x:f>IF(AND(ISNUMBER(SEARCH("ID_009",$M21)),NOT(ISNUMBER(SEARCH("ID_009",$N21)))),1,0)</x:f>
        <x:v>0</x:v>
      </x:c>
    </x:row>
    <x:row r="22">
      <x:c r="J22" s="17" t="str">
        <x:v>表格</x:v>
      </x:c>
      <x:c r="K22" s="17" t="str">
        <x:v>row22</x:v>
      </x:c>
      <x:c r="L22" s="29" t="n">
        <x:v>1.75</x:v>
      </x:c>
      <x:c r="M22" s="17" t="str">
        <x:v>ID_006</x:v>
      </x:c>
      <x:c r="N22" s="17" t="str">
        <x:v>ID_000</x:v>
      </x:c>
      <x:c r="O22" s="17" t="n">
        <x:f>IF(AND(ISNUMBER(SEARCH("ID_000",$M22)),ISNUMBER(SEARCH("ID_000",$N22))),1,0)</x:f>
        <x:v>0</x:v>
      </x:c>
      <x:c r="P22" s="17" t="n">
        <x:f>IF(AND(NOT(ISNUMBER(SEARCH("ID_000",$M22))),ISNUMBER(SEARCH("ID_000",$N22))),1,0)</x:f>
        <x:v>1</x:v>
      </x:c>
      <x:c r="Q22" s="17" t="n">
        <x:f>IF(AND(ISNUMBER(SEARCH("ID_000",$M22)),NOT(ISNUMBER(SEARCH("ID_000",$N22)))),1,0)</x:f>
        <x:v>0</x:v>
      </x:c>
      <x:c r="R22" s="17" t="n">
        <x:f>IF(AND(ISNUMBER(SEARCH("ID_001",$M22)),ISNUMBER(SEARCH("ID_001",$N22))),1,0)</x:f>
        <x:v>0</x:v>
      </x:c>
      <x:c r="S22" s="17" t="n">
        <x:f>IF(AND(NOT(ISNUMBER(SEARCH("ID_001",$M22))),ISNUMBER(SEARCH("ID_001",$N22))),1,0)</x:f>
        <x:v>0</x:v>
      </x:c>
      <x:c r="T22" s="17" t="n">
        <x:f>IF(AND(ISNUMBER(SEARCH("ID_001",$M22)),NOT(ISNUMBER(SEARCH("ID_001",$N22)))),1,0)</x:f>
        <x:v>0</x:v>
      </x:c>
      <x:c r="U22" s="17" t="n">
        <x:f>IF(AND(ISNUMBER(SEARCH("ID_002",$M22)),ISNUMBER(SEARCH("ID_002",$N22))),1,0)</x:f>
        <x:v>0</x:v>
      </x:c>
      <x:c r="V22" s="17" t="n">
        <x:f>IF(AND(NOT(ISNUMBER(SEARCH("ID_002",$M22))),ISNUMBER(SEARCH("ID_002",$N22))),1,0)</x:f>
        <x:v>0</x:v>
      </x:c>
      <x:c r="W22" s="17" t="n">
        <x:f>IF(AND(ISNUMBER(SEARCH("ID_002",$M22)),NOT(ISNUMBER(SEARCH("ID_002",$N22)))),1,0)</x:f>
        <x:v>0</x:v>
      </x:c>
      <x:c r="X22" s="17" t="n">
        <x:f>IF(AND(ISNUMBER(SEARCH("ID_003",$M22)),ISNUMBER(SEARCH("ID_003",$N22))),1,0)</x:f>
        <x:v>0</x:v>
      </x:c>
      <x:c r="Y22" s="17" t="n">
        <x:f>IF(AND(NOT(ISNUMBER(SEARCH("ID_003",$M22))),ISNUMBER(SEARCH("ID_003",$N22))),1,0)</x:f>
        <x:v>0</x:v>
      </x:c>
      <x:c r="Z22" s="17" t="n">
        <x:f>IF(AND(ISNUMBER(SEARCH("ID_003",$M22)),NOT(ISNUMBER(SEARCH("ID_003",$N22)))),1,0)</x:f>
        <x:v>0</x:v>
      </x:c>
      <x:c r="AA22" s="17" t="n">
        <x:f>IF(AND(ISNUMBER(SEARCH("ID_004",$M22)),ISNUMBER(SEARCH("ID_004",$N22))),1,0)</x:f>
        <x:v>0</x:v>
      </x:c>
      <x:c r="AB22" s="17" t="n">
        <x:f>IF(AND(NOT(ISNUMBER(SEARCH("ID_004",$M22))),ISNUMBER(SEARCH("ID_004",$N22))),1,0)</x:f>
        <x:v>0</x:v>
      </x:c>
      <x:c r="AC22" s="17" t="n">
        <x:f>IF(AND(ISNUMBER(SEARCH("ID_004",$M22)),NOT(ISNUMBER(SEARCH("ID_004",$N22)))),1,0)</x:f>
        <x:v>0</x:v>
      </x:c>
      <x:c r="AD22" s="17" t="n">
        <x:f>IF(AND(ISNUMBER(SEARCH("ID_005",$M22)),ISNUMBER(SEARCH("ID_005",$N22))),1,0)</x:f>
        <x:v>0</x:v>
      </x:c>
      <x:c r="AE22" s="17" t="n">
        <x:f>IF(AND(NOT(ISNUMBER(SEARCH("ID_005",$M22))),ISNUMBER(SEARCH("ID_005",$N22))),1,0)</x:f>
        <x:v>0</x:v>
      </x:c>
      <x:c r="AF22" s="17" t="n">
        <x:f>IF(AND(ISNUMBER(SEARCH("ID_005",$M22)),NOT(ISNUMBER(SEARCH("ID_005",$N22)))),1,0)</x:f>
        <x:v>0</x:v>
      </x:c>
      <x:c r="AG22" s="17" t="n">
        <x:f>IF(AND(ISNUMBER(SEARCH("ID_006",$M22)),ISNUMBER(SEARCH("ID_006",$N22))),1,0)</x:f>
        <x:v>0</x:v>
      </x:c>
      <x:c r="AH22" s="17" t="n">
        <x:f>IF(AND(NOT(ISNUMBER(SEARCH("ID_006",$M22))),ISNUMBER(SEARCH("ID_006",$N22))),1,0)</x:f>
        <x:v>0</x:v>
      </x:c>
      <x:c r="AI22" s="17" t="n">
        <x:f>IF(AND(ISNUMBER(SEARCH("ID_006",$M22)),NOT(ISNUMBER(SEARCH("ID_006",$N22)))),1,0)</x:f>
        <x:v>1</x:v>
      </x:c>
      <x:c r="AJ22" s="17" t="n">
        <x:f>IF(AND(ISNUMBER(SEARCH("ID_007",$M22)),ISNUMBER(SEARCH("ID_007",$N22))),1,0)</x:f>
        <x:v>0</x:v>
      </x:c>
      <x:c r="AK22" s="17" t="n">
        <x:f>IF(AND(NOT(ISNUMBER(SEARCH("ID_007",$M22))),ISNUMBER(SEARCH("ID_007",$N22))),1,0)</x:f>
        <x:v>0</x:v>
      </x:c>
      <x:c r="AL22" s="17" t="n">
        <x:f>IF(AND(ISNUMBER(SEARCH("ID_007",$M22)),NOT(ISNUMBER(SEARCH("ID_007",$N22)))),1,0)</x:f>
        <x:v>0</x:v>
      </x:c>
      <x:c r="AM22" s="17" t="n">
        <x:f>IF(AND(ISNUMBER(SEARCH("ID_008",$M22)),ISNUMBER(SEARCH("ID_008",$N22))),1,0)</x:f>
        <x:v>0</x:v>
      </x:c>
      <x:c r="AN22" s="17" t="n">
        <x:f>IF(AND(NOT(ISNUMBER(SEARCH("ID_008",$M22))),ISNUMBER(SEARCH("ID_008",$N22))),1,0)</x:f>
        <x:v>0</x:v>
      </x:c>
      <x:c r="AO22" s="17" t="n">
        <x:f>IF(AND(ISNUMBER(SEARCH("ID_008",$M22)),NOT(ISNUMBER(SEARCH("ID_008",$N22)))),1,0)</x:f>
        <x:v>0</x:v>
      </x:c>
      <x:c r="AP22" s="17" t="n">
        <x:f>IF(AND(ISNUMBER(SEARCH("ID_009",$M22)),ISNUMBER(SEARCH("ID_009",$N22))),1,0)</x:f>
        <x:v>0</x:v>
      </x:c>
      <x:c r="AQ22" s="17" t="n">
        <x:f>IF(AND(NOT(ISNUMBER(SEARCH("ID_009",$M22))),ISNUMBER(SEARCH("ID_009",$N22))),1,0)</x:f>
        <x:v>0</x:v>
      </x:c>
      <x:c r="AR22" s="17" t="n">
        <x:f>IF(AND(ISNUMBER(SEARCH("ID_009",$M22)),NOT(ISNUMBER(SEARCH("ID_009",$N22)))),1,0)</x:f>
        <x:v>0</x:v>
      </x:c>
    </x:row>
    <x:row r="23">
      <x:c r="J23" s="17" t="str">
        <x:v>表格</x:v>
      </x:c>
      <x:c r="K23" s="17" t="str">
        <x:v>row23</x:v>
      </x:c>
      <x:c r="L23" s="29" t="n">
        <x:v>0.99</x:v>
      </x:c>
      <x:c r="M23" s="17" t="str">
        <x:v>ID_002</x:v>
      </x:c>
      <x:c r="N23" s="17" t="str">
        <x:v>ID_002</x:v>
      </x:c>
      <x:c r="O23" s="17" t="n">
        <x:f>IF(AND(ISNUMBER(SEARCH("ID_000",$M23)),ISNUMBER(SEARCH("ID_000",$N23))),1,0)</x:f>
        <x:v>0</x:v>
      </x:c>
      <x:c r="P23" s="17" t="n">
        <x:f>IF(AND(NOT(ISNUMBER(SEARCH("ID_000",$M23))),ISNUMBER(SEARCH("ID_000",$N23))),1,0)</x:f>
        <x:v>0</x:v>
      </x:c>
      <x:c r="Q23" s="17" t="n">
        <x:f>IF(AND(ISNUMBER(SEARCH("ID_000",$M23)),NOT(ISNUMBER(SEARCH("ID_000",$N23)))),1,0)</x:f>
        <x:v>0</x:v>
      </x:c>
      <x:c r="R23" s="17" t="n">
        <x:f>IF(AND(ISNUMBER(SEARCH("ID_001",$M23)),ISNUMBER(SEARCH("ID_001",$N23))),1,0)</x:f>
        <x:v>0</x:v>
      </x:c>
      <x:c r="S23" s="17" t="n">
        <x:f>IF(AND(NOT(ISNUMBER(SEARCH("ID_001",$M23))),ISNUMBER(SEARCH("ID_001",$N23))),1,0)</x:f>
        <x:v>0</x:v>
      </x:c>
      <x:c r="T23" s="17" t="n">
        <x:f>IF(AND(ISNUMBER(SEARCH("ID_001",$M23)),NOT(ISNUMBER(SEARCH("ID_001",$N23)))),1,0)</x:f>
        <x:v>0</x:v>
      </x:c>
      <x:c r="U23" s="17" t="n">
        <x:f>IF(AND(ISNUMBER(SEARCH("ID_002",$M23)),ISNUMBER(SEARCH("ID_002",$N23))),1,0)</x:f>
        <x:v>1</x:v>
      </x:c>
      <x:c r="V23" s="17" t="n">
        <x:f>IF(AND(NOT(ISNUMBER(SEARCH("ID_002",$M23))),ISNUMBER(SEARCH("ID_002",$N23))),1,0)</x:f>
        <x:v>0</x:v>
      </x:c>
      <x:c r="W23" s="17" t="n">
        <x:f>IF(AND(ISNUMBER(SEARCH("ID_002",$M23)),NOT(ISNUMBER(SEARCH("ID_002",$N23)))),1,0)</x:f>
        <x:v>0</x:v>
      </x:c>
      <x:c r="X23" s="17" t="n">
        <x:f>IF(AND(ISNUMBER(SEARCH("ID_003",$M23)),ISNUMBER(SEARCH("ID_003",$N23))),1,0)</x:f>
        <x:v>0</x:v>
      </x:c>
      <x:c r="Y23" s="17" t="n">
        <x:f>IF(AND(NOT(ISNUMBER(SEARCH("ID_003",$M23))),ISNUMBER(SEARCH("ID_003",$N23))),1,0)</x:f>
        <x:v>0</x:v>
      </x:c>
      <x:c r="Z23" s="17" t="n">
        <x:f>IF(AND(ISNUMBER(SEARCH("ID_003",$M23)),NOT(ISNUMBER(SEARCH("ID_003",$N23)))),1,0)</x:f>
        <x:v>0</x:v>
      </x:c>
      <x:c r="AA23" s="17" t="n">
        <x:f>IF(AND(ISNUMBER(SEARCH("ID_004",$M23)),ISNUMBER(SEARCH("ID_004",$N23))),1,0)</x:f>
        <x:v>0</x:v>
      </x:c>
      <x:c r="AB23" s="17" t="n">
        <x:f>IF(AND(NOT(ISNUMBER(SEARCH("ID_004",$M23))),ISNUMBER(SEARCH("ID_004",$N23))),1,0)</x:f>
        <x:v>0</x:v>
      </x:c>
      <x:c r="AC23" s="17" t="n">
        <x:f>IF(AND(ISNUMBER(SEARCH("ID_004",$M23)),NOT(ISNUMBER(SEARCH("ID_004",$N23)))),1,0)</x:f>
        <x:v>0</x:v>
      </x:c>
      <x:c r="AD23" s="17" t="n">
        <x:f>IF(AND(ISNUMBER(SEARCH("ID_005",$M23)),ISNUMBER(SEARCH("ID_005",$N23))),1,0)</x:f>
        <x:v>0</x:v>
      </x:c>
      <x:c r="AE23" s="17" t="n">
        <x:f>IF(AND(NOT(ISNUMBER(SEARCH("ID_005",$M23))),ISNUMBER(SEARCH("ID_005",$N23))),1,0)</x:f>
        <x:v>0</x:v>
      </x:c>
      <x:c r="AF23" s="17" t="n">
        <x:f>IF(AND(ISNUMBER(SEARCH("ID_005",$M23)),NOT(ISNUMBER(SEARCH("ID_005",$N23)))),1,0)</x:f>
        <x:v>0</x:v>
      </x:c>
      <x:c r="AG23" s="17" t="n">
        <x:f>IF(AND(ISNUMBER(SEARCH("ID_006",$M23)),ISNUMBER(SEARCH("ID_006",$N23))),1,0)</x:f>
        <x:v>0</x:v>
      </x:c>
      <x:c r="AH23" s="17" t="n">
        <x:f>IF(AND(NOT(ISNUMBER(SEARCH("ID_006",$M23))),ISNUMBER(SEARCH("ID_006",$N23))),1,0)</x:f>
        <x:v>0</x:v>
      </x:c>
      <x:c r="AI23" s="17" t="n">
        <x:f>IF(AND(ISNUMBER(SEARCH("ID_006",$M23)),NOT(ISNUMBER(SEARCH("ID_006",$N23)))),1,0)</x:f>
        <x:v>0</x:v>
      </x:c>
      <x:c r="AJ23" s="17" t="n">
        <x:f>IF(AND(ISNUMBER(SEARCH("ID_007",$M23)),ISNUMBER(SEARCH("ID_007",$N23))),1,0)</x:f>
        <x:v>0</x:v>
      </x:c>
      <x:c r="AK23" s="17" t="n">
        <x:f>IF(AND(NOT(ISNUMBER(SEARCH("ID_007",$M23))),ISNUMBER(SEARCH("ID_007",$N23))),1,0)</x:f>
        <x:v>0</x:v>
      </x:c>
      <x:c r="AL23" s="17" t="n">
        <x:f>IF(AND(ISNUMBER(SEARCH("ID_007",$M23)),NOT(ISNUMBER(SEARCH("ID_007",$N23)))),1,0)</x:f>
        <x:v>0</x:v>
      </x:c>
      <x:c r="AM23" s="17" t="n">
        <x:f>IF(AND(ISNUMBER(SEARCH("ID_008",$M23)),ISNUMBER(SEARCH("ID_008",$N23))),1,0)</x:f>
        <x:v>0</x:v>
      </x:c>
      <x:c r="AN23" s="17" t="n">
        <x:f>IF(AND(NOT(ISNUMBER(SEARCH("ID_008",$M23))),ISNUMBER(SEARCH("ID_008",$N23))),1,0)</x:f>
        <x:v>0</x:v>
      </x:c>
      <x:c r="AO23" s="17" t="n">
        <x:f>IF(AND(ISNUMBER(SEARCH("ID_008",$M23)),NOT(ISNUMBER(SEARCH("ID_008",$N23)))),1,0)</x:f>
        <x:v>0</x:v>
      </x:c>
      <x:c r="AP23" s="17" t="n">
        <x:f>IF(AND(ISNUMBER(SEARCH("ID_009",$M23)),ISNUMBER(SEARCH("ID_009",$N23))),1,0)</x:f>
        <x:v>0</x:v>
      </x:c>
      <x:c r="AQ23" s="17" t="n">
        <x:f>IF(AND(NOT(ISNUMBER(SEARCH("ID_009",$M23))),ISNUMBER(SEARCH("ID_009",$N23))),1,0)</x:f>
        <x:v>0</x:v>
      </x:c>
      <x:c r="AR23" s="17" t="n">
        <x:f>IF(AND(ISNUMBER(SEARCH("ID_009",$M23)),NOT(ISNUMBER(SEARCH("ID_009",$N23)))),1,0)</x:f>
        <x:v>0</x:v>
      </x:c>
    </x:row>
    <x:row r="24">
      <x:c r="J24" s="17" t="str">
        <x:v>表格</x:v>
      </x:c>
      <x:c r="K24" s="17" t="str">
        <x:v>row24</x:v>
      </x:c>
      <x:c r="L24" s="29" t="n">
        <x:v>1.13</x:v>
      </x:c>
      <x:c r="M24" s="17" t="str">
        <x:v>ID_004</x:v>
      </x:c>
      <x:c r="N24" s="17" t="str">
        <x:v>ID_004</x:v>
      </x:c>
      <x:c r="O24" s="17" t="n">
        <x:f>IF(AND(ISNUMBER(SEARCH("ID_000",$M24)),ISNUMBER(SEARCH("ID_000",$N24))),1,0)</x:f>
        <x:v>0</x:v>
      </x:c>
      <x:c r="P24" s="17" t="n">
        <x:f>IF(AND(NOT(ISNUMBER(SEARCH("ID_000",$M24))),ISNUMBER(SEARCH("ID_000",$N24))),1,0)</x:f>
        <x:v>0</x:v>
      </x:c>
      <x:c r="Q24" s="17" t="n">
        <x:f>IF(AND(ISNUMBER(SEARCH("ID_000",$M24)),NOT(ISNUMBER(SEARCH("ID_000",$N24)))),1,0)</x:f>
        <x:v>0</x:v>
      </x:c>
      <x:c r="R24" s="17" t="n">
        <x:f>IF(AND(ISNUMBER(SEARCH("ID_001",$M24)),ISNUMBER(SEARCH("ID_001",$N24))),1,0)</x:f>
        <x:v>0</x:v>
      </x:c>
      <x:c r="S24" s="17" t="n">
        <x:f>IF(AND(NOT(ISNUMBER(SEARCH("ID_001",$M24))),ISNUMBER(SEARCH("ID_001",$N24))),1,0)</x:f>
        <x:v>0</x:v>
      </x:c>
      <x:c r="T24" s="17" t="n">
        <x:f>IF(AND(ISNUMBER(SEARCH("ID_001",$M24)),NOT(ISNUMBER(SEARCH("ID_001",$N24)))),1,0)</x:f>
        <x:v>0</x:v>
      </x:c>
      <x:c r="U24" s="17" t="n">
        <x:f>IF(AND(ISNUMBER(SEARCH("ID_002",$M24)),ISNUMBER(SEARCH("ID_002",$N24))),1,0)</x:f>
        <x:v>0</x:v>
      </x:c>
      <x:c r="V24" s="17" t="n">
        <x:f>IF(AND(NOT(ISNUMBER(SEARCH("ID_002",$M24))),ISNUMBER(SEARCH("ID_002",$N24))),1,0)</x:f>
        <x:v>0</x:v>
      </x:c>
      <x:c r="W24" s="17" t="n">
        <x:f>IF(AND(ISNUMBER(SEARCH("ID_002",$M24)),NOT(ISNUMBER(SEARCH("ID_002",$N24)))),1,0)</x:f>
        <x:v>0</x:v>
      </x:c>
      <x:c r="X24" s="17" t="n">
        <x:f>IF(AND(ISNUMBER(SEARCH("ID_003",$M24)),ISNUMBER(SEARCH("ID_003",$N24))),1,0)</x:f>
        <x:v>0</x:v>
      </x:c>
      <x:c r="Y24" s="17" t="n">
        <x:f>IF(AND(NOT(ISNUMBER(SEARCH("ID_003",$M24))),ISNUMBER(SEARCH("ID_003",$N24))),1,0)</x:f>
        <x:v>0</x:v>
      </x:c>
      <x:c r="Z24" s="17" t="n">
        <x:f>IF(AND(ISNUMBER(SEARCH("ID_003",$M24)),NOT(ISNUMBER(SEARCH("ID_003",$N24)))),1,0)</x:f>
        <x:v>0</x:v>
      </x:c>
      <x:c r="AA24" s="17" t="n">
        <x:f>IF(AND(ISNUMBER(SEARCH("ID_004",$M24)),ISNUMBER(SEARCH("ID_004",$N24))),1,0)</x:f>
        <x:v>1</x:v>
      </x:c>
      <x:c r="AB24" s="17" t="n">
        <x:f>IF(AND(NOT(ISNUMBER(SEARCH("ID_004",$M24))),ISNUMBER(SEARCH("ID_004",$N24))),1,0)</x:f>
        <x:v>0</x:v>
      </x:c>
      <x:c r="AC24" s="17" t="n">
        <x:f>IF(AND(ISNUMBER(SEARCH("ID_004",$M24)),NOT(ISNUMBER(SEARCH("ID_004",$N24)))),1,0)</x:f>
        <x:v>0</x:v>
      </x:c>
      <x:c r="AD24" s="17" t="n">
        <x:f>IF(AND(ISNUMBER(SEARCH("ID_005",$M24)),ISNUMBER(SEARCH("ID_005",$N24))),1,0)</x:f>
        <x:v>0</x:v>
      </x:c>
      <x:c r="AE24" s="17" t="n">
        <x:f>IF(AND(NOT(ISNUMBER(SEARCH("ID_005",$M24))),ISNUMBER(SEARCH("ID_005",$N24))),1,0)</x:f>
        <x:v>0</x:v>
      </x:c>
      <x:c r="AF24" s="17" t="n">
        <x:f>IF(AND(ISNUMBER(SEARCH("ID_005",$M24)),NOT(ISNUMBER(SEARCH("ID_005",$N24)))),1,0)</x:f>
        <x:v>0</x:v>
      </x:c>
      <x:c r="AG24" s="17" t="n">
        <x:f>IF(AND(ISNUMBER(SEARCH("ID_006",$M24)),ISNUMBER(SEARCH("ID_006",$N24))),1,0)</x:f>
        <x:v>0</x:v>
      </x:c>
      <x:c r="AH24" s="17" t="n">
        <x:f>IF(AND(NOT(ISNUMBER(SEARCH("ID_006",$M24))),ISNUMBER(SEARCH("ID_006",$N24))),1,0)</x:f>
        <x:v>0</x:v>
      </x:c>
      <x:c r="AI24" s="17" t="n">
        <x:f>IF(AND(ISNUMBER(SEARCH("ID_006",$M24)),NOT(ISNUMBER(SEARCH("ID_006",$N24)))),1,0)</x:f>
        <x:v>0</x:v>
      </x:c>
      <x:c r="AJ24" s="17" t="n">
        <x:f>IF(AND(ISNUMBER(SEARCH("ID_007",$M24)),ISNUMBER(SEARCH("ID_007",$N24))),1,0)</x:f>
        <x:v>0</x:v>
      </x:c>
      <x:c r="AK24" s="17" t="n">
        <x:f>IF(AND(NOT(ISNUMBER(SEARCH("ID_007",$M24))),ISNUMBER(SEARCH("ID_007",$N24))),1,0)</x:f>
        <x:v>0</x:v>
      </x:c>
      <x:c r="AL24" s="17" t="n">
        <x:f>IF(AND(ISNUMBER(SEARCH("ID_007",$M24)),NOT(ISNUMBER(SEARCH("ID_007",$N24)))),1,0)</x:f>
        <x:v>0</x:v>
      </x:c>
      <x:c r="AM24" s="17" t="n">
        <x:f>IF(AND(ISNUMBER(SEARCH("ID_008",$M24)),ISNUMBER(SEARCH("ID_008",$N24))),1,0)</x:f>
        <x:v>0</x:v>
      </x:c>
      <x:c r="AN24" s="17" t="n">
        <x:f>IF(AND(NOT(ISNUMBER(SEARCH("ID_008",$M24))),ISNUMBER(SEARCH("ID_008",$N24))),1,0)</x:f>
        <x:v>0</x:v>
      </x:c>
      <x:c r="AO24" s="17" t="n">
        <x:f>IF(AND(ISNUMBER(SEARCH("ID_008",$M24)),NOT(ISNUMBER(SEARCH("ID_008",$N24)))),1,0)</x:f>
        <x:v>0</x:v>
      </x:c>
      <x:c r="AP24" s="17" t="n">
        <x:f>IF(AND(ISNUMBER(SEARCH("ID_009",$M24)),ISNUMBER(SEARCH("ID_009",$N24))),1,0)</x:f>
        <x:v>0</x:v>
      </x:c>
      <x:c r="AQ24" s="17" t="n">
        <x:f>IF(AND(NOT(ISNUMBER(SEARCH("ID_009",$M24))),ISNUMBER(SEARCH("ID_009",$N24))),1,0)</x:f>
        <x:v>0</x:v>
      </x:c>
      <x:c r="AR24" s="17" t="n">
        <x:f>IF(AND(ISNUMBER(SEARCH("ID_009",$M24)),NOT(ISNUMBER(SEARCH("ID_009",$N24)))),1,0)</x:f>
        <x:v>0</x:v>
      </x:c>
    </x:row>
    <x:row r="25">
      <x:c r="J25" s="17" t="str">
        <x:v>表格</x:v>
      </x:c>
      <x:c r="K25" s="17" t="str">
        <x:v>row25</x:v>
      </x:c>
      <x:c r="L25" s="29" t="n">
        <x:v>1.83</x:v>
      </x:c>
      <x:c r="M25" s="17" t="str">
        <x:v>ID_004</x:v>
      </x:c>
      <x:c r="N25" s="17" t="str">
        <x:v>ID_004</x:v>
      </x:c>
      <x:c r="O25" s="17" t="n">
        <x:f>IF(AND(ISNUMBER(SEARCH("ID_000",$M25)),ISNUMBER(SEARCH("ID_000",$N25))),1,0)</x:f>
        <x:v>0</x:v>
      </x:c>
      <x:c r="P25" s="17" t="n">
        <x:f>IF(AND(NOT(ISNUMBER(SEARCH("ID_000",$M25))),ISNUMBER(SEARCH("ID_000",$N25))),1,0)</x:f>
        <x:v>0</x:v>
      </x:c>
      <x:c r="Q25" s="17" t="n">
        <x:f>IF(AND(ISNUMBER(SEARCH("ID_000",$M25)),NOT(ISNUMBER(SEARCH("ID_000",$N25)))),1,0)</x:f>
        <x:v>0</x:v>
      </x:c>
      <x:c r="R25" s="17" t="n">
        <x:f>IF(AND(ISNUMBER(SEARCH("ID_001",$M25)),ISNUMBER(SEARCH("ID_001",$N25))),1,0)</x:f>
        <x:v>0</x:v>
      </x:c>
      <x:c r="S25" s="17" t="n">
        <x:f>IF(AND(NOT(ISNUMBER(SEARCH("ID_001",$M25))),ISNUMBER(SEARCH("ID_001",$N25))),1,0)</x:f>
        <x:v>0</x:v>
      </x:c>
      <x:c r="T25" s="17" t="n">
        <x:f>IF(AND(ISNUMBER(SEARCH("ID_001",$M25)),NOT(ISNUMBER(SEARCH("ID_001",$N25)))),1,0)</x:f>
        <x:v>0</x:v>
      </x:c>
      <x:c r="U25" s="17" t="n">
        <x:f>IF(AND(ISNUMBER(SEARCH("ID_002",$M25)),ISNUMBER(SEARCH("ID_002",$N25))),1,0)</x:f>
        <x:v>0</x:v>
      </x:c>
      <x:c r="V25" s="17" t="n">
        <x:f>IF(AND(NOT(ISNUMBER(SEARCH("ID_002",$M25))),ISNUMBER(SEARCH("ID_002",$N25))),1,0)</x:f>
        <x:v>0</x:v>
      </x:c>
      <x:c r="W25" s="17" t="n">
        <x:f>IF(AND(ISNUMBER(SEARCH("ID_002",$M25)),NOT(ISNUMBER(SEARCH("ID_002",$N25)))),1,0)</x:f>
        <x:v>0</x:v>
      </x:c>
      <x:c r="X25" s="17" t="n">
        <x:f>IF(AND(ISNUMBER(SEARCH("ID_003",$M25)),ISNUMBER(SEARCH("ID_003",$N25))),1,0)</x:f>
        <x:v>0</x:v>
      </x:c>
      <x:c r="Y25" s="17" t="n">
        <x:f>IF(AND(NOT(ISNUMBER(SEARCH("ID_003",$M25))),ISNUMBER(SEARCH("ID_003",$N25))),1,0)</x:f>
        <x:v>0</x:v>
      </x:c>
      <x:c r="Z25" s="17" t="n">
        <x:f>IF(AND(ISNUMBER(SEARCH("ID_003",$M25)),NOT(ISNUMBER(SEARCH("ID_003",$N25)))),1,0)</x:f>
        <x:v>0</x:v>
      </x:c>
      <x:c r="AA25" s="17" t="n">
        <x:f>IF(AND(ISNUMBER(SEARCH("ID_004",$M25)),ISNUMBER(SEARCH("ID_004",$N25))),1,0)</x:f>
        <x:v>1</x:v>
      </x:c>
      <x:c r="AB25" s="17" t="n">
        <x:f>IF(AND(NOT(ISNUMBER(SEARCH("ID_004",$M25))),ISNUMBER(SEARCH("ID_004",$N25))),1,0)</x:f>
        <x:v>0</x:v>
      </x:c>
      <x:c r="AC25" s="17" t="n">
        <x:f>IF(AND(ISNUMBER(SEARCH("ID_004",$M25)),NOT(ISNUMBER(SEARCH("ID_004",$N25)))),1,0)</x:f>
        <x:v>0</x:v>
      </x:c>
      <x:c r="AD25" s="17" t="n">
        <x:f>IF(AND(ISNUMBER(SEARCH("ID_005",$M25)),ISNUMBER(SEARCH("ID_005",$N25))),1,0)</x:f>
        <x:v>0</x:v>
      </x:c>
      <x:c r="AE25" s="17" t="n">
        <x:f>IF(AND(NOT(ISNUMBER(SEARCH("ID_005",$M25))),ISNUMBER(SEARCH("ID_005",$N25))),1,0)</x:f>
        <x:v>0</x:v>
      </x:c>
      <x:c r="AF25" s="17" t="n">
        <x:f>IF(AND(ISNUMBER(SEARCH("ID_005",$M25)),NOT(ISNUMBER(SEARCH("ID_005",$N25)))),1,0)</x:f>
        <x:v>0</x:v>
      </x:c>
      <x:c r="AG25" s="17" t="n">
        <x:f>IF(AND(ISNUMBER(SEARCH("ID_006",$M25)),ISNUMBER(SEARCH("ID_006",$N25))),1,0)</x:f>
        <x:v>0</x:v>
      </x:c>
      <x:c r="AH25" s="17" t="n">
        <x:f>IF(AND(NOT(ISNUMBER(SEARCH("ID_006",$M25))),ISNUMBER(SEARCH("ID_006",$N25))),1,0)</x:f>
        <x:v>0</x:v>
      </x:c>
      <x:c r="AI25" s="17" t="n">
        <x:f>IF(AND(ISNUMBER(SEARCH("ID_006",$M25)),NOT(ISNUMBER(SEARCH("ID_006",$N25)))),1,0)</x:f>
        <x:v>0</x:v>
      </x:c>
      <x:c r="AJ25" s="17" t="n">
        <x:f>IF(AND(ISNUMBER(SEARCH("ID_007",$M25)),ISNUMBER(SEARCH("ID_007",$N25))),1,0)</x:f>
        <x:v>0</x:v>
      </x:c>
      <x:c r="AK25" s="17" t="n">
        <x:f>IF(AND(NOT(ISNUMBER(SEARCH("ID_007",$M25))),ISNUMBER(SEARCH("ID_007",$N25))),1,0)</x:f>
        <x:v>0</x:v>
      </x:c>
      <x:c r="AL25" s="17" t="n">
        <x:f>IF(AND(ISNUMBER(SEARCH("ID_007",$M25)),NOT(ISNUMBER(SEARCH("ID_007",$N25)))),1,0)</x:f>
        <x:v>0</x:v>
      </x:c>
      <x:c r="AM25" s="17" t="n">
        <x:f>IF(AND(ISNUMBER(SEARCH("ID_008",$M25)),ISNUMBER(SEARCH("ID_008",$N25))),1,0)</x:f>
        <x:v>0</x:v>
      </x:c>
      <x:c r="AN25" s="17" t="n">
        <x:f>IF(AND(NOT(ISNUMBER(SEARCH("ID_008",$M25))),ISNUMBER(SEARCH("ID_008",$N25))),1,0)</x:f>
        <x:v>0</x:v>
      </x:c>
      <x:c r="AO25" s="17" t="n">
        <x:f>IF(AND(ISNUMBER(SEARCH("ID_008",$M25)),NOT(ISNUMBER(SEARCH("ID_008",$N25)))),1,0)</x:f>
        <x:v>0</x:v>
      </x:c>
      <x:c r="AP25" s="17" t="n">
        <x:f>IF(AND(ISNUMBER(SEARCH("ID_009",$M25)),ISNUMBER(SEARCH("ID_009",$N25))),1,0)</x:f>
        <x:v>0</x:v>
      </x:c>
      <x:c r="AQ25" s="17" t="n">
        <x:f>IF(AND(NOT(ISNUMBER(SEARCH("ID_009",$M25))),ISNUMBER(SEARCH("ID_009",$N25))),1,0)</x:f>
        <x:v>0</x:v>
      </x:c>
      <x:c r="AR25" s="17" t="n">
        <x:f>IF(AND(ISNUMBER(SEARCH("ID_009",$M25)),NOT(ISNUMBER(SEARCH("ID_009",$N25)))),1,0)</x:f>
        <x:v>0</x:v>
      </x:c>
    </x:row>
    <x:row r="26">
      <x:c r="J26" s="17" t="str">
        <x:v>表格</x:v>
      </x:c>
      <x:c r="K26" s="17" t="str">
        <x:v>row26</x:v>
      </x:c>
      <x:c r="L26" s="29" t="n">
        <x:v>0.66</x:v>
      </x:c>
      <x:c r="M26" s="17" t="str">
        <x:v>ID_002</x:v>
      </x:c>
      <x:c r="N26" s="17" t="str">
        <x:v>ID_002</x:v>
      </x:c>
      <x:c r="O26" s="17" t="n">
        <x:f>IF(AND(ISNUMBER(SEARCH("ID_000",$M26)),ISNUMBER(SEARCH("ID_000",$N26))),1,0)</x:f>
        <x:v>0</x:v>
      </x:c>
      <x:c r="P26" s="17" t="n">
        <x:f>IF(AND(NOT(ISNUMBER(SEARCH("ID_000",$M26))),ISNUMBER(SEARCH("ID_000",$N26))),1,0)</x:f>
        <x:v>0</x:v>
      </x:c>
      <x:c r="Q26" s="17" t="n">
        <x:f>IF(AND(ISNUMBER(SEARCH("ID_000",$M26)),NOT(ISNUMBER(SEARCH("ID_000",$N26)))),1,0)</x:f>
        <x:v>0</x:v>
      </x:c>
      <x:c r="R26" s="17" t="n">
        <x:f>IF(AND(ISNUMBER(SEARCH("ID_001",$M26)),ISNUMBER(SEARCH("ID_001",$N26))),1,0)</x:f>
        <x:v>0</x:v>
      </x:c>
      <x:c r="S26" s="17" t="n">
        <x:f>IF(AND(NOT(ISNUMBER(SEARCH("ID_001",$M26))),ISNUMBER(SEARCH("ID_001",$N26))),1,0)</x:f>
        <x:v>0</x:v>
      </x:c>
      <x:c r="T26" s="17" t="n">
        <x:f>IF(AND(ISNUMBER(SEARCH("ID_001",$M26)),NOT(ISNUMBER(SEARCH("ID_001",$N26)))),1,0)</x:f>
        <x:v>0</x:v>
      </x:c>
      <x:c r="U26" s="17" t="n">
        <x:f>IF(AND(ISNUMBER(SEARCH("ID_002",$M26)),ISNUMBER(SEARCH("ID_002",$N26))),1,0)</x:f>
        <x:v>1</x:v>
      </x:c>
      <x:c r="V26" s="17" t="n">
        <x:f>IF(AND(NOT(ISNUMBER(SEARCH("ID_002",$M26))),ISNUMBER(SEARCH("ID_002",$N26))),1,0)</x:f>
        <x:v>0</x:v>
      </x:c>
      <x:c r="W26" s="17" t="n">
        <x:f>IF(AND(ISNUMBER(SEARCH("ID_002",$M26)),NOT(ISNUMBER(SEARCH("ID_002",$N26)))),1,0)</x:f>
        <x:v>0</x:v>
      </x:c>
      <x:c r="X26" s="17" t="n">
        <x:f>IF(AND(ISNUMBER(SEARCH("ID_003",$M26)),ISNUMBER(SEARCH("ID_003",$N26))),1,0)</x:f>
        <x:v>0</x:v>
      </x:c>
      <x:c r="Y26" s="17" t="n">
        <x:f>IF(AND(NOT(ISNUMBER(SEARCH("ID_003",$M26))),ISNUMBER(SEARCH("ID_003",$N26))),1,0)</x:f>
        <x:v>0</x:v>
      </x:c>
      <x:c r="Z26" s="17" t="n">
        <x:f>IF(AND(ISNUMBER(SEARCH("ID_003",$M26)),NOT(ISNUMBER(SEARCH("ID_003",$N26)))),1,0)</x:f>
        <x:v>0</x:v>
      </x:c>
      <x:c r="AA26" s="17" t="n">
        <x:f>IF(AND(ISNUMBER(SEARCH("ID_004",$M26)),ISNUMBER(SEARCH("ID_004",$N26))),1,0)</x:f>
        <x:v>0</x:v>
      </x:c>
      <x:c r="AB26" s="17" t="n">
        <x:f>IF(AND(NOT(ISNUMBER(SEARCH("ID_004",$M26))),ISNUMBER(SEARCH("ID_004",$N26))),1,0)</x:f>
        <x:v>0</x:v>
      </x:c>
      <x:c r="AC26" s="17" t="n">
        <x:f>IF(AND(ISNUMBER(SEARCH("ID_004",$M26)),NOT(ISNUMBER(SEARCH("ID_004",$N26)))),1,0)</x:f>
        <x:v>0</x:v>
      </x:c>
      <x:c r="AD26" s="17" t="n">
        <x:f>IF(AND(ISNUMBER(SEARCH("ID_005",$M26)),ISNUMBER(SEARCH("ID_005",$N26))),1,0)</x:f>
        <x:v>0</x:v>
      </x:c>
      <x:c r="AE26" s="17" t="n">
        <x:f>IF(AND(NOT(ISNUMBER(SEARCH("ID_005",$M26))),ISNUMBER(SEARCH("ID_005",$N26))),1,0)</x:f>
        <x:v>0</x:v>
      </x:c>
      <x:c r="AF26" s="17" t="n">
        <x:f>IF(AND(ISNUMBER(SEARCH("ID_005",$M26)),NOT(ISNUMBER(SEARCH("ID_005",$N26)))),1,0)</x:f>
        <x:v>0</x:v>
      </x:c>
      <x:c r="AG26" s="17" t="n">
        <x:f>IF(AND(ISNUMBER(SEARCH("ID_006",$M26)),ISNUMBER(SEARCH("ID_006",$N26))),1,0)</x:f>
        <x:v>0</x:v>
      </x:c>
      <x:c r="AH26" s="17" t="n">
        <x:f>IF(AND(NOT(ISNUMBER(SEARCH("ID_006",$M26))),ISNUMBER(SEARCH("ID_006",$N26))),1,0)</x:f>
        <x:v>0</x:v>
      </x:c>
      <x:c r="AI26" s="17" t="n">
        <x:f>IF(AND(ISNUMBER(SEARCH("ID_006",$M26)),NOT(ISNUMBER(SEARCH("ID_006",$N26)))),1,0)</x:f>
        <x:v>0</x:v>
      </x:c>
      <x:c r="AJ26" s="17" t="n">
        <x:f>IF(AND(ISNUMBER(SEARCH("ID_007",$M26)),ISNUMBER(SEARCH("ID_007",$N26))),1,0)</x:f>
        <x:v>0</x:v>
      </x:c>
      <x:c r="AK26" s="17" t="n">
        <x:f>IF(AND(NOT(ISNUMBER(SEARCH("ID_007",$M26))),ISNUMBER(SEARCH("ID_007",$N26))),1,0)</x:f>
        <x:v>0</x:v>
      </x:c>
      <x:c r="AL26" s="17" t="n">
        <x:f>IF(AND(ISNUMBER(SEARCH("ID_007",$M26)),NOT(ISNUMBER(SEARCH("ID_007",$N26)))),1,0)</x:f>
        <x:v>0</x:v>
      </x:c>
      <x:c r="AM26" s="17" t="n">
        <x:f>IF(AND(ISNUMBER(SEARCH("ID_008",$M26)),ISNUMBER(SEARCH("ID_008",$N26))),1,0)</x:f>
        <x:v>0</x:v>
      </x:c>
      <x:c r="AN26" s="17" t="n">
        <x:f>IF(AND(NOT(ISNUMBER(SEARCH("ID_008",$M26))),ISNUMBER(SEARCH("ID_008",$N26))),1,0)</x:f>
        <x:v>0</x:v>
      </x:c>
      <x:c r="AO26" s="17" t="n">
        <x:f>IF(AND(ISNUMBER(SEARCH("ID_008",$M26)),NOT(ISNUMBER(SEARCH("ID_008",$N26)))),1,0)</x:f>
        <x:v>0</x:v>
      </x:c>
      <x:c r="AP26" s="17" t="n">
        <x:f>IF(AND(ISNUMBER(SEARCH("ID_009",$M26)),ISNUMBER(SEARCH("ID_009",$N26))),1,0)</x:f>
        <x:v>0</x:v>
      </x:c>
      <x:c r="AQ26" s="17" t="n">
        <x:f>IF(AND(NOT(ISNUMBER(SEARCH("ID_009",$M26))),ISNUMBER(SEARCH("ID_009",$N26))),1,0)</x:f>
        <x:v>0</x:v>
      </x:c>
      <x:c r="AR26" s="17" t="n">
        <x:f>IF(AND(ISNUMBER(SEARCH("ID_009",$M26)),NOT(ISNUMBER(SEARCH("ID_009",$N26)))),1,0)</x:f>
        <x:v>0</x:v>
      </x:c>
    </x:row>
    <x:row r="27">
      <x:c r="J27" s="17" t="str">
        <x:v>表格</x:v>
      </x:c>
      <x:c r="K27" s="17" t="str">
        <x:v>row27</x:v>
      </x:c>
      <x:c r="L27" s="29" t="n">
        <x:v>0.79</x:v>
      </x:c>
      <x:c r="M27" s="17" t="str">
        <x:v>ID_006</x:v>
      </x:c>
      <x:c r="N27" s="17" t="str">
        <x:v>ID_006</x:v>
      </x:c>
      <x:c r="O27" s="17" t="n">
        <x:f>IF(AND(ISNUMBER(SEARCH("ID_000",$M27)),ISNUMBER(SEARCH("ID_000",$N27))),1,0)</x:f>
        <x:v>0</x:v>
      </x:c>
      <x:c r="P27" s="17" t="n">
        <x:f>IF(AND(NOT(ISNUMBER(SEARCH("ID_000",$M27))),ISNUMBER(SEARCH("ID_000",$N27))),1,0)</x:f>
        <x:v>0</x:v>
      </x:c>
      <x:c r="Q27" s="17" t="n">
        <x:f>IF(AND(ISNUMBER(SEARCH("ID_000",$M27)),NOT(ISNUMBER(SEARCH("ID_000",$N27)))),1,0)</x:f>
        <x:v>0</x:v>
      </x:c>
      <x:c r="R27" s="17" t="n">
        <x:f>IF(AND(ISNUMBER(SEARCH("ID_001",$M27)),ISNUMBER(SEARCH("ID_001",$N27))),1,0)</x:f>
        <x:v>0</x:v>
      </x:c>
      <x:c r="S27" s="17" t="n">
        <x:f>IF(AND(NOT(ISNUMBER(SEARCH("ID_001",$M27))),ISNUMBER(SEARCH("ID_001",$N27))),1,0)</x:f>
        <x:v>0</x:v>
      </x:c>
      <x:c r="T27" s="17" t="n">
        <x:f>IF(AND(ISNUMBER(SEARCH("ID_001",$M27)),NOT(ISNUMBER(SEARCH("ID_001",$N27)))),1,0)</x:f>
        <x:v>0</x:v>
      </x:c>
      <x:c r="U27" s="17" t="n">
        <x:f>IF(AND(ISNUMBER(SEARCH("ID_002",$M27)),ISNUMBER(SEARCH("ID_002",$N27))),1,0)</x:f>
        <x:v>0</x:v>
      </x:c>
      <x:c r="V27" s="17" t="n">
        <x:f>IF(AND(NOT(ISNUMBER(SEARCH("ID_002",$M27))),ISNUMBER(SEARCH("ID_002",$N27))),1,0)</x:f>
        <x:v>0</x:v>
      </x:c>
      <x:c r="W27" s="17" t="n">
        <x:f>IF(AND(ISNUMBER(SEARCH("ID_002",$M27)),NOT(ISNUMBER(SEARCH("ID_002",$N27)))),1,0)</x:f>
        <x:v>0</x:v>
      </x:c>
      <x:c r="X27" s="17" t="n">
        <x:f>IF(AND(ISNUMBER(SEARCH("ID_003",$M27)),ISNUMBER(SEARCH("ID_003",$N27))),1,0)</x:f>
        <x:v>0</x:v>
      </x:c>
      <x:c r="Y27" s="17" t="n">
        <x:f>IF(AND(NOT(ISNUMBER(SEARCH("ID_003",$M27))),ISNUMBER(SEARCH("ID_003",$N27))),1,0)</x:f>
        <x:v>0</x:v>
      </x:c>
      <x:c r="Z27" s="17" t="n">
        <x:f>IF(AND(ISNUMBER(SEARCH("ID_003",$M27)),NOT(ISNUMBER(SEARCH("ID_003",$N27)))),1,0)</x:f>
        <x:v>0</x:v>
      </x:c>
      <x:c r="AA27" s="17" t="n">
        <x:f>IF(AND(ISNUMBER(SEARCH("ID_004",$M27)),ISNUMBER(SEARCH("ID_004",$N27))),1,0)</x:f>
        <x:v>0</x:v>
      </x:c>
      <x:c r="AB27" s="17" t="n">
        <x:f>IF(AND(NOT(ISNUMBER(SEARCH("ID_004",$M27))),ISNUMBER(SEARCH("ID_004",$N27))),1,0)</x:f>
        <x:v>0</x:v>
      </x:c>
      <x:c r="AC27" s="17" t="n">
        <x:f>IF(AND(ISNUMBER(SEARCH("ID_004",$M27)),NOT(ISNUMBER(SEARCH("ID_004",$N27)))),1,0)</x:f>
        <x:v>0</x:v>
      </x:c>
      <x:c r="AD27" s="17" t="n">
        <x:f>IF(AND(ISNUMBER(SEARCH("ID_005",$M27)),ISNUMBER(SEARCH("ID_005",$N27))),1,0)</x:f>
        <x:v>0</x:v>
      </x:c>
      <x:c r="AE27" s="17" t="n">
        <x:f>IF(AND(NOT(ISNUMBER(SEARCH("ID_005",$M27))),ISNUMBER(SEARCH("ID_005",$N27))),1,0)</x:f>
        <x:v>0</x:v>
      </x:c>
      <x:c r="AF27" s="17" t="n">
        <x:f>IF(AND(ISNUMBER(SEARCH("ID_005",$M27)),NOT(ISNUMBER(SEARCH("ID_005",$N27)))),1,0)</x:f>
        <x:v>0</x:v>
      </x:c>
      <x:c r="AG27" s="17" t="n">
        <x:f>IF(AND(ISNUMBER(SEARCH("ID_006",$M27)),ISNUMBER(SEARCH("ID_006",$N27))),1,0)</x:f>
        <x:v>1</x:v>
      </x:c>
      <x:c r="AH27" s="17" t="n">
        <x:f>IF(AND(NOT(ISNUMBER(SEARCH("ID_006",$M27))),ISNUMBER(SEARCH("ID_006",$N27))),1,0)</x:f>
        <x:v>0</x:v>
      </x:c>
      <x:c r="AI27" s="17" t="n">
        <x:f>IF(AND(ISNUMBER(SEARCH("ID_006",$M27)),NOT(ISNUMBER(SEARCH("ID_006",$N27)))),1,0)</x:f>
        <x:v>0</x:v>
      </x:c>
      <x:c r="AJ27" s="17" t="n">
        <x:f>IF(AND(ISNUMBER(SEARCH("ID_007",$M27)),ISNUMBER(SEARCH("ID_007",$N27))),1,0)</x:f>
        <x:v>0</x:v>
      </x:c>
      <x:c r="AK27" s="17" t="n">
        <x:f>IF(AND(NOT(ISNUMBER(SEARCH("ID_007",$M27))),ISNUMBER(SEARCH("ID_007",$N27))),1,0)</x:f>
        <x:v>0</x:v>
      </x:c>
      <x:c r="AL27" s="17" t="n">
        <x:f>IF(AND(ISNUMBER(SEARCH("ID_007",$M27)),NOT(ISNUMBER(SEARCH("ID_007",$N27)))),1,0)</x:f>
        <x:v>0</x:v>
      </x:c>
      <x:c r="AM27" s="17" t="n">
        <x:f>IF(AND(ISNUMBER(SEARCH("ID_008",$M27)),ISNUMBER(SEARCH("ID_008",$N27))),1,0)</x:f>
        <x:v>0</x:v>
      </x:c>
      <x:c r="AN27" s="17" t="n">
        <x:f>IF(AND(NOT(ISNUMBER(SEARCH("ID_008",$M27))),ISNUMBER(SEARCH("ID_008",$N27))),1,0)</x:f>
        <x:v>0</x:v>
      </x:c>
      <x:c r="AO27" s="17" t="n">
        <x:f>IF(AND(ISNUMBER(SEARCH("ID_008",$M27)),NOT(ISNUMBER(SEARCH("ID_008",$N27)))),1,0)</x:f>
        <x:v>0</x:v>
      </x:c>
      <x:c r="AP27" s="17" t="n">
        <x:f>IF(AND(ISNUMBER(SEARCH("ID_009",$M27)),ISNUMBER(SEARCH("ID_009",$N27))),1,0)</x:f>
        <x:v>0</x:v>
      </x:c>
      <x:c r="AQ27" s="17" t="n">
        <x:f>IF(AND(NOT(ISNUMBER(SEARCH("ID_009",$M27))),ISNUMBER(SEARCH("ID_009",$N27))),1,0)</x:f>
        <x:v>0</x:v>
      </x:c>
      <x:c r="AR27" s="17" t="n">
        <x:f>IF(AND(ISNUMBER(SEARCH("ID_009",$M27)),NOT(ISNUMBER(SEARCH("ID_009",$N27)))),1,0)</x:f>
        <x:v>0</x:v>
      </x:c>
    </x:row>
    <x:row r="28">
      <x:c r="J28" s="17" t="str">
        <x:v>表格</x:v>
      </x:c>
      <x:c r="K28" s="17" t="str">
        <x:v>row28</x:v>
      </x:c>
      <x:c r="L28" s="29" t="n">
        <x:v>0.88</x:v>
      </x:c>
      <x:c r="M28" s="17" t="str">
        <x:v>ID_000</x:v>
      </x:c>
      <x:c r="N28" s="17" t="str">
        <x:v>ID_000</x:v>
      </x:c>
      <x:c r="O28" s="17" t="n">
        <x:f>IF(AND(ISNUMBER(SEARCH("ID_000",$M28)),ISNUMBER(SEARCH("ID_000",$N28))),1,0)</x:f>
        <x:v>1</x:v>
      </x:c>
      <x:c r="P28" s="17" t="n">
        <x:f>IF(AND(NOT(ISNUMBER(SEARCH("ID_000",$M28))),ISNUMBER(SEARCH("ID_000",$N28))),1,0)</x:f>
        <x:v>0</x:v>
      </x:c>
      <x:c r="Q28" s="17" t="n">
        <x:f>IF(AND(ISNUMBER(SEARCH("ID_000",$M28)),NOT(ISNUMBER(SEARCH("ID_000",$N28)))),1,0)</x:f>
        <x:v>0</x:v>
      </x:c>
      <x:c r="R28" s="17" t="n">
        <x:f>IF(AND(ISNUMBER(SEARCH("ID_001",$M28)),ISNUMBER(SEARCH("ID_001",$N28))),1,0)</x:f>
        <x:v>0</x:v>
      </x:c>
      <x:c r="S28" s="17" t="n">
        <x:f>IF(AND(NOT(ISNUMBER(SEARCH("ID_001",$M28))),ISNUMBER(SEARCH("ID_001",$N28))),1,0)</x:f>
        <x:v>0</x:v>
      </x:c>
      <x:c r="T28" s="17" t="n">
        <x:f>IF(AND(ISNUMBER(SEARCH("ID_001",$M28)),NOT(ISNUMBER(SEARCH("ID_001",$N28)))),1,0)</x:f>
        <x:v>0</x:v>
      </x:c>
      <x:c r="U28" s="17" t="n">
        <x:f>IF(AND(ISNUMBER(SEARCH("ID_002",$M28)),ISNUMBER(SEARCH("ID_002",$N28))),1,0)</x:f>
        <x:v>0</x:v>
      </x:c>
      <x:c r="V28" s="17" t="n">
        <x:f>IF(AND(NOT(ISNUMBER(SEARCH("ID_002",$M28))),ISNUMBER(SEARCH("ID_002",$N28))),1,0)</x:f>
        <x:v>0</x:v>
      </x:c>
      <x:c r="W28" s="17" t="n">
        <x:f>IF(AND(ISNUMBER(SEARCH("ID_002",$M28)),NOT(ISNUMBER(SEARCH("ID_002",$N28)))),1,0)</x:f>
        <x:v>0</x:v>
      </x:c>
      <x:c r="X28" s="17" t="n">
        <x:f>IF(AND(ISNUMBER(SEARCH("ID_003",$M28)),ISNUMBER(SEARCH("ID_003",$N28))),1,0)</x:f>
        <x:v>0</x:v>
      </x:c>
      <x:c r="Y28" s="17" t="n">
        <x:f>IF(AND(NOT(ISNUMBER(SEARCH("ID_003",$M28))),ISNUMBER(SEARCH("ID_003",$N28))),1,0)</x:f>
        <x:v>0</x:v>
      </x:c>
      <x:c r="Z28" s="17" t="n">
        <x:f>IF(AND(ISNUMBER(SEARCH("ID_003",$M28)),NOT(ISNUMBER(SEARCH("ID_003",$N28)))),1,0)</x:f>
        <x:v>0</x:v>
      </x:c>
      <x:c r="AA28" s="17" t="n">
        <x:f>IF(AND(ISNUMBER(SEARCH("ID_004",$M28)),ISNUMBER(SEARCH("ID_004",$N28))),1,0)</x:f>
        <x:v>0</x:v>
      </x:c>
      <x:c r="AB28" s="17" t="n">
        <x:f>IF(AND(NOT(ISNUMBER(SEARCH("ID_004",$M28))),ISNUMBER(SEARCH("ID_004",$N28))),1,0)</x:f>
        <x:v>0</x:v>
      </x:c>
      <x:c r="AC28" s="17" t="n">
        <x:f>IF(AND(ISNUMBER(SEARCH("ID_004",$M28)),NOT(ISNUMBER(SEARCH("ID_004",$N28)))),1,0)</x:f>
        <x:v>0</x:v>
      </x:c>
      <x:c r="AD28" s="17" t="n">
        <x:f>IF(AND(ISNUMBER(SEARCH("ID_005",$M28)),ISNUMBER(SEARCH("ID_005",$N28))),1,0)</x:f>
        <x:v>0</x:v>
      </x:c>
      <x:c r="AE28" s="17" t="n">
        <x:f>IF(AND(NOT(ISNUMBER(SEARCH("ID_005",$M28))),ISNUMBER(SEARCH("ID_005",$N28))),1,0)</x:f>
        <x:v>0</x:v>
      </x:c>
      <x:c r="AF28" s="17" t="n">
        <x:f>IF(AND(ISNUMBER(SEARCH("ID_005",$M28)),NOT(ISNUMBER(SEARCH("ID_005",$N28)))),1,0)</x:f>
        <x:v>0</x:v>
      </x:c>
      <x:c r="AG28" s="17" t="n">
        <x:f>IF(AND(ISNUMBER(SEARCH("ID_006",$M28)),ISNUMBER(SEARCH("ID_006",$N28))),1,0)</x:f>
        <x:v>0</x:v>
      </x:c>
      <x:c r="AH28" s="17" t="n">
        <x:f>IF(AND(NOT(ISNUMBER(SEARCH("ID_006",$M28))),ISNUMBER(SEARCH("ID_006",$N28))),1,0)</x:f>
        <x:v>0</x:v>
      </x:c>
      <x:c r="AI28" s="17" t="n">
        <x:f>IF(AND(ISNUMBER(SEARCH("ID_006",$M28)),NOT(ISNUMBER(SEARCH("ID_006",$N28)))),1,0)</x:f>
        <x:v>0</x:v>
      </x:c>
      <x:c r="AJ28" s="17" t="n">
        <x:f>IF(AND(ISNUMBER(SEARCH("ID_007",$M28)),ISNUMBER(SEARCH("ID_007",$N28))),1,0)</x:f>
        <x:v>0</x:v>
      </x:c>
      <x:c r="AK28" s="17" t="n">
        <x:f>IF(AND(NOT(ISNUMBER(SEARCH("ID_007",$M28))),ISNUMBER(SEARCH("ID_007",$N28))),1,0)</x:f>
        <x:v>0</x:v>
      </x:c>
      <x:c r="AL28" s="17" t="n">
        <x:f>IF(AND(ISNUMBER(SEARCH("ID_007",$M28)),NOT(ISNUMBER(SEARCH("ID_007",$N28)))),1,0)</x:f>
        <x:v>0</x:v>
      </x:c>
      <x:c r="AM28" s="17" t="n">
        <x:f>IF(AND(ISNUMBER(SEARCH("ID_008",$M28)),ISNUMBER(SEARCH("ID_008",$N28))),1,0)</x:f>
        <x:v>0</x:v>
      </x:c>
      <x:c r="AN28" s="17" t="n">
        <x:f>IF(AND(NOT(ISNUMBER(SEARCH("ID_008",$M28))),ISNUMBER(SEARCH("ID_008",$N28))),1,0)</x:f>
        <x:v>0</x:v>
      </x:c>
      <x:c r="AO28" s="17" t="n">
        <x:f>IF(AND(ISNUMBER(SEARCH("ID_008",$M28)),NOT(ISNUMBER(SEARCH("ID_008",$N28)))),1,0)</x:f>
        <x:v>0</x:v>
      </x:c>
      <x:c r="AP28" s="17" t="n">
        <x:f>IF(AND(ISNUMBER(SEARCH("ID_009",$M28)),ISNUMBER(SEARCH("ID_009",$N28))),1,0)</x:f>
        <x:v>0</x:v>
      </x:c>
      <x:c r="AQ28" s="17" t="n">
        <x:f>IF(AND(NOT(ISNUMBER(SEARCH("ID_009",$M28))),ISNUMBER(SEARCH("ID_009",$N28))),1,0)</x:f>
        <x:v>0</x:v>
      </x:c>
      <x:c r="AR28" s="17" t="n">
        <x:f>IF(AND(ISNUMBER(SEARCH("ID_009",$M28)),NOT(ISNUMBER(SEARCH("ID_009",$N28)))),1,0)</x:f>
        <x:v>0</x:v>
      </x:c>
    </x:row>
    <x:row r="29">
      <x:c r="J29" s="17" t="str">
        <x:v>表格</x:v>
      </x:c>
      <x:c r="K29" s="17" t="str">
        <x:v>row29</x:v>
      </x:c>
      <x:c r="L29" s="29" t="n">
        <x:v>0.92</x:v>
      </x:c>
      <x:c r="M29" s="17" t="str">
        <x:v>ID_000</x:v>
      </x:c>
      <x:c r="N29" s="17" t="str">
        <x:v>ID_000</x:v>
      </x:c>
      <x:c r="O29" s="17" t="n">
        <x:f>IF(AND(ISNUMBER(SEARCH("ID_000",$M29)),ISNUMBER(SEARCH("ID_000",$N29))),1,0)</x:f>
        <x:v>1</x:v>
      </x:c>
      <x:c r="P29" s="17" t="n">
        <x:f>IF(AND(NOT(ISNUMBER(SEARCH("ID_000",$M29))),ISNUMBER(SEARCH("ID_000",$N29))),1,0)</x:f>
        <x:v>0</x:v>
      </x:c>
      <x:c r="Q29" s="17" t="n">
        <x:f>IF(AND(ISNUMBER(SEARCH("ID_000",$M29)),NOT(ISNUMBER(SEARCH("ID_000",$N29)))),1,0)</x:f>
        <x:v>0</x:v>
      </x:c>
      <x:c r="R29" s="17" t="n">
        <x:f>IF(AND(ISNUMBER(SEARCH("ID_001",$M29)),ISNUMBER(SEARCH("ID_001",$N29))),1,0)</x:f>
        <x:v>0</x:v>
      </x:c>
      <x:c r="S29" s="17" t="n">
        <x:f>IF(AND(NOT(ISNUMBER(SEARCH("ID_001",$M29))),ISNUMBER(SEARCH("ID_001",$N29))),1,0)</x:f>
        <x:v>0</x:v>
      </x:c>
      <x:c r="T29" s="17" t="n">
        <x:f>IF(AND(ISNUMBER(SEARCH("ID_001",$M29)),NOT(ISNUMBER(SEARCH("ID_001",$N29)))),1,0)</x:f>
        <x:v>0</x:v>
      </x:c>
      <x:c r="U29" s="17" t="n">
        <x:f>IF(AND(ISNUMBER(SEARCH("ID_002",$M29)),ISNUMBER(SEARCH("ID_002",$N29))),1,0)</x:f>
        <x:v>0</x:v>
      </x:c>
      <x:c r="V29" s="17" t="n">
        <x:f>IF(AND(NOT(ISNUMBER(SEARCH("ID_002",$M29))),ISNUMBER(SEARCH("ID_002",$N29))),1,0)</x:f>
        <x:v>0</x:v>
      </x:c>
      <x:c r="W29" s="17" t="n">
        <x:f>IF(AND(ISNUMBER(SEARCH("ID_002",$M29)),NOT(ISNUMBER(SEARCH("ID_002",$N29)))),1,0)</x:f>
        <x:v>0</x:v>
      </x:c>
      <x:c r="X29" s="17" t="n">
        <x:f>IF(AND(ISNUMBER(SEARCH("ID_003",$M29)),ISNUMBER(SEARCH("ID_003",$N29))),1,0)</x:f>
        <x:v>0</x:v>
      </x:c>
      <x:c r="Y29" s="17" t="n">
        <x:f>IF(AND(NOT(ISNUMBER(SEARCH("ID_003",$M29))),ISNUMBER(SEARCH("ID_003",$N29))),1,0)</x:f>
        <x:v>0</x:v>
      </x:c>
      <x:c r="Z29" s="17" t="n">
        <x:f>IF(AND(ISNUMBER(SEARCH("ID_003",$M29)),NOT(ISNUMBER(SEARCH("ID_003",$N29)))),1,0)</x:f>
        <x:v>0</x:v>
      </x:c>
      <x:c r="AA29" s="17" t="n">
        <x:f>IF(AND(ISNUMBER(SEARCH("ID_004",$M29)),ISNUMBER(SEARCH("ID_004",$N29))),1,0)</x:f>
        <x:v>0</x:v>
      </x:c>
      <x:c r="AB29" s="17" t="n">
        <x:f>IF(AND(NOT(ISNUMBER(SEARCH("ID_004",$M29))),ISNUMBER(SEARCH("ID_004",$N29))),1,0)</x:f>
        <x:v>0</x:v>
      </x:c>
      <x:c r="AC29" s="17" t="n">
        <x:f>IF(AND(ISNUMBER(SEARCH("ID_004",$M29)),NOT(ISNUMBER(SEARCH("ID_004",$N29)))),1,0)</x:f>
        <x:v>0</x:v>
      </x:c>
      <x:c r="AD29" s="17" t="n">
        <x:f>IF(AND(ISNUMBER(SEARCH("ID_005",$M29)),ISNUMBER(SEARCH("ID_005",$N29))),1,0)</x:f>
        <x:v>0</x:v>
      </x:c>
      <x:c r="AE29" s="17" t="n">
        <x:f>IF(AND(NOT(ISNUMBER(SEARCH("ID_005",$M29))),ISNUMBER(SEARCH("ID_005",$N29))),1,0)</x:f>
        <x:v>0</x:v>
      </x:c>
      <x:c r="AF29" s="17" t="n">
        <x:f>IF(AND(ISNUMBER(SEARCH("ID_005",$M29)),NOT(ISNUMBER(SEARCH("ID_005",$N29)))),1,0)</x:f>
        <x:v>0</x:v>
      </x:c>
      <x:c r="AG29" s="17" t="n">
        <x:f>IF(AND(ISNUMBER(SEARCH("ID_006",$M29)),ISNUMBER(SEARCH("ID_006",$N29))),1,0)</x:f>
        <x:v>0</x:v>
      </x:c>
      <x:c r="AH29" s="17" t="n">
        <x:f>IF(AND(NOT(ISNUMBER(SEARCH("ID_006",$M29))),ISNUMBER(SEARCH("ID_006",$N29))),1,0)</x:f>
        <x:v>0</x:v>
      </x:c>
      <x:c r="AI29" s="17" t="n">
        <x:f>IF(AND(ISNUMBER(SEARCH("ID_006",$M29)),NOT(ISNUMBER(SEARCH("ID_006",$N29)))),1,0)</x:f>
        <x:v>0</x:v>
      </x:c>
      <x:c r="AJ29" s="17" t="n">
        <x:f>IF(AND(ISNUMBER(SEARCH("ID_007",$M29)),ISNUMBER(SEARCH("ID_007",$N29))),1,0)</x:f>
        <x:v>0</x:v>
      </x:c>
      <x:c r="AK29" s="17" t="n">
        <x:f>IF(AND(NOT(ISNUMBER(SEARCH("ID_007",$M29))),ISNUMBER(SEARCH("ID_007",$N29))),1,0)</x:f>
        <x:v>0</x:v>
      </x:c>
      <x:c r="AL29" s="17" t="n">
        <x:f>IF(AND(ISNUMBER(SEARCH("ID_007",$M29)),NOT(ISNUMBER(SEARCH("ID_007",$N29)))),1,0)</x:f>
        <x:v>0</x:v>
      </x:c>
      <x:c r="AM29" s="17" t="n">
        <x:f>IF(AND(ISNUMBER(SEARCH("ID_008",$M29)),ISNUMBER(SEARCH("ID_008",$N29))),1,0)</x:f>
        <x:v>0</x:v>
      </x:c>
      <x:c r="AN29" s="17" t="n">
        <x:f>IF(AND(NOT(ISNUMBER(SEARCH("ID_008",$M29))),ISNUMBER(SEARCH("ID_008",$N29))),1,0)</x:f>
        <x:v>0</x:v>
      </x:c>
      <x:c r="AO29" s="17" t="n">
        <x:f>IF(AND(ISNUMBER(SEARCH("ID_008",$M29)),NOT(ISNUMBER(SEARCH("ID_008",$N29)))),1,0)</x:f>
        <x:v>0</x:v>
      </x:c>
      <x:c r="AP29" s="17" t="n">
        <x:f>IF(AND(ISNUMBER(SEARCH("ID_009",$M29)),ISNUMBER(SEARCH("ID_009",$N29))),1,0)</x:f>
        <x:v>0</x:v>
      </x:c>
      <x:c r="AQ29" s="17" t="n">
        <x:f>IF(AND(NOT(ISNUMBER(SEARCH("ID_009",$M29))),ISNUMBER(SEARCH("ID_009",$N29))),1,0)</x:f>
        <x:v>0</x:v>
      </x:c>
      <x:c r="AR29" s="17" t="n">
        <x:f>IF(AND(ISNUMBER(SEARCH("ID_009",$M29)),NOT(ISNUMBER(SEARCH("ID_009",$N29)))),1,0)</x:f>
        <x:v>0</x:v>
      </x:c>
    </x:row>
    <x:row r="30">
      <x:c r="J30" s="17" t="str">
        <x:v>表格</x:v>
      </x:c>
      <x:c r="K30" s="17" t="str">
        <x:v>row30</x:v>
      </x:c>
      <x:c r="L30" s="29" t="n">
        <x:v>0.68</x:v>
      </x:c>
      <x:c r="M30" s="17" t="str">
        <x:v>ID_006</x:v>
      </x:c>
      <x:c r="N30" s="17" t="str">
        <x:v>ID_000</x:v>
      </x:c>
      <x:c r="O30" s="17" t="n">
        <x:f>IF(AND(ISNUMBER(SEARCH("ID_000",$M30)),ISNUMBER(SEARCH("ID_000",$N30))),1,0)</x:f>
        <x:v>0</x:v>
      </x:c>
      <x:c r="P30" s="17" t="n">
        <x:f>IF(AND(NOT(ISNUMBER(SEARCH("ID_000",$M30))),ISNUMBER(SEARCH("ID_000",$N30))),1,0)</x:f>
        <x:v>1</x:v>
      </x:c>
      <x:c r="Q30" s="17" t="n">
        <x:f>IF(AND(ISNUMBER(SEARCH("ID_000",$M30)),NOT(ISNUMBER(SEARCH("ID_000",$N30)))),1,0)</x:f>
        <x:v>0</x:v>
      </x:c>
      <x:c r="R30" s="17" t="n">
        <x:f>IF(AND(ISNUMBER(SEARCH("ID_001",$M30)),ISNUMBER(SEARCH("ID_001",$N30))),1,0)</x:f>
        <x:v>0</x:v>
      </x:c>
      <x:c r="S30" s="17" t="n">
        <x:f>IF(AND(NOT(ISNUMBER(SEARCH("ID_001",$M30))),ISNUMBER(SEARCH("ID_001",$N30))),1,0)</x:f>
        <x:v>0</x:v>
      </x:c>
      <x:c r="T30" s="17" t="n">
        <x:f>IF(AND(ISNUMBER(SEARCH("ID_001",$M30)),NOT(ISNUMBER(SEARCH("ID_001",$N30)))),1,0)</x:f>
        <x:v>0</x:v>
      </x:c>
      <x:c r="U30" s="17" t="n">
        <x:f>IF(AND(ISNUMBER(SEARCH("ID_002",$M30)),ISNUMBER(SEARCH("ID_002",$N30))),1,0)</x:f>
        <x:v>0</x:v>
      </x:c>
      <x:c r="V30" s="17" t="n">
        <x:f>IF(AND(NOT(ISNUMBER(SEARCH("ID_002",$M30))),ISNUMBER(SEARCH("ID_002",$N30))),1,0)</x:f>
        <x:v>0</x:v>
      </x:c>
      <x:c r="W30" s="17" t="n">
        <x:f>IF(AND(ISNUMBER(SEARCH("ID_002",$M30)),NOT(ISNUMBER(SEARCH("ID_002",$N30)))),1,0)</x:f>
        <x:v>0</x:v>
      </x:c>
      <x:c r="X30" s="17" t="n">
        <x:f>IF(AND(ISNUMBER(SEARCH("ID_003",$M30)),ISNUMBER(SEARCH("ID_003",$N30))),1,0)</x:f>
        <x:v>0</x:v>
      </x:c>
      <x:c r="Y30" s="17" t="n">
        <x:f>IF(AND(NOT(ISNUMBER(SEARCH("ID_003",$M30))),ISNUMBER(SEARCH("ID_003",$N30))),1,0)</x:f>
        <x:v>0</x:v>
      </x:c>
      <x:c r="Z30" s="17" t="n">
        <x:f>IF(AND(ISNUMBER(SEARCH("ID_003",$M30)),NOT(ISNUMBER(SEARCH("ID_003",$N30)))),1,0)</x:f>
        <x:v>0</x:v>
      </x:c>
      <x:c r="AA30" s="17" t="n">
        <x:f>IF(AND(ISNUMBER(SEARCH("ID_004",$M30)),ISNUMBER(SEARCH("ID_004",$N30))),1,0)</x:f>
        <x:v>0</x:v>
      </x:c>
      <x:c r="AB30" s="17" t="n">
        <x:f>IF(AND(NOT(ISNUMBER(SEARCH("ID_004",$M30))),ISNUMBER(SEARCH("ID_004",$N30))),1,0)</x:f>
        <x:v>0</x:v>
      </x:c>
      <x:c r="AC30" s="17" t="n">
        <x:f>IF(AND(ISNUMBER(SEARCH("ID_004",$M30)),NOT(ISNUMBER(SEARCH("ID_004",$N30)))),1,0)</x:f>
        <x:v>0</x:v>
      </x:c>
      <x:c r="AD30" s="17" t="n">
        <x:f>IF(AND(ISNUMBER(SEARCH("ID_005",$M30)),ISNUMBER(SEARCH("ID_005",$N30))),1,0)</x:f>
        <x:v>0</x:v>
      </x:c>
      <x:c r="AE30" s="17" t="n">
        <x:f>IF(AND(NOT(ISNUMBER(SEARCH("ID_005",$M30))),ISNUMBER(SEARCH("ID_005",$N30))),1,0)</x:f>
        <x:v>0</x:v>
      </x:c>
      <x:c r="AF30" s="17" t="n">
        <x:f>IF(AND(ISNUMBER(SEARCH("ID_005",$M30)),NOT(ISNUMBER(SEARCH("ID_005",$N30)))),1,0)</x:f>
        <x:v>0</x:v>
      </x:c>
      <x:c r="AG30" s="17" t="n">
        <x:f>IF(AND(ISNUMBER(SEARCH("ID_006",$M30)),ISNUMBER(SEARCH("ID_006",$N30))),1,0)</x:f>
        <x:v>0</x:v>
      </x:c>
      <x:c r="AH30" s="17" t="n">
        <x:f>IF(AND(NOT(ISNUMBER(SEARCH("ID_006",$M30))),ISNUMBER(SEARCH("ID_006",$N30))),1,0)</x:f>
        <x:v>0</x:v>
      </x:c>
      <x:c r="AI30" s="17" t="n">
        <x:f>IF(AND(ISNUMBER(SEARCH("ID_006",$M30)),NOT(ISNUMBER(SEARCH("ID_006",$N30)))),1,0)</x:f>
        <x:v>1</x:v>
      </x:c>
      <x:c r="AJ30" s="17" t="n">
        <x:f>IF(AND(ISNUMBER(SEARCH("ID_007",$M30)),ISNUMBER(SEARCH("ID_007",$N30))),1,0)</x:f>
        <x:v>0</x:v>
      </x:c>
      <x:c r="AK30" s="17" t="n">
        <x:f>IF(AND(NOT(ISNUMBER(SEARCH("ID_007",$M30))),ISNUMBER(SEARCH("ID_007",$N30))),1,0)</x:f>
        <x:v>0</x:v>
      </x:c>
      <x:c r="AL30" s="17" t="n">
        <x:f>IF(AND(ISNUMBER(SEARCH("ID_007",$M30)),NOT(ISNUMBER(SEARCH("ID_007",$N30)))),1,0)</x:f>
        <x:v>0</x:v>
      </x:c>
      <x:c r="AM30" s="17" t="n">
        <x:f>IF(AND(ISNUMBER(SEARCH("ID_008",$M30)),ISNUMBER(SEARCH("ID_008",$N30))),1,0)</x:f>
        <x:v>0</x:v>
      </x:c>
      <x:c r="AN30" s="17" t="n">
        <x:f>IF(AND(NOT(ISNUMBER(SEARCH("ID_008",$M30))),ISNUMBER(SEARCH("ID_008",$N30))),1,0)</x:f>
        <x:v>0</x:v>
      </x:c>
      <x:c r="AO30" s="17" t="n">
        <x:f>IF(AND(ISNUMBER(SEARCH("ID_008",$M30)),NOT(ISNUMBER(SEARCH("ID_008",$N30)))),1,0)</x:f>
        <x:v>0</x:v>
      </x:c>
      <x:c r="AP30" s="17" t="n">
        <x:f>IF(AND(ISNUMBER(SEARCH("ID_009",$M30)),ISNUMBER(SEARCH("ID_009",$N30))),1,0)</x:f>
        <x:v>0</x:v>
      </x:c>
      <x:c r="AQ30" s="17" t="n">
        <x:f>IF(AND(NOT(ISNUMBER(SEARCH("ID_009",$M30))),ISNUMBER(SEARCH("ID_009",$N30))),1,0)</x:f>
        <x:v>0</x:v>
      </x:c>
      <x:c r="AR30" s="17" t="n">
        <x:f>IF(AND(ISNUMBER(SEARCH("ID_009",$M30)),NOT(ISNUMBER(SEARCH("ID_009",$N30)))),1,0)</x:f>
        <x:v>0</x:v>
      </x:c>
    </x:row>
    <x:row r="31">
      <x:c r="J31" s="17" t="str">
        <x:v>表格</x:v>
      </x:c>
      <x:c r="K31" s="17" t="str">
        <x:v>row31</x:v>
      </x:c>
      <x:c r="L31" s="29" t="n">
        <x:v>1.78</x:v>
      </x:c>
      <x:c r="M31" s="17" t="str">
        <x:v>ID_007</x:v>
      </x:c>
      <x:c r="N31" s="17" t="str">
        <x:v>ID_007</x:v>
      </x:c>
      <x:c r="O31" s="17" t="n">
        <x:f>IF(AND(ISNUMBER(SEARCH("ID_000",$M31)),ISNUMBER(SEARCH("ID_000",$N31))),1,0)</x:f>
        <x:v>0</x:v>
      </x:c>
      <x:c r="P31" s="17" t="n">
        <x:f>IF(AND(NOT(ISNUMBER(SEARCH("ID_000",$M31))),ISNUMBER(SEARCH("ID_000",$N31))),1,0)</x:f>
        <x:v>0</x:v>
      </x:c>
      <x:c r="Q31" s="17" t="n">
        <x:f>IF(AND(ISNUMBER(SEARCH("ID_000",$M31)),NOT(ISNUMBER(SEARCH("ID_000",$N31)))),1,0)</x:f>
        <x:v>0</x:v>
      </x:c>
      <x:c r="R31" s="17" t="n">
        <x:f>IF(AND(ISNUMBER(SEARCH("ID_001",$M31)),ISNUMBER(SEARCH("ID_001",$N31))),1,0)</x:f>
        <x:v>0</x:v>
      </x:c>
      <x:c r="S31" s="17" t="n">
        <x:f>IF(AND(NOT(ISNUMBER(SEARCH("ID_001",$M31))),ISNUMBER(SEARCH("ID_001",$N31))),1,0)</x:f>
        <x:v>0</x:v>
      </x:c>
      <x:c r="T31" s="17" t="n">
        <x:f>IF(AND(ISNUMBER(SEARCH("ID_001",$M31)),NOT(ISNUMBER(SEARCH("ID_001",$N31)))),1,0)</x:f>
        <x:v>0</x:v>
      </x:c>
      <x:c r="U31" s="17" t="n">
        <x:f>IF(AND(ISNUMBER(SEARCH("ID_002",$M31)),ISNUMBER(SEARCH("ID_002",$N31))),1,0)</x:f>
        <x:v>0</x:v>
      </x:c>
      <x:c r="V31" s="17" t="n">
        <x:f>IF(AND(NOT(ISNUMBER(SEARCH("ID_002",$M31))),ISNUMBER(SEARCH("ID_002",$N31))),1,0)</x:f>
        <x:v>0</x:v>
      </x:c>
      <x:c r="W31" s="17" t="n">
        <x:f>IF(AND(ISNUMBER(SEARCH("ID_002",$M31)),NOT(ISNUMBER(SEARCH("ID_002",$N31)))),1,0)</x:f>
        <x:v>0</x:v>
      </x:c>
      <x:c r="X31" s="17" t="n">
        <x:f>IF(AND(ISNUMBER(SEARCH("ID_003",$M31)),ISNUMBER(SEARCH("ID_003",$N31))),1,0)</x:f>
        <x:v>0</x:v>
      </x:c>
      <x:c r="Y31" s="17" t="n">
        <x:f>IF(AND(NOT(ISNUMBER(SEARCH("ID_003",$M31))),ISNUMBER(SEARCH("ID_003",$N31))),1,0)</x:f>
        <x:v>0</x:v>
      </x:c>
      <x:c r="Z31" s="17" t="n">
        <x:f>IF(AND(ISNUMBER(SEARCH("ID_003",$M31)),NOT(ISNUMBER(SEARCH("ID_003",$N31)))),1,0)</x:f>
        <x:v>0</x:v>
      </x:c>
      <x:c r="AA31" s="17" t="n">
        <x:f>IF(AND(ISNUMBER(SEARCH("ID_004",$M31)),ISNUMBER(SEARCH("ID_004",$N31))),1,0)</x:f>
        <x:v>0</x:v>
      </x:c>
      <x:c r="AB31" s="17" t="n">
        <x:f>IF(AND(NOT(ISNUMBER(SEARCH("ID_004",$M31))),ISNUMBER(SEARCH("ID_004",$N31))),1,0)</x:f>
        <x:v>0</x:v>
      </x:c>
      <x:c r="AC31" s="17" t="n">
        <x:f>IF(AND(ISNUMBER(SEARCH("ID_004",$M31)),NOT(ISNUMBER(SEARCH("ID_004",$N31)))),1,0)</x:f>
        <x:v>0</x:v>
      </x:c>
      <x:c r="AD31" s="17" t="n">
        <x:f>IF(AND(ISNUMBER(SEARCH("ID_005",$M31)),ISNUMBER(SEARCH("ID_005",$N31))),1,0)</x:f>
        <x:v>0</x:v>
      </x:c>
      <x:c r="AE31" s="17" t="n">
        <x:f>IF(AND(NOT(ISNUMBER(SEARCH("ID_005",$M31))),ISNUMBER(SEARCH("ID_005",$N31))),1,0)</x:f>
        <x:v>0</x:v>
      </x:c>
      <x:c r="AF31" s="17" t="n">
        <x:f>IF(AND(ISNUMBER(SEARCH("ID_005",$M31)),NOT(ISNUMBER(SEARCH("ID_005",$N31)))),1,0)</x:f>
        <x:v>0</x:v>
      </x:c>
      <x:c r="AG31" s="17" t="n">
        <x:f>IF(AND(ISNUMBER(SEARCH("ID_006",$M31)),ISNUMBER(SEARCH("ID_006",$N31))),1,0)</x:f>
        <x:v>0</x:v>
      </x:c>
      <x:c r="AH31" s="17" t="n">
        <x:f>IF(AND(NOT(ISNUMBER(SEARCH("ID_006",$M31))),ISNUMBER(SEARCH("ID_006",$N31))),1,0)</x:f>
        <x:v>0</x:v>
      </x:c>
      <x:c r="AI31" s="17" t="n">
        <x:f>IF(AND(ISNUMBER(SEARCH("ID_006",$M31)),NOT(ISNUMBER(SEARCH("ID_006",$N31)))),1,0)</x:f>
        <x:v>0</x:v>
      </x:c>
      <x:c r="AJ31" s="17" t="n">
        <x:f>IF(AND(ISNUMBER(SEARCH("ID_007",$M31)),ISNUMBER(SEARCH("ID_007",$N31))),1,0)</x:f>
        <x:v>1</x:v>
      </x:c>
      <x:c r="AK31" s="17" t="n">
        <x:f>IF(AND(NOT(ISNUMBER(SEARCH("ID_007",$M31))),ISNUMBER(SEARCH("ID_007",$N31))),1,0)</x:f>
        <x:v>0</x:v>
      </x:c>
      <x:c r="AL31" s="17" t="n">
        <x:f>IF(AND(ISNUMBER(SEARCH("ID_007",$M31)),NOT(ISNUMBER(SEARCH("ID_007",$N31)))),1,0)</x:f>
        <x:v>0</x:v>
      </x:c>
      <x:c r="AM31" s="17" t="n">
        <x:f>IF(AND(ISNUMBER(SEARCH("ID_008",$M31)),ISNUMBER(SEARCH("ID_008",$N31))),1,0)</x:f>
        <x:v>0</x:v>
      </x:c>
      <x:c r="AN31" s="17" t="n">
        <x:f>IF(AND(NOT(ISNUMBER(SEARCH("ID_008",$M31))),ISNUMBER(SEARCH("ID_008",$N31))),1,0)</x:f>
        <x:v>0</x:v>
      </x:c>
      <x:c r="AO31" s="17" t="n">
        <x:f>IF(AND(ISNUMBER(SEARCH("ID_008",$M31)),NOT(ISNUMBER(SEARCH("ID_008",$N31)))),1,0)</x:f>
        <x:v>0</x:v>
      </x:c>
      <x:c r="AP31" s="17" t="n">
        <x:f>IF(AND(ISNUMBER(SEARCH("ID_009",$M31)),ISNUMBER(SEARCH("ID_009",$N31))),1,0)</x:f>
        <x:v>0</x:v>
      </x:c>
      <x:c r="AQ31" s="17" t="n">
        <x:f>IF(AND(NOT(ISNUMBER(SEARCH("ID_009",$M31))),ISNUMBER(SEARCH("ID_009",$N31))),1,0)</x:f>
        <x:v>0</x:v>
      </x:c>
      <x:c r="AR31" s="17" t="n">
        <x:f>IF(AND(ISNUMBER(SEARCH("ID_009",$M31)),NOT(ISNUMBER(SEARCH("ID_009",$N31)))),1,0)</x:f>
        <x:v>0</x:v>
      </x:c>
    </x:row>
    <x:row r="32">
      <x:c r="J32" s="17" t="str">
        <x:v>补充</x:v>
      </x:c>
      <x:c r="K32" s="17" t="str">
        <x:v>extra1</x:v>
      </x:c>
      <x:c r="L32" s="29" t="n">
        <x:v>1.25</x:v>
      </x:c>
      <x:c r="M32" s="17" t="str">
        <x:v>ID_001</x:v>
      </x:c>
      <x:c r="N32" s="17" t="str">
        <x:v>ID_001</x:v>
      </x:c>
      <x:c r="O32" s="17" t="n">
        <x:f>IF(AND(ISNUMBER(SEARCH("ID_000",$M32)),ISNUMBER(SEARCH("ID_000",$N32))),1,0)</x:f>
        <x:v>0</x:v>
      </x:c>
      <x:c r="P32" s="17" t="n">
        <x:f>IF(AND(NOT(ISNUMBER(SEARCH("ID_000",$M32))),ISNUMBER(SEARCH("ID_000",$N32))),1,0)</x:f>
        <x:v>0</x:v>
      </x:c>
      <x:c r="Q32" s="17" t="n">
        <x:f>IF(AND(ISNUMBER(SEARCH("ID_000",$M32)),NOT(ISNUMBER(SEARCH("ID_000",$N32)))),1,0)</x:f>
        <x:v>0</x:v>
      </x:c>
      <x:c r="R32" s="17" t="n">
        <x:f>IF(AND(ISNUMBER(SEARCH("ID_001",$M32)),ISNUMBER(SEARCH("ID_001",$N32))),1,0)</x:f>
        <x:v>1</x:v>
      </x:c>
      <x:c r="S32" s="17" t="n">
        <x:f>IF(AND(NOT(ISNUMBER(SEARCH("ID_001",$M32))),ISNUMBER(SEARCH("ID_001",$N32))),1,0)</x:f>
        <x:v>0</x:v>
      </x:c>
      <x:c r="T32" s="17" t="n">
        <x:f>IF(AND(ISNUMBER(SEARCH("ID_001",$M32)),NOT(ISNUMBER(SEARCH("ID_001",$N32)))),1,0)</x:f>
        <x:v>0</x:v>
      </x:c>
      <x:c r="U32" s="17" t="n">
        <x:f>IF(AND(ISNUMBER(SEARCH("ID_002",$M32)),ISNUMBER(SEARCH("ID_002",$N32))),1,0)</x:f>
        <x:v>0</x:v>
      </x:c>
      <x:c r="V32" s="17" t="n">
        <x:f>IF(AND(NOT(ISNUMBER(SEARCH("ID_002",$M32))),ISNUMBER(SEARCH("ID_002",$N32))),1,0)</x:f>
        <x:v>0</x:v>
      </x:c>
      <x:c r="W32" s="17" t="n">
        <x:f>IF(AND(ISNUMBER(SEARCH("ID_002",$M32)),NOT(ISNUMBER(SEARCH("ID_002",$N32)))),1,0)</x:f>
        <x:v>0</x:v>
      </x:c>
      <x:c r="X32" s="17" t="n">
        <x:f>IF(AND(ISNUMBER(SEARCH("ID_003",$M32)),ISNUMBER(SEARCH("ID_003",$N32))),1,0)</x:f>
        <x:v>0</x:v>
      </x:c>
      <x:c r="Y32" s="17" t="n">
        <x:f>IF(AND(NOT(ISNUMBER(SEARCH("ID_003",$M32))),ISNUMBER(SEARCH("ID_003",$N32))),1,0)</x:f>
        <x:v>0</x:v>
      </x:c>
      <x:c r="Z32" s="17" t="n">
        <x:f>IF(AND(ISNUMBER(SEARCH("ID_003",$M32)),NOT(ISNUMBER(SEARCH("ID_003",$N32)))),1,0)</x:f>
        <x:v>0</x:v>
      </x:c>
      <x:c r="AA32" s="17" t="n">
        <x:f>IF(AND(ISNUMBER(SEARCH("ID_004",$M32)),ISNUMBER(SEARCH("ID_004",$N32))),1,0)</x:f>
        <x:v>0</x:v>
      </x:c>
      <x:c r="AB32" s="17" t="n">
        <x:f>IF(AND(NOT(ISNUMBER(SEARCH("ID_004",$M32))),ISNUMBER(SEARCH("ID_004",$N32))),1,0)</x:f>
        <x:v>0</x:v>
      </x:c>
      <x:c r="AC32" s="17" t="n">
        <x:f>IF(AND(ISNUMBER(SEARCH("ID_004",$M32)),NOT(ISNUMBER(SEARCH("ID_004",$N32)))),1,0)</x:f>
        <x:v>0</x:v>
      </x:c>
      <x:c r="AD32" s="17" t="n">
        <x:f>IF(AND(ISNUMBER(SEARCH("ID_005",$M32)),ISNUMBER(SEARCH("ID_005",$N32))),1,0)</x:f>
        <x:v>0</x:v>
      </x:c>
      <x:c r="AE32" s="17" t="n">
        <x:f>IF(AND(NOT(ISNUMBER(SEARCH("ID_005",$M32))),ISNUMBER(SEARCH("ID_005",$N32))),1,0)</x:f>
        <x:v>0</x:v>
      </x:c>
      <x:c r="AF32" s="17" t="n">
        <x:f>IF(AND(ISNUMBER(SEARCH("ID_005",$M32)),NOT(ISNUMBER(SEARCH("ID_005",$N32)))),1,0)</x:f>
        <x:v>0</x:v>
      </x:c>
      <x:c r="AG32" s="17" t="n">
        <x:f>IF(AND(ISNUMBER(SEARCH("ID_006",$M32)),ISNUMBER(SEARCH("ID_006",$N32))),1,0)</x:f>
        <x:v>0</x:v>
      </x:c>
      <x:c r="AH32" s="17" t="n">
        <x:f>IF(AND(NOT(ISNUMBER(SEARCH("ID_006",$M32))),ISNUMBER(SEARCH("ID_006",$N32))),1,0)</x:f>
        <x:v>0</x:v>
      </x:c>
      <x:c r="AI32" s="17" t="n">
        <x:f>IF(AND(ISNUMBER(SEARCH("ID_006",$M32)),NOT(ISNUMBER(SEARCH("ID_006",$N32)))),1,0)</x:f>
        <x:v>0</x:v>
      </x:c>
      <x:c r="AJ32" s="17" t="n">
        <x:f>IF(AND(ISNUMBER(SEARCH("ID_007",$M32)),ISNUMBER(SEARCH("ID_007",$N32))),1,0)</x:f>
        <x:v>0</x:v>
      </x:c>
      <x:c r="AK32" s="17" t="n">
        <x:f>IF(AND(NOT(ISNUMBER(SEARCH("ID_007",$M32))),ISNUMBER(SEARCH("ID_007",$N32))),1,0)</x:f>
        <x:v>0</x:v>
      </x:c>
      <x:c r="AL32" s="17" t="n">
        <x:f>IF(AND(ISNUMBER(SEARCH("ID_007",$M32)),NOT(ISNUMBER(SEARCH("ID_007",$N32)))),1,0)</x:f>
        <x:v>0</x:v>
      </x:c>
      <x:c r="AM32" s="17" t="n">
        <x:f>IF(AND(ISNUMBER(SEARCH("ID_008",$M32)),ISNUMBER(SEARCH("ID_008",$N32))),1,0)</x:f>
        <x:v>0</x:v>
      </x:c>
      <x:c r="AN32" s="17" t="n">
        <x:f>IF(AND(NOT(ISNUMBER(SEARCH("ID_008",$M32))),ISNUMBER(SEARCH("ID_008",$N32))),1,0)</x:f>
        <x:v>0</x:v>
      </x:c>
      <x:c r="AO32" s="17" t="n">
        <x:f>IF(AND(ISNUMBER(SEARCH("ID_008",$M32)),NOT(ISNUMBER(SEARCH("ID_008",$N32)))),1,0)</x:f>
        <x:v>0</x:v>
      </x:c>
      <x:c r="AP32" s="17" t="n">
        <x:f>IF(AND(ISNUMBER(SEARCH("ID_009",$M32)),ISNUMBER(SEARCH("ID_009",$N32))),1,0)</x:f>
        <x:v>0</x:v>
      </x:c>
      <x:c r="AQ32" s="17" t="n">
        <x:f>IF(AND(NOT(ISNUMBER(SEARCH("ID_009",$M32))),ISNUMBER(SEARCH("ID_009",$N32))),1,0)</x:f>
        <x:v>0</x:v>
      </x:c>
      <x:c r="AR32" s="17" t="n">
        <x:f>IF(AND(ISNUMBER(SEARCH("ID_009",$M32)),NOT(ISNUMBER(SEARCH("ID_009",$N32)))),1,0)</x:f>
        <x:v>0</x:v>
      </x:c>
    </x:row>
    <x:row r="33">
      <x:c r="J33" s="17" t="str">
        <x:v>补充</x:v>
      </x:c>
      <x:c r="K33" s="17" t="str">
        <x:v>extra2</x:v>
      </x:c>
      <x:c r="L33" s="29" t="n">
        <x:v>0.71</x:v>
      </x:c>
      <x:c r="M33" s="17" t="str">
        <x:v>ID_001</x:v>
      </x:c>
      <x:c r="N33" s="17" t="str">
        <x:v>ID_001</x:v>
      </x:c>
      <x:c r="O33" s="17" t="n">
        <x:f>IF(AND(ISNUMBER(SEARCH("ID_000",$M33)),ISNUMBER(SEARCH("ID_000",$N33))),1,0)</x:f>
        <x:v>0</x:v>
      </x:c>
      <x:c r="P33" s="17" t="n">
        <x:f>IF(AND(NOT(ISNUMBER(SEARCH("ID_000",$M33))),ISNUMBER(SEARCH("ID_000",$N33))),1,0)</x:f>
        <x:v>0</x:v>
      </x:c>
      <x:c r="Q33" s="17" t="n">
        <x:f>IF(AND(ISNUMBER(SEARCH("ID_000",$M33)),NOT(ISNUMBER(SEARCH("ID_000",$N33)))),1,0)</x:f>
        <x:v>0</x:v>
      </x:c>
      <x:c r="R33" s="17" t="n">
        <x:f>IF(AND(ISNUMBER(SEARCH("ID_001",$M33)),ISNUMBER(SEARCH("ID_001",$N33))),1,0)</x:f>
        <x:v>1</x:v>
      </x:c>
      <x:c r="S33" s="17" t="n">
        <x:f>IF(AND(NOT(ISNUMBER(SEARCH("ID_001",$M33))),ISNUMBER(SEARCH("ID_001",$N33))),1,0)</x:f>
        <x:v>0</x:v>
      </x:c>
      <x:c r="T33" s="17" t="n">
        <x:f>IF(AND(ISNUMBER(SEARCH("ID_001",$M33)),NOT(ISNUMBER(SEARCH("ID_001",$N33)))),1,0)</x:f>
        <x:v>0</x:v>
      </x:c>
      <x:c r="U33" s="17" t="n">
        <x:f>IF(AND(ISNUMBER(SEARCH("ID_002",$M33)),ISNUMBER(SEARCH("ID_002",$N33))),1,0)</x:f>
        <x:v>0</x:v>
      </x:c>
      <x:c r="V33" s="17" t="n">
        <x:f>IF(AND(NOT(ISNUMBER(SEARCH("ID_002",$M33))),ISNUMBER(SEARCH("ID_002",$N33))),1,0)</x:f>
        <x:v>0</x:v>
      </x:c>
      <x:c r="W33" s="17" t="n">
        <x:f>IF(AND(ISNUMBER(SEARCH("ID_002",$M33)),NOT(ISNUMBER(SEARCH("ID_002",$N33)))),1,0)</x:f>
        <x:v>0</x:v>
      </x:c>
      <x:c r="X33" s="17" t="n">
        <x:f>IF(AND(ISNUMBER(SEARCH("ID_003",$M33)),ISNUMBER(SEARCH("ID_003",$N33))),1,0)</x:f>
        <x:v>0</x:v>
      </x:c>
      <x:c r="Y33" s="17" t="n">
        <x:f>IF(AND(NOT(ISNUMBER(SEARCH("ID_003",$M33))),ISNUMBER(SEARCH("ID_003",$N33))),1,0)</x:f>
        <x:v>0</x:v>
      </x:c>
      <x:c r="Z33" s="17" t="n">
        <x:f>IF(AND(ISNUMBER(SEARCH("ID_003",$M33)),NOT(ISNUMBER(SEARCH("ID_003",$N33)))),1,0)</x:f>
        <x:v>0</x:v>
      </x:c>
      <x:c r="AA33" s="17" t="n">
        <x:f>IF(AND(ISNUMBER(SEARCH("ID_004",$M33)),ISNUMBER(SEARCH("ID_004",$N33))),1,0)</x:f>
        <x:v>0</x:v>
      </x:c>
      <x:c r="AB33" s="17" t="n">
        <x:f>IF(AND(NOT(ISNUMBER(SEARCH("ID_004",$M33))),ISNUMBER(SEARCH("ID_004",$N33))),1,0)</x:f>
        <x:v>0</x:v>
      </x:c>
      <x:c r="AC33" s="17" t="n">
        <x:f>IF(AND(ISNUMBER(SEARCH("ID_004",$M33)),NOT(ISNUMBER(SEARCH("ID_004",$N33)))),1,0)</x:f>
        <x:v>0</x:v>
      </x:c>
      <x:c r="AD33" s="17" t="n">
        <x:f>IF(AND(ISNUMBER(SEARCH("ID_005",$M33)),ISNUMBER(SEARCH("ID_005",$N33))),1,0)</x:f>
        <x:v>0</x:v>
      </x:c>
      <x:c r="AE33" s="17" t="n">
        <x:f>IF(AND(NOT(ISNUMBER(SEARCH("ID_005",$M33))),ISNUMBER(SEARCH("ID_005",$N33))),1,0)</x:f>
        <x:v>0</x:v>
      </x:c>
      <x:c r="AF33" s="17" t="n">
        <x:f>IF(AND(ISNUMBER(SEARCH("ID_005",$M33)),NOT(ISNUMBER(SEARCH("ID_005",$N33)))),1,0)</x:f>
        <x:v>0</x:v>
      </x:c>
      <x:c r="AG33" s="17" t="n">
        <x:f>IF(AND(ISNUMBER(SEARCH("ID_006",$M33)),ISNUMBER(SEARCH("ID_006",$N33))),1,0)</x:f>
        <x:v>0</x:v>
      </x:c>
      <x:c r="AH33" s="17" t="n">
        <x:f>IF(AND(NOT(ISNUMBER(SEARCH("ID_006",$M33))),ISNUMBER(SEARCH("ID_006",$N33))),1,0)</x:f>
        <x:v>0</x:v>
      </x:c>
      <x:c r="AI33" s="17" t="n">
        <x:f>IF(AND(ISNUMBER(SEARCH("ID_006",$M33)),NOT(ISNUMBER(SEARCH("ID_006",$N33)))),1,0)</x:f>
        <x:v>0</x:v>
      </x:c>
      <x:c r="AJ33" s="17" t="n">
        <x:f>IF(AND(ISNUMBER(SEARCH("ID_007",$M33)),ISNUMBER(SEARCH("ID_007",$N33))),1,0)</x:f>
        <x:v>0</x:v>
      </x:c>
      <x:c r="AK33" s="17" t="n">
        <x:f>IF(AND(NOT(ISNUMBER(SEARCH("ID_007",$M33))),ISNUMBER(SEARCH("ID_007",$N33))),1,0)</x:f>
        <x:v>0</x:v>
      </x:c>
      <x:c r="AL33" s="17" t="n">
        <x:f>IF(AND(ISNUMBER(SEARCH("ID_007",$M33)),NOT(ISNUMBER(SEARCH("ID_007",$N33)))),1,0)</x:f>
        <x:v>0</x:v>
      </x:c>
      <x:c r="AM33" s="17" t="n">
        <x:f>IF(AND(ISNUMBER(SEARCH("ID_008",$M33)),ISNUMBER(SEARCH("ID_008",$N33))),1,0)</x:f>
        <x:v>0</x:v>
      </x:c>
      <x:c r="AN33" s="17" t="n">
        <x:f>IF(AND(NOT(ISNUMBER(SEARCH("ID_008",$M33))),ISNUMBER(SEARCH("ID_008",$N33))),1,0)</x:f>
        <x:v>0</x:v>
      </x:c>
      <x:c r="AO33" s="17" t="n">
        <x:f>IF(AND(ISNUMBER(SEARCH("ID_008",$M33)),NOT(ISNUMBER(SEARCH("ID_008",$N33)))),1,0)</x:f>
        <x:v>0</x:v>
      </x:c>
      <x:c r="AP33" s="17" t="n">
        <x:f>IF(AND(ISNUMBER(SEARCH("ID_009",$M33)),ISNUMBER(SEARCH("ID_009",$N33))),1,0)</x:f>
        <x:v>0</x:v>
      </x:c>
      <x:c r="AQ33" s="17" t="n">
        <x:f>IF(AND(NOT(ISNUMBER(SEARCH("ID_009",$M33))),ISNUMBER(SEARCH("ID_009",$N33))),1,0)</x:f>
        <x:v>0</x:v>
      </x:c>
      <x:c r="AR33" s="17" t="n">
        <x:f>IF(AND(ISNUMBER(SEARCH("ID_009",$M33)),NOT(ISNUMBER(SEARCH("ID_009",$N33)))),1,0)</x:f>
        <x:v>0</x:v>
      </x:c>
    </x:row>
    <x:row r="34">
      <x:c r="J34" s="17" t="str">
        <x:v>补充</x:v>
      </x:c>
      <x:c r="K34" s="17" t="str">
        <x:v>extra3</x:v>
      </x:c>
      <x:c r="L34" s="29" t="n">
        <x:v>0.99</x:v>
      </x:c>
      <x:c r="M34" s="17" t="str">
        <x:v>ID_002</x:v>
      </x:c>
      <x:c r="N34" s="17" t="str">
        <x:v>ID_002</x:v>
      </x:c>
      <x:c r="O34" s="17" t="n">
        <x:f>IF(AND(ISNUMBER(SEARCH("ID_000",$M34)),ISNUMBER(SEARCH("ID_000",$N34))),1,0)</x:f>
        <x:v>0</x:v>
      </x:c>
      <x:c r="P34" s="17" t="n">
        <x:f>IF(AND(NOT(ISNUMBER(SEARCH("ID_000",$M34))),ISNUMBER(SEARCH("ID_000",$N34))),1,0)</x:f>
        <x:v>0</x:v>
      </x:c>
      <x:c r="Q34" s="17" t="n">
        <x:f>IF(AND(ISNUMBER(SEARCH("ID_000",$M34)),NOT(ISNUMBER(SEARCH("ID_000",$N34)))),1,0)</x:f>
        <x:v>0</x:v>
      </x:c>
      <x:c r="R34" s="17" t="n">
        <x:f>IF(AND(ISNUMBER(SEARCH("ID_001",$M34)),ISNUMBER(SEARCH("ID_001",$N34))),1,0)</x:f>
        <x:v>0</x:v>
      </x:c>
      <x:c r="S34" s="17" t="n">
        <x:f>IF(AND(NOT(ISNUMBER(SEARCH("ID_001",$M34))),ISNUMBER(SEARCH("ID_001",$N34))),1,0)</x:f>
        <x:v>0</x:v>
      </x:c>
      <x:c r="T34" s="17" t="n">
        <x:f>IF(AND(ISNUMBER(SEARCH("ID_001",$M34)),NOT(ISNUMBER(SEARCH("ID_001",$N34)))),1,0)</x:f>
        <x:v>0</x:v>
      </x:c>
      <x:c r="U34" s="17" t="n">
        <x:f>IF(AND(ISNUMBER(SEARCH("ID_002",$M34)),ISNUMBER(SEARCH("ID_002",$N34))),1,0)</x:f>
        <x:v>1</x:v>
      </x:c>
      <x:c r="V34" s="17" t="n">
        <x:f>IF(AND(NOT(ISNUMBER(SEARCH("ID_002",$M34))),ISNUMBER(SEARCH("ID_002",$N34))),1,0)</x:f>
        <x:v>0</x:v>
      </x:c>
      <x:c r="W34" s="17" t="n">
        <x:f>IF(AND(ISNUMBER(SEARCH("ID_002",$M34)),NOT(ISNUMBER(SEARCH("ID_002",$N34)))),1,0)</x:f>
        <x:v>0</x:v>
      </x:c>
      <x:c r="X34" s="17" t="n">
        <x:f>IF(AND(ISNUMBER(SEARCH("ID_003",$M34)),ISNUMBER(SEARCH("ID_003",$N34))),1,0)</x:f>
        <x:v>0</x:v>
      </x:c>
      <x:c r="Y34" s="17" t="n">
        <x:f>IF(AND(NOT(ISNUMBER(SEARCH("ID_003",$M34))),ISNUMBER(SEARCH("ID_003",$N34))),1,0)</x:f>
        <x:v>0</x:v>
      </x:c>
      <x:c r="Z34" s="17" t="n">
        <x:f>IF(AND(ISNUMBER(SEARCH("ID_003",$M34)),NOT(ISNUMBER(SEARCH("ID_003",$N34)))),1,0)</x:f>
        <x:v>0</x:v>
      </x:c>
      <x:c r="AA34" s="17" t="n">
        <x:f>IF(AND(ISNUMBER(SEARCH("ID_004",$M34)),ISNUMBER(SEARCH("ID_004",$N34))),1,0)</x:f>
        <x:v>0</x:v>
      </x:c>
      <x:c r="AB34" s="17" t="n">
        <x:f>IF(AND(NOT(ISNUMBER(SEARCH("ID_004",$M34))),ISNUMBER(SEARCH("ID_004",$N34))),1,0)</x:f>
        <x:v>0</x:v>
      </x:c>
      <x:c r="AC34" s="17" t="n">
        <x:f>IF(AND(ISNUMBER(SEARCH("ID_004",$M34)),NOT(ISNUMBER(SEARCH("ID_004",$N34)))),1,0)</x:f>
        <x:v>0</x:v>
      </x:c>
      <x:c r="AD34" s="17" t="n">
        <x:f>IF(AND(ISNUMBER(SEARCH("ID_005",$M34)),ISNUMBER(SEARCH("ID_005",$N34))),1,0)</x:f>
        <x:v>0</x:v>
      </x:c>
      <x:c r="AE34" s="17" t="n">
        <x:f>IF(AND(NOT(ISNUMBER(SEARCH("ID_005",$M34))),ISNUMBER(SEARCH("ID_005",$N34))),1,0)</x:f>
        <x:v>0</x:v>
      </x:c>
      <x:c r="AF34" s="17" t="n">
        <x:f>IF(AND(ISNUMBER(SEARCH("ID_005",$M34)),NOT(ISNUMBER(SEARCH("ID_005",$N34)))),1,0)</x:f>
        <x:v>0</x:v>
      </x:c>
      <x:c r="AG34" s="17" t="n">
        <x:f>IF(AND(ISNUMBER(SEARCH("ID_006",$M34)),ISNUMBER(SEARCH("ID_006",$N34))),1,0)</x:f>
        <x:v>0</x:v>
      </x:c>
      <x:c r="AH34" s="17" t="n">
        <x:f>IF(AND(NOT(ISNUMBER(SEARCH("ID_006",$M34))),ISNUMBER(SEARCH("ID_006",$N34))),1,0)</x:f>
        <x:v>0</x:v>
      </x:c>
      <x:c r="AI34" s="17" t="n">
        <x:f>IF(AND(ISNUMBER(SEARCH("ID_006",$M34)),NOT(ISNUMBER(SEARCH("ID_006",$N34)))),1,0)</x:f>
        <x:v>0</x:v>
      </x:c>
      <x:c r="AJ34" s="17" t="n">
        <x:f>IF(AND(ISNUMBER(SEARCH("ID_007",$M34)),ISNUMBER(SEARCH("ID_007",$N34))),1,0)</x:f>
        <x:v>0</x:v>
      </x:c>
      <x:c r="AK34" s="17" t="n">
        <x:f>IF(AND(NOT(ISNUMBER(SEARCH("ID_007",$M34))),ISNUMBER(SEARCH("ID_007",$N34))),1,0)</x:f>
        <x:v>0</x:v>
      </x:c>
      <x:c r="AL34" s="17" t="n">
        <x:f>IF(AND(ISNUMBER(SEARCH("ID_007",$M34)),NOT(ISNUMBER(SEARCH("ID_007",$N34)))),1,0)</x:f>
        <x:v>0</x:v>
      </x:c>
      <x:c r="AM34" s="17" t="n">
        <x:f>IF(AND(ISNUMBER(SEARCH("ID_008",$M34)),ISNUMBER(SEARCH("ID_008",$N34))),1,0)</x:f>
        <x:v>0</x:v>
      </x:c>
      <x:c r="AN34" s="17" t="n">
        <x:f>IF(AND(NOT(ISNUMBER(SEARCH("ID_008",$M34))),ISNUMBER(SEARCH("ID_008",$N34))),1,0)</x:f>
        <x:v>0</x:v>
      </x:c>
      <x:c r="AO34" s="17" t="n">
        <x:f>IF(AND(ISNUMBER(SEARCH("ID_008",$M34)),NOT(ISNUMBER(SEARCH("ID_008",$N34)))),1,0)</x:f>
        <x:v>0</x:v>
      </x:c>
      <x:c r="AP34" s="17" t="n">
        <x:f>IF(AND(ISNUMBER(SEARCH("ID_009",$M34)),ISNUMBER(SEARCH("ID_009",$N34))),1,0)</x:f>
        <x:v>0</x:v>
      </x:c>
      <x:c r="AQ34" s="17" t="n">
        <x:f>IF(AND(NOT(ISNUMBER(SEARCH("ID_009",$M34))),ISNUMBER(SEARCH("ID_009",$N34))),1,0)</x:f>
        <x:v>0</x:v>
      </x:c>
      <x:c r="AR34" s="17" t="n">
        <x:f>IF(AND(ISNUMBER(SEARCH("ID_009",$M34)),NOT(ISNUMBER(SEARCH("ID_009",$N34)))),1,0)</x:f>
        <x:v>0</x:v>
      </x:c>
    </x:row>
    <x:row r="35">
      <x:c r="J35" s="17" t="str">
        <x:v>补充</x:v>
      </x:c>
      <x:c r="K35" s="17" t="str">
        <x:v>extra4</x:v>
      </x:c>
      <x:c r="L35" s="29" t="n">
        <x:v>1.9</x:v>
      </x:c>
      <x:c r="M35" s="17" t="str">
        <x:v>ID_002</x:v>
      </x:c>
      <x:c r="N35" s="17" t="str">
        <x:v>ID_002</x:v>
      </x:c>
      <x:c r="O35" s="17" t="n">
        <x:f>IF(AND(ISNUMBER(SEARCH("ID_000",$M35)),ISNUMBER(SEARCH("ID_000",$N35))),1,0)</x:f>
        <x:v>0</x:v>
      </x:c>
      <x:c r="P35" s="17" t="n">
        <x:f>IF(AND(NOT(ISNUMBER(SEARCH("ID_000",$M35))),ISNUMBER(SEARCH("ID_000",$N35))),1,0)</x:f>
        <x:v>0</x:v>
      </x:c>
      <x:c r="Q35" s="17" t="n">
        <x:f>IF(AND(ISNUMBER(SEARCH("ID_000",$M35)),NOT(ISNUMBER(SEARCH("ID_000",$N35)))),1,0)</x:f>
        <x:v>0</x:v>
      </x:c>
      <x:c r="R35" s="17" t="n">
        <x:f>IF(AND(ISNUMBER(SEARCH("ID_001",$M35)),ISNUMBER(SEARCH("ID_001",$N35))),1,0)</x:f>
        <x:v>0</x:v>
      </x:c>
      <x:c r="S35" s="17" t="n">
        <x:f>IF(AND(NOT(ISNUMBER(SEARCH("ID_001",$M35))),ISNUMBER(SEARCH("ID_001",$N35))),1,0)</x:f>
        <x:v>0</x:v>
      </x:c>
      <x:c r="T35" s="17" t="n">
        <x:f>IF(AND(ISNUMBER(SEARCH("ID_001",$M35)),NOT(ISNUMBER(SEARCH("ID_001",$N35)))),1,0)</x:f>
        <x:v>0</x:v>
      </x:c>
      <x:c r="U35" s="17" t="n">
        <x:f>IF(AND(ISNUMBER(SEARCH("ID_002",$M35)),ISNUMBER(SEARCH("ID_002",$N35))),1,0)</x:f>
        <x:v>1</x:v>
      </x:c>
      <x:c r="V35" s="17" t="n">
        <x:f>IF(AND(NOT(ISNUMBER(SEARCH("ID_002",$M35))),ISNUMBER(SEARCH("ID_002",$N35))),1,0)</x:f>
        <x:v>0</x:v>
      </x:c>
      <x:c r="W35" s="17" t="n">
        <x:f>IF(AND(ISNUMBER(SEARCH("ID_002",$M35)),NOT(ISNUMBER(SEARCH("ID_002",$N35)))),1,0)</x:f>
        <x:v>0</x:v>
      </x:c>
      <x:c r="X35" s="17" t="n">
        <x:f>IF(AND(ISNUMBER(SEARCH("ID_003",$M35)),ISNUMBER(SEARCH("ID_003",$N35))),1,0)</x:f>
        <x:v>0</x:v>
      </x:c>
      <x:c r="Y35" s="17" t="n">
        <x:f>IF(AND(NOT(ISNUMBER(SEARCH("ID_003",$M35))),ISNUMBER(SEARCH("ID_003",$N35))),1,0)</x:f>
        <x:v>0</x:v>
      </x:c>
      <x:c r="Z35" s="17" t="n">
        <x:f>IF(AND(ISNUMBER(SEARCH("ID_003",$M35)),NOT(ISNUMBER(SEARCH("ID_003",$N35)))),1,0)</x:f>
        <x:v>0</x:v>
      </x:c>
      <x:c r="AA35" s="17" t="n">
        <x:f>IF(AND(ISNUMBER(SEARCH("ID_004",$M35)),ISNUMBER(SEARCH("ID_004",$N35))),1,0)</x:f>
        <x:v>0</x:v>
      </x:c>
      <x:c r="AB35" s="17" t="n">
        <x:f>IF(AND(NOT(ISNUMBER(SEARCH("ID_004",$M35))),ISNUMBER(SEARCH("ID_004",$N35))),1,0)</x:f>
        <x:v>0</x:v>
      </x:c>
      <x:c r="AC35" s="17" t="n">
        <x:f>IF(AND(ISNUMBER(SEARCH("ID_004",$M35)),NOT(ISNUMBER(SEARCH("ID_004",$N35)))),1,0)</x:f>
        <x:v>0</x:v>
      </x:c>
      <x:c r="AD35" s="17" t="n">
        <x:f>IF(AND(ISNUMBER(SEARCH("ID_005",$M35)),ISNUMBER(SEARCH("ID_005",$N35))),1,0)</x:f>
        <x:v>0</x:v>
      </x:c>
      <x:c r="AE35" s="17" t="n">
        <x:f>IF(AND(NOT(ISNUMBER(SEARCH("ID_005",$M35))),ISNUMBER(SEARCH("ID_005",$N35))),1,0)</x:f>
        <x:v>0</x:v>
      </x:c>
      <x:c r="AF35" s="17" t="n">
        <x:f>IF(AND(ISNUMBER(SEARCH("ID_005",$M35)),NOT(ISNUMBER(SEARCH("ID_005",$N35)))),1,0)</x:f>
        <x:v>0</x:v>
      </x:c>
      <x:c r="AG35" s="17" t="n">
        <x:f>IF(AND(ISNUMBER(SEARCH("ID_006",$M35)),ISNUMBER(SEARCH("ID_006",$N35))),1,0)</x:f>
        <x:v>0</x:v>
      </x:c>
      <x:c r="AH35" s="17" t="n">
        <x:f>IF(AND(NOT(ISNUMBER(SEARCH("ID_006",$M35))),ISNUMBER(SEARCH("ID_006",$N35))),1,0)</x:f>
        <x:v>0</x:v>
      </x:c>
      <x:c r="AI35" s="17" t="n">
        <x:f>IF(AND(ISNUMBER(SEARCH("ID_006",$M35)),NOT(ISNUMBER(SEARCH("ID_006",$N35)))),1,0)</x:f>
        <x:v>0</x:v>
      </x:c>
      <x:c r="AJ35" s="17" t="n">
        <x:f>IF(AND(ISNUMBER(SEARCH("ID_007",$M35)),ISNUMBER(SEARCH("ID_007",$N35))),1,0)</x:f>
        <x:v>0</x:v>
      </x:c>
      <x:c r="AK35" s="17" t="n">
        <x:f>IF(AND(NOT(ISNUMBER(SEARCH("ID_007",$M35))),ISNUMBER(SEARCH("ID_007",$N35))),1,0)</x:f>
        <x:v>0</x:v>
      </x:c>
      <x:c r="AL35" s="17" t="n">
        <x:f>IF(AND(ISNUMBER(SEARCH("ID_007",$M35)),NOT(ISNUMBER(SEARCH("ID_007",$N35)))),1,0)</x:f>
        <x:v>0</x:v>
      </x:c>
      <x:c r="AM35" s="17" t="n">
        <x:f>IF(AND(ISNUMBER(SEARCH("ID_008",$M35)),ISNUMBER(SEARCH("ID_008",$N35))),1,0)</x:f>
        <x:v>0</x:v>
      </x:c>
      <x:c r="AN35" s="17" t="n">
        <x:f>IF(AND(NOT(ISNUMBER(SEARCH("ID_008",$M35))),ISNUMBER(SEARCH("ID_008",$N35))),1,0)</x:f>
        <x:v>0</x:v>
      </x:c>
      <x:c r="AO35" s="17" t="n">
        <x:f>IF(AND(ISNUMBER(SEARCH("ID_008",$M35)),NOT(ISNUMBER(SEARCH("ID_008",$N35)))),1,0)</x:f>
        <x:v>0</x:v>
      </x:c>
      <x:c r="AP35" s="17" t="n">
        <x:f>IF(AND(ISNUMBER(SEARCH("ID_009",$M35)),ISNUMBER(SEARCH("ID_009",$N35))),1,0)</x:f>
        <x:v>0</x:v>
      </x:c>
      <x:c r="AQ35" s="17" t="n">
        <x:f>IF(AND(NOT(ISNUMBER(SEARCH("ID_009",$M35))),ISNUMBER(SEARCH("ID_009",$N35))),1,0)</x:f>
        <x:v>0</x:v>
      </x:c>
      <x:c r="AR35" s="17" t="n">
        <x:f>IF(AND(ISNUMBER(SEARCH("ID_009",$M35)),NOT(ISNUMBER(SEARCH("ID_009",$N35)))),1,0)</x:f>
        <x:v>0</x:v>
      </x:c>
    </x:row>
    <x:row r="36">
      <x:c r="J36" s="17" t="str">
        <x:v>补充</x:v>
      </x:c>
      <x:c r="K36" s="17" t="str">
        <x:v>extra5</x:v>
      </x:c>
      <x:c r="L36" s="29" t="n">
        <x:v>0.85</x:v>
      </x:c>
      <x:c r="M36" s="17" t="str">
        <x:v>ID_002</x:v>
      </x:c>
      <x:c r="N36" s="17" t="str">
        <x:v>ID_002</x:v>
      </x:c>
      <x:c r="O36" s="17" t="n">
        <x:f>IF(AND(ISNUMBER(SEARCH("ID_000",$M36)),ISNUMBER(SEARCH("ID_000",$N36))),1,0)</x:f>
        <x:v>0</x:v>
      </x:c>
      <x:c r="P36" s="17" t="n">
        <x:f>IF(AND(NOT(ISNUMBER(SEARCH("ID_000",$M36))),ISNUMBER(SEARCH("ID_000",$N36))),1,0)</x:f>
        <x:v>0</x:v>
      </x:c>
      <x:c r="Q36" s="17" t="n">
        <x:f>IF(AND(ISNUMBER(SEARCH("ID_000",$M36)),NOT(ISNUMBER(SEARCH("ID_000",$N36)))),1,0)</x:f>
        <x:v>0</x:v>
      </x:c>
      <x:c r="R36" s="17" t="n">
        <x:f>IF(AND(ISNUMBER(SEARCH("ID_001",$M36)),ISNUMBER(SEARCH("ID_001",$N36))),1,0)</x:f>
        <x:v>0</x:v>
      </x:c>
      <x:c r="S36" s="17" t="n">
        <x:f>IF(AND(NOT(ISNUMBER(SEARCH("ID_001",$M36))),ISNUMBER(SEARCH("ID_001",$N36))),1,0)</x:f>
        <x:v>0</x:v>
      </x:c>
      <x:c r="T36" s="17" t="n">
        <x:f>IF(AND(ISNUMBER(SEARCH("ID_001",$M36)),NOT(ISNUMBER(SEARCH("ID_001",$N36)))),1,0)</x:f>
        <x:v>0</x:v>
      </x:c>
      <x:c r="U36" s="17" t="n">
        <x:f>IF(AND(ISNUMBER(SEARCH("ID_002",$M36)),ISNUMBER(SEARCH("ID_002",$N36))),1,0)</x:f>
        <x:v>1</x:v>
      </x:c>
      <x:c r="V36" s="17" t="n">
        <x:f>IF(AND(NOT(ISNUMBER(SEARCH("ID_002",$M36))),ISNUMBER(SEARCH("ID_002",$N36))),1,0)</x:f>
        <x:v>0</x:v>
      </x:c>
      <x:c r="W36" s="17" t="n">
        <x:f>IF(AND(ISNUMBER(SEARCH("ID_002",$M36)),NOT(ISNUMBER(SEARCH("ID_002",$N36)))),1,0)</x:f>
        <x:v>0</x:v>
      </x:c>
      <x:c r="X36" s="17" t="n">
        <x:f>IF(AND(ISNUMBER(SEARCH("ID_003",$M36)),ISNUMBER(SEARCH("ID_003",$N36))),1,0)</x:f>
        <x:v>0</x:v>
      </x:c>
      <x:c r="Y36" s="17" t="n">
        <x:f>IF(AND(NOT(ISNUMBER(SEARCH("ID_003",$M36))),ISNUMBER(SEARCH("ID_003",$N36))),1,0)</x:f>
        <x:v>0</x:v>
      </x:c>
      <x:c r="Z36" s="17" t="n">
        <x:f>IF(AND(ISNUMBER(SEARCH("ID_003",$M36)),NOT(ISNUMBER(SEARCH("ID_003",$N36)))),1,0)</x:f>
        <x:v>0</x:v>
      </x:c>
      <x:c r="AA36" s="17" t="n">
        <x:f>IF(AND(ISNUMBER(SEARCH("ID_004",$M36)),ISNUMBER(SEARCH("ID_004",$N36))),1,0)</x:f>
        <x:v>0</x:v>
      </x:c>
      <x:c r="AB36" s="17" t="n">
        <x:f>IF(AND(NOT(ISNUMBER(SEARCH("ID_004",$M36))),ISNUMBER(SEARCH("ID_004",$N36))),1,0)</x:f>
        <x:v>0</x:v>
      </x:c>
      <x:c r="AC36" s="17" t="n">
        <x:f>IF(AND(ISNUMBER(SEARCH("ID_004",$M36)),NOT(ISNUMBER(SEARCH("ID_004",$N36)))),1,0)</x:f>
        <x:v>0</x:v>
      </x:c>
      <x:c r="AD36" s="17" t="n">
        <x:f>IF(AND(ISNUMBER(SEARCH("ID_005",$M36)),ISNUMBER(SEARCH("ID_005",$N36))),1,0)</x:f>
        <x:v>0</x:v>
      </x:c>
      <x:c r="AE36" s="17" t="n">
        <x:f>IF(AND(NOT(ISNUMBER(SEARCH("ID_005",$M36))),ISNUMBER(SEARCH("ID_005",$N36))),1,0)</x:f>
        <x:v>0</x:v>
      </x:c>
      <x:c r="AF36" s="17" t="n">
        <x:f>IF(AND(ISNUMBER(SEARCH("ID_005",$M36)),NOT(ISNUMBER(SEARCH("ID_005",$N36)))),1,0)</x:f>
        <x:v>0</x:v>
      </x:c>
      <x:c r="AG36" s="17" t="n">
        <x:f>IF(AND(ISNUMBER(SEARCH("ID_006",$M36)),ISNUMBER(SEARCH("ID_006",$N36))),1,0)</x:f>
        <x:v>0</x:v>
      </x:c>
      <x:c r="AH36" s="17" t="n">
        <x:f>IF(AND(NOT(ISNUMBER(SEARCH("ID_006",$M36))),ISNUMBER(SEARCH("ID_006",$N36))),1,0)</x:f>
        <x:v>0</x:v>
      </x:c>
      <x:c r="AI36" s="17" t="n">
        <x:f>IF(AND(ISNUMBER(SEARCH("ID_006",$M36)),NOT(ISNUMBER(SEARCH("ID_006",$N36)))),1,0)</x:f>
        <x:v>0</x:v>
      </x:c>
      <x:c r="AJ36" s="17" t="n">
        <x:f>IF(AND(ISNUMBER(SEARCH("ID_007",$M36)),ISNUMBER(SEARCH("ID_007",$N36))),1,0)</x:f>
        <x:v>0</x:v>
      </x:c>
      <x:c r="AK36" s="17" t="n">
        <x:f>IF(AND(NOT(ISNUMBER(SEARCH("ID_007",$M36))),ISNUMBER(SEARCH("ID_007",$N36))),1,0)</x:f>
        <x:v>0</x:v>
      </x:c>
      <x:c r="AL36" s="17" t="n">
        <x:f>IF(AND(ISNUMBER(SEARCH("ID_007",$M36)),NOT(ISNUMBER(SEARCH("ID_007",$N36)))),1,0)</x:f>
        <x:v>0</x:v>
      </x:c>
      <x:c r="AM36" s="17" t="n">
        <x:f>IF(AND(ISNUMBER(SEARCH("ID_008",$M36)),ISNUMBER(SEARCH("ID_008",$N36))),1,0)</x:f>
        <x:v>0</x:v>
      </x:c>
      <x:c r="AN36" s="17" t="n">
        <x:f>IF(AND(NOT(ISNUMBER(SEARCH("ID_008",$M36))),ISNUMBER(SEARCH("ID_008",$N36))),1,0)</x:f>
        <x:v>0</x:v>
      </x:c>
      <x:c r="AO36" s="17" t="n">
        <x:f>IF(AND(ISNUMBER(SEARCH("ID_008",$M36)),NOT(ISNUMBER(SEARCH("ID_008",$N36)))),1,0)</x:f>
        <x:v>0</x:v>
      </x:c>
      <x:c r="AP36" s="17" t="n">
        <x:f>IF(AND(ISNUMBER(SEARCH("ID_009",$M36)),ISNUMBER(SEARCH("ID_009",$N36))),1,0)</x:f>
        <x:v>0</x:v>
      </x:c>
      <x:c r="AQ36" s="17" t="n">
        <x:f>IF(AND(NOT(ISNUMBER(SEARCH("ID_009",$M36))),ISNUMBER(SEARCH("ID_009",$N36))),1,0)</x:f>
        <x:v>0</x:v>
      </x:c>
      <x:c r="AR36" s="17" t="n">
        <x:f>IF(AND(ISNUMBER(SEARCH("ID_009",$M36)),NOT(ISNUMBER(SEARCH("ID_009",$N36)))),1,0)</x:f>
        <x:v>0</x:v>
      </x:c>
    </x:row>
    <x:row r="37">
      <x:c r="J37" s="17" t="str">
        <x:v>补充</x:v>
      </x:c>
      <x:c r="K37" s="17" t="str">
        <x:v>extra6</x:v>
      </x:c>
      <x:c r="L37" s="29" t="n">
        <x:v>1.31</x:v>
      </x:c>
      <x:c r="M37" s="17" t="str">
        <x:v>ID_003</x:v>
      </x:c>
      <x:c r="N37" s="17" t="str">
        <x:v>ID_003</x:v>
      </x:c>
      <x:c r="O37" s="17" t="n">
        <x:f>IF(AND(ISNUMBER(SEARCH("ID_000",$M37)),ISNUMBER(SEARCH("ID_000",$N37))),1,0)</x:f>
        <x:v>0</x:v>
      </x:c>
      <x:c r="P37" s="17" t="n">
        <x:f>IF(AND(NOT(ISNUMBER(SEARCH("ID_000",$M37))),ISNUMBER(SEARCH("ID_000",$N37))),1,0)</x:f>
        <x:v>0</x:v>
      </x:c>
      <x:c r="Q37" s="17" t="n">
        <x:f>IF(AND(ISNUMBER(SEARCH("ID_000",$M37)),NOT(ISNUMBER(SEARCH("ID_000",$N37)))),1,0)</x:f>
        <x:v>0</x:v>
      </x:c>
      <x:c r="R37" s="17" t="n">
        <x:f>IF(AND(ISNUMBER(SEARCH("ID_001",$M37)),ISNUMBER(SEARCH("ID_001",$N37))),1,0)</x:f>
        <x:v>0</x:v>
      </x:c>
      <x:c r="S37" s="17" t="n">
        <x:f>IF(AND(NOT(ISNUMBER(SEARCH("ID_001",$M37))),ISNUMBER(SEARCH("ID_001",$N37))),1,0)</x:f>
        <x:v>0</x:v>
      </x:c>
      <x:c r="T37" s="17" t="n">
        <x:f>IF(AND(ISNUMBER(SEARCH("ID_001",$M37)),NOT(ISNUMBER(SEARCH("ID_001",$N37)))),1,0)</x:f>
        <x:v>0</x:v>
      </x:c>
      <x:c r="U37" s="17" t="n">
        <x:f>IF(AND(ISNUMBER(SEARCH("ID_002",$M37)),ISNUMBER(SEARCH("ID_002",$N37))),1,0)</x:f>
        <x:v>0</x:v>
      </x:c>
      <x:c r="V37" s="17" t="n">
        <x:f>IF(AND(NOT(ISNUMBER(SEARCH("ID_002",$M37))),ISNUMBER(SEARCH("ID_002",$N37))),1,0)</x:f>
        <x:v>0</x:v>
      </x:c>
      <x:c r="W37" s="17" t="n">
        <x:f>IF(AND(ISNUMBER(SEARCH("ID_002",$M37)),NOT(ISNUMBER(SEARCH("ID_002",$N37)))),1,0)</x:f>
        <x:v>0</x:v>
      </x:c>
      <x:c r="X37" s="17" t="n">
        <x:f>IF(AND(ISNUMBER(SEARCH("ID_003",$M37)),ISNUMBER(SEARCH("ID_003",$N37))),1,0)</x:f>
        <x:v>1</x:v>
      </x:c>
      <x:c r="Y37" s="17" t="n">
        <x:f>IF(AND(NOT(ISNUMBER(SEARCH("ID_003",$M37))),ISNUMBER(SEARCH("ID_003",$N37))),1,0)</x:f>
        <x:v>0</x:v>
      </x:c>
      <x:c r="Z37" s="17" t="n">
        <x:f>IF(AND(ISNUMBER(SEARCH("ID_003",$M37)),NOT(ISNUMBER(SEARCH("ID_003",$N37)))),1,0)</x:f>
        <x:v>0</x:v>
      </x:c>
      <x:c r="AA37" s="17" t="n">
        <x:f>IF(AND(ISNUMBER(SEARCH("ID_004",$M37)),ISNUMBER(SEARCH("ID_004",$N37))),1,0)</x:f>
        <x:v>0</x:v>
      </x:c>
      <x:c r="AB37" s="17" t="n">
        <x:f>IF(AND(NOT(ISNUMBER(SEARCH("ID_004",$M37))),ISNUMBER(SEARCH("ID_004",$N37))),1,0)</x:f>
        <x:v>0</x:v>
      </x:c>
      <x:c r="AC37" s="17" t="n">
        <x:f>IF(AND(ISNUMBER(SEARCH("ID_004",$M37)),NOT(ISNUMBER(SEARCH("ID_004",$N37)))),1,0)</x:f>
        <x:v>0</x:v>
      </x:c>
      <x:c r="AD37" s="17" t="n">
        <x:f>IF(AND(ISNUMBER(SEARCH("ID_005",$M37)),ISNUMBER(SEARCH("ID_005",$N37))),1,0)</x:f>
        <x:v>0</x:v>
      </x:c>
      <x:c r="AE37" s="17" t="n">
        <x:f>IF(AND(NOT(ISNUMBER(SEARCH("ID_005",$M37))),ISNUMBER(SEARCH("ID_005",$N37))),1,0)</x:f>
        <x:v>0</x:v>
      </x:c>
      <x:c r="AF37" s="17" t="n">
        <x:f>IF(AND(ISNUMBER(SEARCH("ID_005",$M37)),NOT(ISNUMBER(SEARCH("ID_005",$N37)))),1,0)</x:f>
        <x:v>0</x:v>
      </x:c>
      <x:c r="AG37" s="17" t="n">
        <x:f>IF(AND(ISNUMBER(SEARCH("ID_006",$M37)),ISNUMBER(SEARCH("ID_006",$N37))),1,0)</x:f>
        <x:v>0</x:v>
      </x:c>
      <x:c r="AH37" s="17" t="n">
        <x:f>IF(AND(NOT(ISNUMBER(SEARCH("ID_006",$M37))),ISNUMBER(SEARCH("ID_006",$N37))),1,0)</x:f>
        <x:v>0</x:v>
      </x:c>
      <x:c r="AI37" s="17" t="n">
        <x:f>IF(AND(ISNUMBER(SEARCH("ID_006",$M37)),NOT(ISNUMBER(SEARCH("ID_006",$N37)))),1,0)</x:f>
        <x:v>0</x:v>
      </x:c>
      <x:c r="AJ37" s="17" t="n">
        <x:f>IF(AND(ISNUMBER(SEARCH("ID_007",$M37)),ISNUMBER(SEARCH("ID_007",$N37))),1,0)</x:f>
        <x:v>0</x:v>
      </x:c>
      <x:c r="AK37" s="17" t="n">
        <x:f>IF(AND(NOT(ISNUMBER(SEARCH("ID_007",$M37))),ISNUMBER(SEARCH("ID_007",$N37))),1,0)</x:f>
        <x:v>0</x:v>
      </x:c>
      <x:c r="AL37" s="17" t="n">
        <x:f>IF(AND(ISNUMBER(SEARCH("ID_007",$M37)),NOT(ISNUMBER(SEARCH("ID_007",$N37)))),1,0)</x:f>
        <x:v>0</x:v>
      </x:c>
      <x:c r="AM37" s="17" t="n">
        <x:f>IF(AND(ISNUMBER(SEARCH("ID_008",$M37)),ISNUMBER(SEARCH("ID_008",$N37))),1,0)</x:f>
        <x:v>0</x:v>
      </x:c>
      <x:c r="AN37" s="17" t="n">
        <x:f>IF(AND(NOT(ISNUMBER(SEARCH("ID_008",$M37))),ISNUMBER(SEARCH("ID_008",$N37))),1,0)</x:f>
        <x:v>0</x:v>
      </x:c>
      <x:c r="AO37" s="17" t="n">
        <x:f>IF(AND(ISNUMBER(SEARCH("ID_008",$M37)),NOT(ISNUMBER(SEARCH("ID_008",$N37)))),1,0)</x:f>
        <x:v>0</x:v>
      </x:c>
      <x:c r="AP37" s="17" t="n">
        <x:f>IF(AND(ISNUMBER(SEARCH("ID_009",$M37)),ISNUMBER(SEARCH("ID_009",$N37))),1,0)</x:f>
        <x:v>0</x:v>
      </x:c>
      <x:c r="AQ37" s="17" t="n">
        <x:f>IF(AND(NOT(ISNUMBER(SEARCH("ID_009",$M37))),ISNUMBER(SEARCH("ID_009",$N37))),1,0)</x:f>
        <x:v>0</x:v>
      </x:c>
      <x:c r="AR37" s="17" t="n">
        <x:f>IF(AND(ISNUMBER(SEARCH("ID_009",$M37)),NOT(ISNUMBER(SEARCH("ID_009",$N37)))),1,0)</x:f>
        <x:v>0</x:v>
      </x:c>
    </x:row>
    <x:row r="38">
      <x:c r="J38" s="17" t="str">
        <x:v>补充</x:v>
      </x:c>
      <x:c r="K38" s="17" t="str">
        <x:v>extra7</x:v>
      </x:c>
      <x:c r="L38" s="29" t="n">
        <x:v>1.1</x:v>
      </x:c>
      <x:c r="M38" s="17" t="str">
        <x:v>ID_003</x:v>
      </x:c>
      <x:c r="N38" s="17" t="str">
        <x:v>ID_003</x:v>
      </x:c>
      <x:c r="O38" s="17" t="n">
        <x:f>IF(AND(ISNUMBER(SEARCH("ID_000",$M38)),ISNUMBER(SEARCH("ID_000",$N38))),1,0)</x:f>
        <x:v>0</x:v>
      </x:c>
      <x:c r="P38" s="17" t="n">
        <x:f>IF(AND(NOT(ISNUMBER(SEARCH("ID_000",$M38))),ISNUMBER(SEARCH("ID_000",$N38))),1,0)</x:f>
        <x:v>0</x:v>
      </x:c>
      <x:c r="Q38" s="17" t="n">
        <x:f>IF(AND(ISNUMBER(SEARCH("ID_000",$M38)),NOT(ISNUMBER(SEARCH("ID_000",$N38)))),1,0)</x:f>
        <x:v>0</x:v>
      </x:c>
      <x:c r="R38" s="17" t="n">
        <x:f>IF(AND(ISNUMBER(SEARCH("ID_001",$M38)),ISNUMBER(SEARCH("ID_001",$N38))),1,0)</x:f>
        <x:v>0</x:v>
      </x:c>
      <x:c r="S38" s="17" t="n">
        <x:f>IF(AND(NOT(ISNUMBER(SEARCH("ID_001",$M38))),ISNUMBER(SEARCH("ID_001",$N38))),1,0)</x:f>
        <x:v>0</x:v>
      </x:c>
      <x:c r="T38" s="17" t="n">
        <x:f>IF(AND(ISNUMBER(SEARCH("ID_001",$M38)),NOT(ISNUMBER(SEARCH("ID_001",$N38)))),1,0)</x:f>
        <x:v>0</x:v>
      </x:c>
      <x:c r="U38" s="17" t="n">
        <x:f>IF(AND(ISNUMBER(SEARCH("ID_002",$M38)),ISNUMBER(SEARCH("ID_002",$N38))),1,0)</x:f>
        <x:v>0</x:v>
      </x:c>
      <x:c r="V38" s="17" t="n">
        <x:f>IF(AND(NOT(ISNUMBER(SEARCH("ID_002",$M38))),ISNUMBER(SEARCH("ID_002",$N38))),1,0)</x:f>
        <x:v>0</x:v>
      </x:c>
      <x:c r="W38" s="17" t="n">
        <x:f>IF(AND(ISNUMBER(SEARCH("ID_002",$M38)),NOT(ISNUMBER(SEARCH("ID_002",$N38)))),1,0)</x:f>
        <x:v>0</x:v>
      </x:c>
      <x:c r="X38" s="17" t="n">
        <x:f>IF(AND(ISNUMBER(SEARCH("ID_003",$M38)),ISNUMBER(SEARCH("ID_003",$N38))),1,0)</x:f>
        <x:v>1</x:v>
      </x:c>
      <x:c r="Y38" s="17" t="n">
        <x:f>IF(AND(NOT(ISNUMBER(SEARCH("ID_003",$M38))),ISNUMBER(SEARCH("ID_003",$N38))),1,0)</x:f>
        <x:v>0</x:v>
      </x:c>
      <x:c r="Z38" s="17" t="n">
        <x:f>IF(AND(ISNUMBER(SEARCH("ID_003",$M38)),NOT(ISNUMBER(SEARCH("ID_003",$N38)))),1,0)</x:f>
        <x:v>0</x:v>
      </x:c>
      <x:c r="AA38" s="17" t="n">
        <x:f>IF(AND(ISNUMBER(SEARCH("ID_004",$M38)),ISNUMBER(SEARCH("ID_004",$N38))),1,0)</x:f>
        <x:v>0</x:v>
      </x:c>
      <x:c r="AB38" s="17" t="n">
        <x:f>IF(AND(NOT(ISNUMBER(SEARCH("ID_004",$M38))),ISNUMBER(SEARCH("ID_004",$N38))),1,0)</x:f>
        <x:v>0</x:v>
      </x:c>
      <x:c r="AC38" s="17" t="n">
        <x:f>IF(AND(ISNUMBER(SEARCH("ID_004",$M38)),NOT(ISNUMBER(SEARCH("ID_004",$N38)))),1,0)</x:f>
        <x:v>0</x:v>
      </x:c>
      <x:c r="AD38" s="17" t="n">
        <x:f>IF(AND(ISNUMBER(SEARCH("ID_005",$M38)),ISNUMBER(SEARCH("ID_005",$N38))),1,0)</x:f>
        <x:v>0</x:v>
      </x:c>
      <x:c r="AE38" s="17" t="n">
        <x:f>IF(AND(NOT(ISNUMBER(SEARCH("ID_005",$M38))),ISNUMBER(SEARCH("ID_005",$N38))),1,0)</x:f>
        <x:v>0</x:v>
      </x:c>
      <x:c r="AF38" s="17" t="n">
        <x:f>IF(AND(ISNUMBER(SEARCH("ID_005",$M38)),NOT(ISNUMBER(SEARCH("ID_005",$N38)))),1,0)</x:f>
        <x:v>0</x:v>
      </x:c>
      <x:c r="AG38" s="17" t="n">
        <x:f>IF(AND(ISNUMBER(SEARCH("ID_006",$M38)),ISNUMBER(SEARCH("ID_006",$N38))),1,0)</x:f>
        <x:v>0</x:v>
      </x:c>
      <x:c r="AH38" s="17" t="n">
        <x:f>IF(AND(NOT(ISNUMBER(SEARCH("ID_006",$M38))),ISNUMBER(SEARCH("ID_006",$N38))),1,0)</x:f>
        <x:v>0</x:v>
      </x:c>
      <x:c r="AI38" s="17" t="n">
        <x:f>IF(AND(ISNUMBER(SEARCH("ID_006",$M38)),NOT(ISNUMBER(SEARCH("ID_006",$N38)))),1,0)</x:f>
        <x:v>0</x:v>
      </x:c>
      <x:c r="AJ38" s="17" t="n">
        <x:f>IF(AND(ISNUMBER(SEARCH("ID_007",$M38)),ISNUMBER(SEARCH("ID_007",$N38))),1,0)</x:f>
        <x:v>0</x:v>
      </x:c>
      <x:c r="AK38" s="17" t="n">
        <x:f>IF(AND(NOT(ISNUMBER(SEARCH("ID_007",$M38))),ISNUMBER(SEARCH("ID_007",$N38))),1,0)</x:f>
        <x:v>0</x:v>
      </x:c>
      <x:c r="AL38" s="17" t="n">
        <x:f>IF(AND(ISNUMBER(SEARCH("ID_007",$M38)),NOT(ISNUMBER(SEARCH("ID_007",$N38)))),1,0)</x:f>
        <x:v>0</x:v>
      </x:c>
      <x:c r="AM38" s="17" t="n">
        <x:f>IF(AND(ISNUMBER(SEARCH("ID_008",$M38)),ISNUMBER(SEARCH("ID_008",$N38))),1,0)</x:f>
        <x:v>0</x:v>
      </x:c>
      <x:c r="AN38" s="17" t="n">
        <x:f>IF(AND(NOT(ISNUMBER(SEARCH("ID_008",$M38))),ISNUMBER(SEARCH("ID_008",$N38))),1,0)</x:f>
        <x:v>0</x:v>
      </x:c>
      <x:c r="AO38" s="17" t="n">
        <x:f>IF(AND(ISNUMBER(SEARCH("ID_008",$M38)),NOT(ISNUMBER(SEARCH("ID_008",$N38)))),1,0)</x:f>
        <x:v>0</x:v>
      </x:c>
      <x:c r="AP38" s="17" t="n">
        <x:f>IF(AND(ISNUMBER(SEARCH("ID_009",$M38)),ISNUMBER(SEARCH("ID_009",$N38))),1,0)</x:f>
        <x:v>0</x:v>
      </x:c>
      <x:c r="AQ38" s="17" t="n">
        <x:f>IF(AND(NOT(ISNUMBER(SEARCH("ID_009",$M38))),ISNUMBER(SEARCH("ID_009",$N38))),1,0)</x:f>
        <x:v>0</x:v>
      </x:c>
      <x:c r="AR38" s="17" t="n">
        <x:f>IF(AND(ISNUMBER(SEARCH("ID_009",$M38)),NOT(ISNUMBER(SEARCH("ID_009",$N38)))),1,0)</x:f>
        <x:v>0</x:v>
      </x:c>
    </x:row>
    <x:row r="39">
      <x:c r="J39" s="17" t="str">
        <x:v>补充</x:v>
      </x:c>
      <x:c r="K39" s="17" t="str">
        <x:v>extra8</x:v>
      </x:c>
      <x:c r="L39" s="29" t="n">
        <x:v>1.49</x:v>
      </x:c>
      <x:c r="M39" s="17" t="str">
        <x:v>ID_004</x:v>
      </x:c>
      <x:c r="N39" s="17" t="str">
        <x:v>ID_004</x:v>
      </x:c>
      <x:c r="O39" s="17" t="n">
        <x:f>IF(AND(ISNUMBER(SEARCH("ID_000",$M39)),ISNUMBER(SEARCH("ID_000",$N39))),1,0)</x:f>
        <x:v>0</x:v>
      </x:c>
      <x:c r="P39" s="17" t="n">
        <x:f>IF(AND(NOT(ISNUMBER(SEARCH("ID_000",$M39))),ISNUMBER(SEARCH("ID_000",$N39))),1,0)</x:f>
        <x:v>0</x:v>
      </x:c>
      <x:c r="Q39" s="17" t="n">
        <x:f>IF(AND(ISNUMBER(SEARCH("ID_000",$M39)),NOT(ISNUMBER(SEARCH("ID_000",$N39)))),1,0)</x:f>
        <x:v>0</x:v>
      </x:c>
      <x:c r="R39" s="17" t="n">
        <x:f>IF(AND(ISNUMBER(SEARCH("ID_001",$M39)),ISNUMBER(SEARCH("ID_001",$N39))),1,0)</x:f>
        <x:v>0</x:v>
      </x:c>
      <x:c r="S39" s="17" t="n">
        <x:f>IF(AND(NOT(ISNUMBER(SEARCH("ID_001",$M39))),ISNUMBER(SEARCH("ID_001",$N39))),1,0)</x:f>
        <x:v>0</x:v>
      </x:c>
      <x:c r="T39" s="17" t="n">
        <x:f>IF(AND(ISNUMBER(SEARCH("ID_001",$M39)),NOT(ISNUMBER(SEARCH("ID_001",$N39)))),1,0)</x:f>
        <x:v>0</x:v>
      </x:c>
      <x:c r="U39" s="17" t="n">
        <x:f>IF(AND(ISNUMBER(SEARCH("ID_002",$M39)),ISNUMBER(SEARCH("ID_002",$N39))),1,0)</x:f>
        <x:v>0</x:v>
      </x:c>
      <x:c r="V39" s="17" t="n">
        <x:f>IF(AND(NOT(ISNUMBER(SEARCH("ID_002",$M39))),ISNUMBER(SEARCH("ID_002",$N39))),1,0)</x:f>
        <x:v>0</x:v>
      </x:c>
      <x:c r="W39" s="17" t="n">
        <x:f>IF(AND(ISNUMBER(SEARCH("ID_002",$M39)),NOT(ISNUMBER(SEARCH("ID_002",$N39)))),1,0)</x:f>
        <x:v>0</x:v>
      </x:c>
      <x:c r="X39" s="17" t="n">
        <x:f>IF(AND(ISNUMBER(SEARCH("ID_003",$M39)),ISNUMBER(SEARCH("ID_003",$N39))),1,0)</x:f>
        <x:v>0</x:v>
      </x:c>
      <x:c r="Y39" s="17" t="n">
        <x:f>IF(AND(NOT(ISNUMBER(SEARCH("ID_003",$M39))),ISNUMBER(SEARCH("ID_003",$N39))),1,0)</x:f>
        <x:v>0</x:v>
      </x:c>
      <x:c r="Z39" s="17" t="n">
        <x:f>IF(AND(ISNUMBER(SEARCH("ID_003",$M39)),NOT(ISNUMBER(SEARCH("ID_003",$N39)))),1,0)</x:f>
        <x:v>0</x:v>
      </x:c>
      <x:c r="AA39" s="17" t="n">
        <x:f>IF(AND(ISNUMBER(SEARCH("ID_004",$M39)),ISNUMBER(SEARCH("ID_004",$N39))),1,0)</x:f>
        <x:v>1</x:v>
      </x:c>
      <x:c r="AB39" s="17" t="n">
        <x:f>IF(AND(NOT(ISNUMBER(SEARCH("ID_004",$M39))),ISNUMBER(SEARCH("ID_004",$N39))),1,0)</x:f>
        <x:v>0</x:v>
      </x:c>
      <x:c r="AC39" s="17" t="n">
        <x:f>IF(AND(ISNUMBER(SEARCH("ID_004",$M39)),NOT(ISNUMBER(SEARCH("ID_004",$N39)))),1,0)</x:f>
        <x:v>0</x:v>
      </x:c>
      <x:c r="AD39" s="17" t="n">
        <x:f>IF(AND(ISNUMBER(SEARCH("ID_005",$M39)),ISNUMBER(SEARCH("ID_005",$N39))),1,0)</x:f>
        <x:v>0</x:v>
      </x:c>
      <x:c r="AE39" s="17" t="n">
        <x:f>IF(AND(NOT(ISNUMBER(SEARCH("ID_005",$M39))),ISNUMBER(SEARCH("ID_005",$N39))),1,0)</x:f>
        <x:v>0</x:v>
      </x:c>
      <x:c r="AF39" s="17" t="n">
        <x:f>IF(AND(ISNUMBER(SEARCH("ID_005",$M39)),NOT(ISNUMBER(SEARCH("ID_005",$N39)))),1,0)</x:f>
        <x:v>0</x:v>
      </x:c>
      <x:c r="AG39" s="17" t="n">
        <x:f>IF(AND(ISNUMBER(SEARCH("ID_006",$M39)),ISNUMBER(SEARCH("ID_006",$N39))),1,0)</x:f>
        <x:v>0</x:v>
      </x:c>
      <x:c r="AH39" s="17" t="n">
        <x:f>IF(AND(NOT(ISNUMBER(SEARCH("ID_006",$M39))),ISNUMBER(SEARCH("ID_006",$N39))),1,0)</x:f>
        <x:v>0</x:v>
      </x:c>
      <x:c r="AI39" s="17" t="n">
        <x:f>IF(AND(ISNUMBER(SEARCH("ID_006",$M39)),NOT(ISNUMBER(SEARCH("ID_006",$N39)))),1,0)</x:f>
        <x:v>0</x:v>
      </x:c>
      <x:c r="AJ39" s="17" t="n">
        <x:f>IF(AND(ISNUMBER(SEARCH("ID_007",$M39)),ISNUMBER(SEARCH("ID_007",$N39))),1,0)</x:f>
        <x:v>0</x:v>
      </x:c>
      <x:c r="AK39" s="17" t="n">
        <x:f>IF(AND(NOT(ISNUMBER(SEARCH("ID_007",$M39))),ISNUMBER(SEARCH("ID_007",$N39))),1,0)</x:f>
        <x:v>0</x:v>
      </x:c>
      <x:c r="AL39" s="17" t="n">
        <x:f>IF(AND(ISNUMBER(SEARCH("ID_007",$M39)),NOT(ISNUMBER(SEARCH("ID_007",$N39)))),1,0)</x:f>
        <x:v>0</x:v>
      </x:c>
      <x:c r="AM39" s="17" t="n">
        <x:f>IF(AND(ISNUMBER(SEARCH("ID_008",$M39)),ISNUMBER(SEARCH("ID_008",$N39))),1,0)</x:f>
        <x:v>0</x:v>
      </x:c>
      <x:c r="AN39" s="17" t="n">
        <x:f>IF(AND(NOT(ISNUMBER(SEARCH("ID_008",$M39))),ISNUMBER(SEARCH("ID_008",$N39))),1,0)</x:f>
        <x:v>0</x:v>
      </x:c>
      <x:c r="AO39" s="17" t="n">
        <x:f>IF(AND(ISNUMBER(SEARCH("ID_008",$M39)),NOT(ISNUMBER(SEARCH("ID_008",$N39)))),1,0)</x:f>
        <x:v>0</x:v>
      </x:c>
      <x:c r="AP39" s="17" t="n">
        <x:f>IF(AND(ISNUMBER(SEARCH("ID_009",$M39)),ISNUMBER(SEARCH("ID_009",$N39))),1,0)</x:f>
        <x:v>0</x:v>
      </x:c>
      <x:c r="AQ39" s="17" t="n">
        <x:f>IF(AND(NOT(ISNUMBER(SEARCH("ID_009",$M39))),ISNUMBER(SEARCH("ID_009",$N39))),1,0)</x:f>
        <x:v>0</x:v>
      </x:c>
      <x:c r="AR39" s="17" t="n">
        <x:f>IF(AND(ISNUMBER(SEARCH("ID_009",$M39)),NOT(ISNUMBER(SEARCH("ID_009",$N39)))),1,0)</x:f>
        <x:v>0</x:v>
      </x:c>
    </x:row>
    <x:row r="40">
      <x:c r="J40" s="17" t="str">
        <x:v>补充</x:v>
      </x:c>
      <x:c r="K40" s="17" t="str">
        <x:v>extra9</x:v>
      </x:c>
      <x:c r="L40" s="29" t="n">
        <x:v>1.56</x:v>
      </x:c>
      <x:c r="M40" s="17" t="str">
        <x:v>ID_004</x:v>
      </x:c>
      <x:c r="N40" s="17" t="str">
        <x:v>ID_004</x:v>
      </x:c>
      <x:c r="O40" s="17" t="n">
        <x:f>IF(AND(ISNUMBER(SEARCH("ID_000",$M40)),ISNUMBER(SEARCH("ID_000",$N40))),1,0)</x:f>
        <x:v>0</x:v>
      </x:c>
      <x:c r="P40" s="17" t="n">
        <x:f>IF(AND(NOT(ISNUMBER(SEARCH("ID_000",$M40))),ISNUMBER(SEARCH("ID_000",$N40))),1,0)</x:f>
        <x:v>0</x:v>
      </x:c>
      <x:c r="Q40" s="17" t="n">
        <x:f>IF(AND(ISNUMBER(SEARCH("ID_000",$M40)),NOT(ISNUMBER(SEARCH("ID_000",$N40)))),1,0)</x:f>
        <x:v>0</x:v>
      </x:c>
      <x:c r="R40" s="17" t="n">
        <x:f>IF(AND(ISNUMBER(SEARCH("ID_001",$M40)),ISNUMBER(SEARCH("ID_001",$N40))),1,0)</x:f>
        <x:v>0</x:v>
      </x:c>
      <x:c r="S40" s="17" t="n">
        <x:f>IF(AND(NOT(ISNUMBER(SEARCH("ID_001",$M40))),ISNUMBER(SEARCH("ID_001",$N40))),1,0)</x:f>
        <x:v>0</x:v>
      </x:c>
      <x:c r="T40" s="17" t="n">
        <x:f>IF(AND(ISNUMBER(SEARCH("ID_001",$M40)),NOT(ISNUMBER(SEARCH("ID_001",$N40)))),1,0)</x:f>
        <x:v>0</x:v>
      </x:c>
      <x:c r="U40" s="17" t="n">
        <x:f>IF(AND(ISNUMBER(SEARCH("ID_002",$M40)),ISNUMBER(SEARCH("ID_002",$N40))),1,0)</x:f>
        <x:v>0</x:v>
      </x:c>
      <x:c r="V40" s="17" t="n">
        <x:f>IF(AND(NOT(ISNUMBER(SEARCH("ID_002",$M40))),ISNUMBER(SEARCH("ID_002",$N40))),1,0)</x:f>
        <x:v>0</x:v>
      </x:c>
      <x:c r="W40" s="17" t="n">
        <x:f>IF(AND(ISNUMBER(SEARCH("ID_002",$M40)),NOT(ISNUMBER(SEARCH("ID_002",$N40)))),1,0)</x:f>
        <x:v>0</x:v>
      </x:c>
      <x:c r="X40" s="17" t="n">
        <x:f>IF(AND(ISNUMBER(SEARCH("ID_003",$M40)),ISNUMBER(SEARCH("ID_003",$N40))),1,0)</x:f>
        <x:v>0</x:v>
      </x:c>
      <x:c r="Y40" s="17" t="n">
        <x:f>IF(AND(NOT(ISNUMBER(SEARCH("ID_003",$M40))),ISNUMBER(SEARCH("ID_003",$N40))),1,0)</x:f>
        <x:v>0</x:v>
      </x:c>
      <x:c r="Z40" s="17" t="n">
        <x:f>IF(AND(ISNUMBER(SEARCH("ID_003",$M40)),NOT(ISNUMBER(SEARCH("ID_003",$N40)))),1,0)</x:f>
        <x:v>0</x:v>
      </x:c>
      <x:c r="AA40" s="17" t="n">
        <x:f>IF(AND(ISNUMBER(SEARCH("ID_004",$M40)),ISNUMBER(SEARCH("ID_004",$N40))),1,0)</x:f>
        <x:v>1</x:v>
      </x:c>
      <x:c r="AB40" s="17" t="n">
        <x:f>IF(AND(NOT(ISNUMBER(SEARCH("ID_004",$M40))),ISNUMBER(SEARCH("ID_004",$N40))),1,0)</x:f>
        <x:v>0</x:v>
      </x:c>
      <x:c r="AC40" s="17" t="n">
        <x:f>IF(AND(ISNUMBER(SEARCH("ID_004",$M40)),NOT(ISNUMBER(SEARCH("ID_004",$N40)))),1,0)</x:f>
        <x:v>0</x:v>
      </x:c>
      <x:c r="AD40" s="17" t="n">
        <x:f>IF(AND(ISNUMBER(SEARCH("ID_005",$M40)),ISNUMBER(SEARCH("ID_005",$N40))),1,0)</x:f>
        <x:v>0</x:v>
      </x:c>
      <x:c r="AE40" s="17" t="n">
        <x:f>IF(AND(NOT(ISNUMBER(SEARCH("ID_005",$M40))),ISNUMBER(SEARCH("ID_005",$N40))),1,0)</x:f>
        <x:v>0</x:v>
      </x:c>
      <x:c r="AF40" s="17" t="n">
        <x:f>IF(AND(ISNUMBER(SEARCH("ID_005",$M40)),NOT(ISNUMBER(SEARCH("ID_005",$N40)))),1,0)</x:f>
        <x:v>0</x:v>
      </x:c>
      <x:c r="AG40" s="17" t="n">
        <x:f>IF(AND(ISNUMBER(SEARCH("ID_006",$M40)),ISNUMBER(SEARCH("ID_006",$N40))),1,0)</x:f>
        <x:v>0</x:v>
      </x:c>
      <x:c r="AH40" s="17" t="n">
        <x:f>IF(AND(NOT(ISNUMBER(SEARCH("ID_006",$M40))),ISNUMBER(SEARCH("ID_006",$N40))),1,0)</x:f>
        <x:v>0</x:v>
      </x:c>
      <x:c r="AI40" s="17" t="n">
        <x:f>IF(AND(ISNUMBER(SEARCH("ID_006",$M40)),NOT(ISNUMBER(SEARCH("ID_006",$N40)))),1,0)</x:f>
        <x:v>0</x:v>
      </x:c>
      <x:c r="AJ40" s="17" t="n">
        <x:f>IF(AND(ISNUMBER(SEARCH("ID_007",$M40)),ISNUMBER(SEARCH("ID_007",$N40))),1,0)</x:f>
        <x:v>0</x:v>
      </x:c>
      <x:c r="AK40" s="17" t="n">
        <x:f>IF(AND(NOT(ISNUMBER(SEARCH("ID_007",$M40))),ISNUMBER(SEARCH("ID_007",$N40))),1,0)</x:f>
        <x:v>0</x:v>
      </x:c>
      <x:c r="AL40" s="17" t="n">
        <x:f>IF(AND(ISNUMBER(SEARCH("ID_007",$M40)),NOT(ISNUMBER(SEARCH("ID_007",$N40)))),1,0)</x:f>
        <x:v>0</x:v>
      </x:c>
      <x:c r="AM40" s="17" t="n">
        <x:f>IF(AND(ISNUMBER(SEARCH("ID_008",$M40)),ISNUMBER(SEARCH("ID_008",$N40))),1,0)</x:f>
        <x:v>0</x:v>
      </x:c>
      <x:c r="AN40" s="17" t="n">
        <x:f>IF(AND(NOT(ISNUMBER(SEARCH("ID_008",$M40))),ISNUMBER(SEARCH("ID_008",$N40))),1,0)</x:f>
        <x:v>0</x:v>
      </x:c>
      <x:c r="AO40" s="17" t="n">
        <x:f>IF(AND(ISNUMBER(SEARCH("ID_008",$M40)),NOT(ISNUMBER(SEARCH("ID_008",$N40)))),1,0)</x:f>
        <x:v>0</x:v>
      </x:c>
      <x:c r="AP40" s="17" t="n">
        <x:f>IF(AND(ISNUMBER(SEARCH("ID_009",$M40)),ISNUMBER(SEARCH("ID_009",$N40))),1,0)</x:f>
        <x:v>0</x:v>
      </x:c>
      <x:c r="AQ40" s="17" t="n">
        <x:f>IF(AND(NOT(ISNUMBER(SEARCH("ID_009",$M40))),ISNUMBER(SEARCH("ID_009",$N40))),1,0)</x:f>
        <x:v>0</x:v>
      </x:c>
      <x:c r="AR40" s="17" t="n">
        <x:f>IF(AND(ISNUMBER(SEARCH("ID_009",$M40)),NOT(ISNUMBER(SEARCH("ID_009",$N40)))),1,0)</x:f>
        <x:v>0</x:v>
      </x:c>
    </x:row>
    <x:row r="41">
      <x:c r="J41" s="17" t="str">
        <x:v>补充</x:v>
      </x:c>
      <x:c r="K41" s="17" t="str">
        <x:v>extra10</x:v>
      </x:c>
      <x:c r="L41" s="29" t="n">
        <x:v>0.88</x:v>
      </x:c>
      <x:c r="M41" s="17" t="str">
        <x:v>ID_005</x:v>
      </x:c>
      <x:c r="N41" s="17" t="str">
        <x:v>ID_005</x:v>
      </x:c>
      <x:c r="O41" s="17" t="n">
        <x:f>IF(AND(ISNUMBER(SEARCH("ID_000",$M41)),ISNUMBER(SEARCH("ID_000",$N41))),1,0)</x:f>
        <x:v>0</x:v>
      </x:c>
      <x:c r="P41" s="17" t="n">
        <x:f>IF(AND(NOT(ISNUMBER(SEARCH("ID_000",$M41))),ISNUMBER(SEARCH("ID_000",$N41))),1,0)</x:f>
        <x:v>0</x:v>
      </x:c>
      <x:c r="Q41" s="17" t="n">
        <x:f>IF(AND(ISNUMBER(SEARCH("ID_000",$M41)),NOT(ISNUMBER(SEARCH("ID_000",$N41)))),1,0)</x:f>
        <x:v>0</x:v>
      </x:c>
      <x:c r="R41" s="17" t="n">
        <x:f>IF(AND(ISNUMBER(SEARCH("ID_001",$M41)),ISNUMBER(SEARCH("ID_001",$N41))),1,0)</x:f>
        <x:v>0</x:v>
      </x:c>
      <x:c r="S41" s="17" t="n">
        <x:f>IF(AND(NOT(ISNUMBER(SEARCH("ID_001",$M41))),ISNUMBER(SEARCH("ID_001",$N41))),1,0)</x:f>
        <x:v>0</x:v>
      </x:c>
      <x:c r="T41" s="17" t="n">
        <x:f>IF(AND(ISNUMBER(SEARCH("ID_001",$M41)),NOT(ISNUMBER(SEARCH("ID_001",$N41)))),1,0)</x:f>
        <x:v>0</x:v>
      </x:c>
      <x:c r="U41" s="17" t="n">
        <x:f>IF(AND(ISNUMBER(SEARCH("ID_002",$M41)),ISNUMBER(SEARCH("ID_002",$N41))),1,0)</x:f>
        <x:v>0</x:v>
      </x:c>
      <x:c r="V41" s="17" t="n">
        <x:f>IF(AND(NOT(ISNUMBER(SEARCH("ID_002",$M41))),ISNUMBER(SEARCH("ID_002",$N41))),1,0)</x:f>
        <x:v>0</x:v>
      </x:c>
      <x:c r="W41" s="17" t="n">
        <x:f>IF(AND(ISNUMBER(SEARCH("ID_002",$M41)),NOT(ISNUMBER(SEARCH("ID_002",$N41)))),1,0)</x:f>
        <x:v>0</x:v>
      </x:c>
      <x:c r="X41" s="17" t="n">
        <x:f>IF(AND(ISNUMBER(SEARCH("ID_003",$M41)),ISNUMBER(SEARCH("ID_003",$N41))),1,0)</x:f>
        <x:v>0</x:v>
      </x:c>
      <x:c r="Y41" s="17" t="n">
        <x:f>IF(AND(NOT(ISNUMBER(SEARCH("ID_003",$M41))),ISNUMBER(SEARCH("ID_003",$N41))),1,0)</x:f>
        <x:v>0</x:v>
      </x:c>
      <x:c r="Z41" s="17" t="n">
        <x:f>IF(AND(ISNUMBER(SEARCH("ID_003",$M41)),NOT(ISNUMBER(SEARCH("ID_003",$N41)))),1,0)</x:f>
        <x:v>0</x:v>
      </x:c>
      <x:c r="AA41" s="17" t="n">
        <x:f>IF(AND(ISNUMBER(SEARCH("ID_004",$M41)),ISNUMBER(SEARCH("ID_004",$N41))),1,0)</x:f>
        <x:v>0</x:v>
      </x:c>
      <x:c r="AB41" s="17" t="n">
        <x:f>IF(AND(NOT(ISNUMBER(SEARCH("ID_004",$M41))),ISNUMBER(SEARCH("ID_004",$N41))),1,0)</x:f>
        <x:v>0</x:v>
      </x:c>
      <x:c r="AC41" s="17" t="n">
        <x:f>IF(AND(ISNUMBER(SEARCH("ID_004",$M41)),NOT(ISNUMBER(SEARCH("ID_004",$N41)))),1,0)</x:f>
        <x:v>0</x:v>
      </x:c>
      <x:c r="AD41" s="17" t="n">
        <x:f>IF(AND(ISNUMBER(SEARCH("ID_005",$M41)),ISNUMBER(SEARCH("ID_005",$N41))),1,0)</x:f>
        <x:v>1</x:v>
      </x:c>
      <x:c r="AE41" s="17" t="n">
        <x:f>IF(AND(NOT(ISNUMBER(SEARCH("ID_005",$M41))),ISNUMBER(SEARCH("ID_005",$N41))),1,0)</x:f>
        <x:v>0</x:v>
      </x:c>
      <x:c r="AF41" s="17" t="n">
        <x:f>IF(AND(ISNUMBER(SEARCH("ID_005",$M41)),NOT(ISNUMBER(SEARCH("ID_005",$N41)))),1,0)</x:f>
        <x:v>0</x:v>
      </x:c>
      <x:c r="AG41" s="17" t="n">
        <x:f>IF(AND(ISNUMBER(SEARCH("ID_006",$M41)),ISNUMBER(SEARCH("ID_006",$N41))),1,0)</x:f>
        <x:v>0</x:v>
      </x:c>
      <x:c r="AH41" s="17" t="n">
        <x:f>IF(AND(NOT(ISNUMBER(SEARCH("ID_006",$M41))),ISNUMBER(SEARCH("ID_006",$N41))),1,0)</x:f>
        <x:v>0</x:v>
      </x:c>
      <x:c r="AI41" s="17" t="n">
        <x:f>IF(AND(ISNUMBER(SEARCH("ID_006",$M41)),NOT(ISNUMBER(SEARCH("ID_006",$N41)))),1,0)</x:f>
        <x:v>0</x:v>
      </x:c>
      <x:c r="AJ41" s="17" t="n">
        <x:f>IF(AND(ISNUMBER(SEARCH("ID_007",$M41)),ISNUMBER(SEARCH("ID_007",$N41))),1,0)</x:f>
        <x:v>0</x:v>
      </x:c>
      <x:c r="AK41" s="17" t="n">
        <x:f>IF(AND(NOT(ISNUMBER(SEARCH("ID_007",$M41))),ISNUMBER(SEARCH("ID_007",$N41))),1,0)</x:f>
        <x:v>0</x:v>
      </x:c>
      <x:c r="AL41" s="17" t="n">
        <x:f>IF(AND(ISNUMBER(SEARCH("ID_007",$M41)),NOT(ISNUMBER(SEARCH("ID_007",$N41)))),1,0)</x:f>
        <x:v>0</x:v>
      </x:c>
      <x:c r="AM41" s="17" t="n">
        <x:f>IF(AND(ISNUMBER(SEARCH("ID_008",$M41)),ISNUMBER(SEARCH("ID_008",$N41))),1,0)</x:f>
        <x:v>0</x:v>
      </x:c>
      <x:c r="AN41" s="17" t="n">
        <x:f>IF(AND(NOT(ISNUMBER(SEARCH("ID_008",$M41))),ISNUMBER(SEARCH("ID_008",$N41))),1,0)</x:f>
        <x:v>0</x:v>
      </x:c>
      <x:c r="AO41" s="17" t="n">
        <x:f>IF(AND(ISNUMBER(SEARCH("ID_008",$M41)),NOT(ISNUMBER(SEARCH("ID_008",$N41)))),1,0)</x:f>
        <x:v>0</x:v>
      </x:c>
      <x:c r="AP41" s="17" t="n">
        <x:f>IF(AND(ISNUMBER(SEARCH("ID_009",$M41)),ISNUMBER(SEARCH("ID_009",$N41))),1,0)</x:f>
        <x:v>0</x:v>
      </x:c>
      <x:c r="AQ41" s="17" t="n">
        <x:f>IF(AND(NOT(ISNUMBER(SEARCH("ID_009",$M41))),ISNUMBER(SEARCH("ID_009",$N41))),1,0)</x:f>
        <x:v>0</x:v>
      </x:c>
      <x:c r="AR41" s="17" t="n">
        <x:f>IF(AND(ISNUMBER(SEARCH("ID_009",$M41)),NOT(ISNUMBER(SEARCH("ID_009",$N41)))),1,0)</x:f>
        <x:v>0</x:v>
      </x:c>
    </x:row>
    <x:row r="42">
      <x:c r="J42" s="17" t="str">
        <x:v>补充</x:v>
      </x:c>
      <x:c r="K42" s="17" t="str">
        <x:v>extra11</x:v>
      </x:c>
      <x:c r="L42" s="29" t="n">
        <x:v>1.71</x:v>
      </x:c>
      <x:c r="M42" s="17" t="str">
        <x:v>ID_005</x:v>
      </x:c>
      <x:c r="N42" s="17" t="str">
        <x:v>ID_005</x:v>
      </x:c>
      <x:c r="O42" s="17" t="n">
        <x:f>IF(AND(ISNUMBER(SEARCH("ID_000",$M42)),ISNUMBER(SEARCH("ID_000",$N42))),1,0)</x:f>
        <x:v>0</x:v>
      </x:c>
      <x:c r="P42" s="17" t="n">
        <x:f>IF(AND(NOT(ISNUMBER(SEARCH("ID_000",$M42))),ISNUMBER(SEARCH("ID_000",$N42))),1,0)</x:f>
        <x:v>0</x:v>
      </x:c>
      <x:c r="Q42" s="17" t="n">
        <x:f>IF(AND(ISNUMBER(SEARCH("ID_000",$M42)),NOT(ISNUMBER(SEARCH("ID_000",$N42)))),1,0)</x:f>
        <x:v>0</x:v>
      </x:c>
      <x:c r="R42" s="17" t="n">
        <x:f>IF(AND(ISNUMBER(SEARCH("ID_001",$M42)),ISNUMBER(SEARCH("ID_001",$N42))),1,0)</x:f>
        <x:v>0</x:v>
      </x:c>
      <x:c r="S42" s="17" t="n">
        <x:f>IF(AND(NOT(ISNUMBER(SEARCH("ID_001",$M42))),ISNUMBER(SEARCH("ID_001",$N42))),1,0)</x:f>
        <x:v>0</x:v>
      </x:c>
      <x:c r="T42" s="17" t="n">
        <x:f>IF(AND(ISNUMBER(SEARCH("ID_001",$M42)),NOT(ISNUMBER(SEARCH("ID_001",$N42)))),1,0)</x:f>
        <x:v>0</x:v>
      </x:c>
      <x:c r="U42" s="17" t="n">
        <x:f>IF(AND(ISNUMBER(SEARCH("ID_002",$M42)),ISNUMBER(SEARCH("ID_002",$N42))),1,0)</x:f>
        <x:v>0</x:v>
      </x:c>
      <x:c r="V42" s="17" t="n">
        <x:f>IF(AND(NOT(ISNUMBER(SEARCH("ID_002",$M42))),ISNUMBER(SEARCH("ID_002",$N42))),1,0)</x:f>
        <x:v>0</x:v>
      </x:c>
      <x:c r="W42" s="17" t="n">
        <x:f>IF(AND(ISNUMBER(SEARCH("ID_002",$M42)),NOT(ISNUMBER(SEARCH("ID_002",$N42)))),1,0)</x:f>
        <x:v>0</x:v>
      </x:c>
      <x:c r="X42" s="17" t="n">
        <x:f>IF(AND(ISNUMBER(SEARCH("ID_003",$M42)),ISNUMBER(SEARCH("ID_003",$N42))),1,0)</x:f>
        <x:v>0</x:v>
      </x:c>
      <x:c r="Y42" s="17" t="n">
        <x:f>IF(AND(NOT(ISNUMBER(SEARCH("ID_003",$M42))),ISNUMBER(SEARCH("ID_003",$N42))),1,0)</x:f>
        <x:v>0</x:v>
      </x:c>
      <x:c r="Z42" s="17" t="n">
        <x:f>IF(AND(ISNUMBER(SEARCH("ID_003",$M42)),NOT(ISNUMBER(SEARCH("ID_003",$N42)))),1,0)</x:f>
        <x:v>0</x:v>
      </x:c>
      <x:c r="AA42" s="17" t="n">
        <x:f>IF(AND(ISNUMBER(SEARCH("ID_004",$M42)),ISNUMBER(SEARCH("ID_004",$N42))),1,0)</x:f>
        <x:v>0</x:v>
      </x:c>
      <x:c r="AB42" s="17" t="n">
        <x:f>IF(AND(NOT(ISNUMBER(SEARCH("ID_004",$M42))),ISNUMBER(SEARCH("ID_004",$N42))),1,0)</x:f>
        <x:v>0</x:v>
      </x:c>
      <x:c r="AC42" s="17" t="n">
        <x:f>IF(AND(ISNUMBER(SEARCH("ID_004",$M42)),NOT(ISNUMBER(SEARCH("ID_004",$N42)))),1,0)</x:f>
        <x:v>0</x:v>
      </x:c>
      <x:c r="AD42" s="17" t="n">
        <x:f>IF(AND(ISNUMBER(SEARCH("ID_005",$M42)),ISNUMBER(SEARCH("ID_005",$N42))),1,0)</x:f>
        <x:v>1</x:v>
      </x:c>
      <x:c r="AE42" s="17" t="n">
        <x:f>IF(AND(NOT(ISNUMBER(SEARCH("ID_005",$M42))),ISNUMBER(SEARCH("ID_005",$N42))),1,0)</x:f>
        <x:v>0</x:v>
      </x:c>
      <x:c r="AF42" s="17" t="n">
        <x:f>IF(AND(ISNUMBER(SEARCH("ID_005",$M42)),NOT(ISNUMBER(SEARCH("ID_005",$N42)))),1,0)</x:f>
        <x:v>0</x:v>
      </x:c>
      <x:c r="AG42" s="17" t="n">
        <x:f>IF(AND(ISNUMBER(SEARCH("ID_006",$M42)),ISNUMBER(SEARCH("ID_006",$N42))),1,0)</x:f>
        <x:v>0</x:v>
      </x:c>
      <x:c r="AH42" s="17" t="n">
        <x:f>IF(AND(NOT(ISNUMBER(SEARCH("ID_006",$M42))),ISNUMBER(SEARCH("ID_006",$N42))),1,0)</x:f>
        <x:v>0</x:v>
      </x:c>
      <x:c r="AI42" s="17" t="n">
        <x:f>IF(AND(ISNUMBER(SEARCH("ID_006",$M42)),NOT(ISNUMBER(SEARCH("ID_006",$N42)))),1,0)</x:f>
        <x:v>0</x:v>
      </x:c>
      <x:c r="AJ42" s="17" t="n">
        <x:f>IF(AND(ISNUMBER(SEARCH("ID_007",$M42)),ISNUMBER(SEARCH("ID_007",$N42))),1,0)</x:f>
        <x:v>0</x:v>
      </x:c>
      <x:c r="AK42" s="17" t="n">
        <x:f>IF(AND(NOT(ISNUMBER(SEARCH("ID_007",$M42))),ISNUMBER(SEARCH("ID_007",$N42))),1,0)</x:f>
        <x:v>0</x:v>
      </x:c>
      <x:c r="AL42" s="17" t="n">
        <x:f>IF(AND(ISNUMBER(SEARCH("ID_007",$M42)),NOT(ISNUMBER(SEARCH("ID_007",$N42)))),1,0)</x:f>
        <x:v>0</x:v>
      </x:c>
      <x:c r="AM42" s="17" t="n">
        <x:f>IF(AND(ISNUMBER(SEARCH("ID_008",$M42)),ISNUMBER(SEARCH("ID_008",$N42))),1,0)</x:f>
        <x:v>0</x:v>
      </x:c>
      <x:c r="AN42" s="17" t="n">
        <x:f>IF(AND(NOT(ISNUMBER(SEARCH("ID_008",$M42))),ISNUMBER(SEARCH("ID_008",$N42))),1,0)</x:f>
        <x:v>0</x:v>
      </x:c>
      <x:c r="AO42" s="17" t="n">
        <x:f>IF(AND(ISNUMBER(SEARCH("ID_008",$M42)),NOT(ISNUMBER(SEARCH("ID_008",$N42)))),1,0)</x:f>
        <x:v>0</x:v>
      </x:c>
      <x:c r="AP42" s="17" t="n">
        <x:f>IF(AND(ISNUMBER(SEARCH("ID_009",$M42)),ISNUMBER(SEARCH("ID_009",$N42))),1,0)</x:f>
        <x:v>0</x:v>
      </x:c>
      <x:c r="AQ42" s="17" t="n">
        <x:f>IF(AND(NOT(ISNUMBER(SEARCH("ID_009",$M42))),ISNUMBER(SEARCH("ID_009",$N42))),1,0)</x:f>
        <x:v>0</x:v>
      </x:c>
      <x:c r="AR42" s="17" t="n">
        <x:f>IF(AND(ISNUMBER(SEARCH("ID_009",$M42)),NOT(ISNUMBER(SEARCH("ID_009",$N42)))),1,0)</x:f>
        <x:v>0</x:v>
      </x:c>
    </x:row>
    <x:row r="43">
      <x:c r="J43" s="17" t="str">
        <x:v>补充</x:v>
      </x:c>
      <x:c r="K43" s="17" t="str">
        <x:v>extra12</x:v>
      </x:c>
      <x:c r="L43" s="29" t="n">
        <x:v>1.38</x:v>
      </x:c>
      <x:c r="M43" s="17" t="str">
        <x:v>ID_006</x:v>
      </x:c>
      <x:c r="N43" s="17" t="str">
        <x:v>ID_006</x:v>
      </x:c>
      <x:c r="O43" s="17" t="n">
        <x:f>IF(AND(ISNUMBER(SEARCH("ID_000",$M43)),ISNUMBER(SEARCH("ID_000",$N43))),1,0)</x:f>
        <x:v>0</x:v>
      </x:c>
      <x:c r="P43" s="17" t="n">
        <x:f>IF(AND(NOT(ISNUMBER(SEARCH("ID_000",$M43))),ISNUMBER(SEARCH("ID_000",$N43))),1,0)</x:f>
        <x:v>0</x:v>
      </x:c>
      <x:c r="Q43" s="17" t="n">
        <x:f>IF(AND(ISNUMBER(SEARCH("ID_000",$M43)),NOT(ISNUMBER(SEARCH("ID_000",$N43)))),1,0)</x:f>
        <x:v>0</x:v>
      </x:c>
      <x:c r="R43" s="17" t="n">
        <x:f>IF(AND(ISNUMBER(SEARCH("ID_001",$M43)),ISNUMBER(SEARCH("ID_001",$N43))),1,0)</x:f>
        <x:v>0</x:v>
      </x:c>
      <x:c r="S43" s="17" t="n">
        <x:f>IF(AND(NOT(ISNUMBER(SEARCH("ID_001",$M43))),ISNUMBER(SEARCH("ID_001",$N43))),1,0)</x:f>
        <x:v>0</x:v>
      </x:c>
      <x:c r="T43" s="17" t="n">
        <x:f>IF(AND(ISNUMBER(SEARCH("ID_001",$M43)),NOT(ISNUMBER(SEARCH("ID_001",$N43)))),1,0)</x:f>
        <x:v>0</x:v>
      </x:c>
      <x:c r="U43" s="17" t="n">
        <x:f>IF(AND(ISNUMBER(SEARCH("ID_002",$M43)),ISNUMBER(SEARCH("ID_002",$N43))),1,0)</x:f>
        <x:v>0</x:v>
      </x:c>
      <x:c r="V43" s="17" t="n">
        <x:f>IF(AND(NOT(ISNUMBER(SEARCH("ID_002",$M43))),ISNUMBER(SEARCH("ID_002",$N43))),1,0)</x:f>
        <x:v>0</x:v>
      </x:c>
      <x:c r="W43" s="17" t="n">
        <x:f>IF(AND(ISNUMBER(SEARCH("ID_002",$M43)),NOT(ISNUMBER(SEARCH("ID_002",$N43)))),1,0)</x:f>
        <x:v>0</x:v>
      </x:c>
      <x:c r="X43" s="17" t="n">
        <x:f>IF(AND(ISNUMBER(SEARCH("ID_003",$M43)),ISNUMBER(SEARCH("ID_003",$N43))),1,0)</x:f>
        <x:v>0</x:v>
      </x:c>
      <x:c r="Y43" s="17" t="n">
        <x:f>IF(AND(NOT(ISNUMBER(SEARCH("ID_003",$M43))),ISNUMBER(SEARCH("ID_003",$N43))),1,0)</x:f>
        <x:v>0</x:v>
      </x:c>
      <x:c r="Z43" s="17" t="n">
        <x:f>IF(AND(ISNUMBER(SEARCH("ID_003",$M43)),NOT(ISNUMBER(SEARCH("ID_003",$N43)))),1,0)</x:f>
        <x:v>0</x:v>
      </x:c>
      <x:c r="AA43" s="17" t="n">
        <x:f>IF(AND(ISNUMBER(SEARCH("ID_004",$M43)),ISNUMBER(SEARCH("ID_004",$N43))),1,0)</x:f>
        <x:v>0</x:v>
      </x:c>
      <x:c r="AB43" s="17" t="n">
        <x:f>IF(AND(NOT(ISNUMBER(SEARCH("ID_004",$M43))),ISNUMBER(SEARCH("ID_004",$N43))),1,0)</x:f>
        <x:v>0</x:v>
      </x:c>
      <x:c r="AC43" s="17" t="n">
        <x:f>IF(AND(ISNUMBER(SEARCH("ID_004",$M43)),NOT(ISNUMBER(SEARCH("ID_004",$N43)))),1,0)</x:f>
        <x:v>0</x:v>
      </x:c>
      <x:c r="AD43" s="17" t="n">
        <x:f>IF(AND(ISNUMBER(SEARCH("ID_005",$M43)),ISNUMBER(SEARCH("ID_005",$N43))),1,0)</x:f>
        <x:v>0</x:v>
      </x:c>
      <x:c r="AE43" s="17" t="n">
        <x:f>IF(AND(NOT(ISNUMBER(SEARCH("ID_005",$M43))),ISNUMBER(SEARCH("ID_005",$N43))),1,0)</x:f>
        <x:v>0</x:v>
      </x:c>
      <x:c r="AF43" s="17" t="n">
        <x:f>IF(AND(ISNUMBER(SEARCH("ID_005",$M43)),NOT(ISNUMBER(SEARCH("ID_005",$N43)))),1,0)</x:f>
        <x:v>0</x:v>
      </x:c>
      <x:c r="AG43" s="17" t="n">
        <x:f>IF(AND(ISNUMBER(SEARCH("ID_006",$M43)),ISNUMBER(SEARCH("ID_006",$N43))),1,0)</x:f>
        <x:v>1</x:v>
      </x:c>
      <x:c r="AH43" s="17" t="n">
        <x:f>IF(AND(NOT(ISNUMBER(SEARCH("ID_006",$M43))),ISNUMBER(SEARCH("ID_006",$N43))),1,0)</x:f>
        <x:v>0</x:v>
      </x:c>
      <x:c r="AI43" s="17" t="n">
        <x:f>IF(AND(ISNUMBER(SEARCH("ID_006",$M43)),NOT(ISNUMBER(SEARCH("ID_006",$N43)))),1,0)</x:f>
        <x:v>0</x:v>
      </x:c>
      <x:c r="AJ43" s="17" t="n">
        <x:f>IF(AND(ISNUMBER(SEARCH("ID_007",$M43)),ISNUMBER(SEARCH("ID_007",$N43))),1,0)</x:f>
        <x:v>0</x:v>
      </x:c>
      <x:c r="AK43" s="17" t="n">
        <x:f>IF(AND(NOT(ISNUMBER(SEARCH("ID_007",$M43))),ISNUMBER(SEARCH("ID_007",$N43))),1,0)</x:f>
        <x:v>0</x:v>
      </x:c>
      <x:c r="AL43" s="17" t="n">
        <x:f>IF(AND(ISNUMBER(SEARCH("ID_007",$M43)),NOT(ISNUMBER(SEARCH("ID_007",$N43)))),1,0)</x:f>
        <x:v>0</x:v>
      </x:c>
      <x:c r="AM43" s="17" t="n">
        <x:f>IF(AND(ISNUMBER(SEARCH("ID_008",$M43)),ISNUMBER(SEARCH("ID_008",$N43))),1,0)</x:f>
        <x:v>0</x:v>
      </x:c>
      <x:c r="AN43" s="17" t="n">
        <x:f>IF(AND(NOT(ISNUMBER(SEARCH("ID_008",$M43))),ISNUMBER(SEARCH("ID_008",$N43))),1,0)</x:f>
        <x:v>0</x:v>
      </x:c>
      <x:c r="AO43" s="17" t="n">
        <x:f>IF(AND(ISNUMBER(SEARCH("ID_008",$M43)),NOT(ISNUMBER(SEARCH("ID_008",$N43)))),1,0)</x:f>
        <x:v>0</x:v>
      </x:c>
      <x:c r="AP43" s="17" t="n">
        <x:f>IF(AND(ISNUMBER(SEARCH("ID_009",$M43)),ISNUMBER(SEARCH("ID_009",$N43))),1,0)</x:f>
        <x:v>0</x:v>
      </x:c>
      <x:c r="AQ43" s="17" t="n">
        <x:f>IF(AND(NOT(ISNUMBER(SEARCH("ID_009",$M43))),ISNUMBER(SEARCH("ID_009",$N43))),1,0)</x:f>
        <x:v>0</x:v>
      </x:c>
      <x:c r="AR43" s="17" t="n">
        <x:f>IF(AND(ISNUMBER(SEARCH("ID_009",$M43)),NOT(ISNUMBER(SEARCH("ID_009",$N43)))),1,0)</x:f>
        <x:v>0</x:v>
      </x:c>
    </x:row>
    <x:row r="44">
      <x:c r="J44" s="17" t="str">
        <x:v>补充</x:v>
      </x:c>
      <x:c r="K44" s="17" t="str">
        <x:v>extra13</x:v>
      </x:c>
      <x:c r="L44" s="29" t="n">
        <x:v>1.26</x:v>
      </x:c>
      <x:c r="M44" s="17" t="str">
        <x:v>ID_006</x:v>
      </x:c>
      <x:c r="N44" s="17" t="str">
        <x:v>ID_006</x:v>
      </x:c>
      <x:c r="O44" s="17" t="n">
        <x:f>IF(AND(ISNUMBER(SEARCH("ID_000",$M44)),ISNUMBER(SEARCH("ID_000",$N44))),1,0)</x:f>
        <x:v>0</x:v>
      </x:c>
      <x:c r="P44" s="17" t="n">
        <x:f>IF(AND(NOT(ISNUMBER(SEARCH("ID_000",$M44))),ISNUMBER(SEARCH("ID_000",$N44))),1,0)</x:f>
        <x:v>0</x:v>
      </x:c>
      <x:c r="Q44" s="17" t="n">
        <x:f>IF(AND(ISNUMBER(SEARCH("ID_000",$M44)),NOT(ISNUMBER(SEARCH("ID_000",$N44)))),1,0)</x:f>
        <x:v>0</x:v>
      </x:c>
      <x:c r="R44" s="17" t="n">
        <x:f>IF(AND(ISNUMBER(SEARCH("ID_001",$M44)),ISNUMBER(SEARCH("ID_001",$N44))),1,0)</x:f>
        <x:v>0</x:v>
      </x:c>
      <x:c r="S44" s="17" t="n">
        <x:f>IF(AND(NOT(ISNUMBER(SEARCH("ID_001",$M44))),ISNUMBER(SEARCH("ID_001",$N44))),1,0)</x:f>
        <x:v>0</x:v>
      </x:c>
      <x:c r="T44" s="17" t="n">
        <x:f>IF(AND(ISNUMBER(SEARCH("ID_001",$M44)),NOT(ISNUMBER(SEARCH("ID_001",$N44)))),1,0)</x:f>
        <x:v>0</x:v>
      </x:c>
      <x:c r="U44" s="17" t="n">
        <x:f>IF(AND(ISNUMBER(SEARCH("ID_002",$M44)),ISNUMBER(SEARCH("ID_002",$N44))),1,0)</x:f>
        <x:v>0</x:v>
      </x:c>
      <x:c r="V44" s="17" t="n">
        <x:f>IF(AND(NOT(ISNUMBER(SEARCH("ID_002",$M44))),ISNUMBER(SEARCH("ID_002",$N44))),1,0)</x:f>
        <x:v>0</x:v>
      </x:c>
      <x:c r="W44" s="17" t="n">
        <x:f>IF(AND(ISNUMBER(SEARCH("ID_002",$M44)),NOT(ISNUMBER(SEARCH("ID_002",$N44)))),1,0)</x:f>
        <x:v>0</x:v>
      </x:c>
      <x:c r="X44" s="17" t="n">
        <x:f>IF(AND(ISNUMBER(SEARCH("ID_003",$M44)),ISNUMBER(SEARCH("ID_003",$N44))),1,0)</x:f>
        <x:v>0</x:v>
      </x:c>
      <x:c r="Y44" s="17" t="n">
        <x:f>IF(AND(NOT(ISNUMBER(SEARCH("ID_003",$M44))),ISNUMBER(SEARCH("ID_003",$N44))),1,0)</x:f>
        <x:v>0</x:v>
      </x:c>
      <x:c r="Z44" s="17" t="n">
        <x:f>IF(AND(ISNUMBER(SEARCH("ID_003",$M44)),NOT(ISNUMBER(SEARCH("ID_003",$N44)))),1,0)</x:f>
        <x:v>0</x:v>
      </x:c>
      <x:c r="AA44" s="17" t="n">
        <x:f>IF(AND(ISNUMBER(SEARCH("ID_004",$M44)),ISNUMBER(SEARCH("ID_004",$N44))),1,0)</x:f>
        <x:v>0</x:v>
      </x:c>
      <x:c r="AB44" s="17" t="n">
        <x:f>IF(AND(NOT(ISNUMBER(SEARCH("ID_004",$M44))),ISNUMBER(SEARCH("ID_004",$N44))),1,0)</x:f>
        <x:v>0</x:v>
      </x:c>
      <x:c r="AC44" s="17" t="n">
        <x:f>IF(AND(ISNUMBER(SEARCH("ID_004",$M44)),NOT(ISNUMBER(SEARCH("ID_004",$N44)))),1,0)</x:f>
        <x:v>0</x:v>
      </x:c>
      <x:c r="AD44" s="17" t="n">
        <x:f>IF(AND(ISNUMBER(SEARCH("ID_005",$M44)),ISNUMBER(SEARCH("ID_005",$N44))),1,0)</x:f>
        <x:v>0</x:v>
      </x:c>
      <x:c r="AE44" s="17" t="n">
        <x:f>IF(AND(NOT(ISNUMBER(SEARCH("ID_005",$M44))),ISNUMBER(SEARCH("ID_005",$N44))),1,0)</x:f>
        <x:v>0</x:v>
      </x:c>
      <x:c r="AF44" s="17" t="n">
        <x:f>IF(AND(ISNUMBER(SEARCH("ID_005",$M44)),NOT(ISNUMBER(SEARCH("ID_005",$N44)))),1,0)</x:f>
        <x:v>0</x:v>
      </x:c>
      <x:c r="AG44" s="17" t="n">
        <x:f>IF(AND(ISNUMBER(SEARCH("ID_006",$M44)),ISNUMBER(SEARCH("ID_006",$N44))),1,0)</x:f>
        <x:v>1</x:v>
      </x:c>
      <x:c r="AH44" s="17" t="n">
        <x:f>IF(AND(NOT(ISNUMBER(SEARCH("ID_006",$M44))),ISNUMBER(SEARCH("ID_006",$N44))),1,0)</x:f>
        <x:v>0</x:v>
      </x:c>
      <x:c r="AI44" s="17" t="n">
        <x:f>IF(AND(ISNUMBER(SEARCH("ID_006",$M44)),NOT(ISNUMBER(SEARCH("ID_006",$N44)))),1,0)</x:f>
        <x:v>0</x:v>
      </x:c>
      <x:c r="AJ44" s="17" t="n">
        <x:f>IF(AND(ISNUMBER(SEARCH("ID_007",$M44)),ISNUMBER(SEARCH("ID_007",$N44))),1,0)</x:f>
        <x:v>0</x:v>
      </x:c>
      <x:c r="AK44" s="17" t="n">
        <x:f>IF(AND(NOT(ISNUMBER(SEARCH("ID_007",$M44))),ISNUMBER(SEARCH("ID_007",$N44))),1,0)</x:f>
        <x:v>0</x:v>
      </x:c>
      <x:c r="AL44" s="17" t="n">
        <x:f>IF(AND(ISNUMBER(SEARCH("ID_007",$M44)),NOT(ISNUMBER(SEARCH("ID_007",$N44)))),1,0)</x:f>
        <x:v>0</x:v>
      </x:c>
      <x:c r="AM44" s="17" t="n">
        <x:f>IF(AND(ISNUMBER(SEARCH("ID_008",$M44)),ISNUMBER(SEARCH("ID_008",$N44))),1,0)</x:f>
        <x:v>0</x:v>
      </x:c>
      <x:c r="AN44" s="17" t="n">
        <x:f>IF(AND(NOT(ISNUMBER(SEARCH("ID_008",$M44))),ISNUMBER(SEARCH("ID_008",$N44))),1,0)</x:f>
        <x:v>0</x:v>
      </x:c>
      <x:c r="AO44" s="17" t="n">
        <x:f>IF(AND(ISNUMBER(SEARCH("ID_008",$M44)),NOT(ISNUMBER(SEARCH("ID_008",$N44)))),1,0)</x:f>
        <x:v>0</x:v>
      </x:c>
      <x:c r="AP44" s="17" t="n">
        <x:f>IF(AND(ISNUMBER(SEARCH("ID_009",$M44)),ISNUMBER(SEARCH("ID_009",$N44))),1,0)</x:f>
        <x:v>0</x:v>
      </x:c>
      <x:c r="AQ44" s="17" t="n">
        <x:f>IF(AND(NOT(ISNUMBER(SEARCH("ID_009",$M44))),ISNUMBER(SEARCH("ID_009",$N44))),1,0)</x:f>
        <x:v>0</x:v>
      </x:c>
      <x:c r="AR44" s="17" t="n">
        <x:f>IF(AND(ISNUMBER(SEARCH("ID_009",$M44)),NOT(ISNUMBER(SEARCH("ID_009",$N44)))),1,0)</x:f>
        <x:v>0</x:v>
      </x:c>
    </x:row>
    <x:row r="45">
      <x:c r="J45" s="17" t="str">
        <x:v>补充</x:v>
      </x:c>
      <x:c r="K45" s="17" t="str">
        <x:v>extra14</x:v>
      </x:c>
      <x:c r="L45" s="29" t="n">
        <x:v>1.22</x:v>
      </x:c>
      <x:c r="M45" s="17" t="str">
        <x:v>ID_006</x:v>
      </x:c>
      <x:c r="N45" s="17" t="str">
        <x:v>ID_006</x:v>
      </x:c>
      <x:c r="O45" s="17" t="n">
        <x:f>IF(AND(ISNUMBER(SEARCH("ID_000",$M45)),ISNUMBER(SEARCH("ID_000",$N45))),1,0)</x:f>
        <x:v>0</x:v>
      </x:c>
      <x:c r="P45" s="17" t="n">
        <x:f>IF(AND(NOT(ISNUMBER(SEARCH("ID_000",$M45))),ISNUMBER(SEARCH("ID_000",$N45))),1,0)</x:f>
        <x:v>0</x:v>
      </x:c>
      <x:c r="Q45" s="17" t="n">
        <x:f>IF(AND(ISNUMBER(SEARCH("ID_000",$M45)),NOT(ISNUMBER(SEARCH("ID_000",$N45)))),1,0)</x:f>
        <x:v>0</x:v>
      </x:c>
      <x:c r="R45" s="17" t="n">
        <x:f>IF(AND(ISNUMBER(SEARCH("ID_001",$M45)),ISNUMBER(SEARCH("ID_001",$N45))),1,0)</x:f>
        <x:v>0</x:v>
      </x:c>
      <x:c r="S45" s="17" t="n">
        <x:f>IF(AND(NOT(ISNUMBER(SEARCH("ID_001",$M45))),ISNUMBER(SEARCH("ID_001",$N45))),1,0)</x:f>
        <x:v>0</x:v>
      </x:c>
      <x:c r="T45" s="17" t="n">
        <x:f>IF(AND(ISNUMBER(SEARCH("ID_001",$M45)),NOT(ISNUMBER(SEARCH("ID_001",$N45)))),1,0)</x:f>
        <x:v>0</x:v>
      </x:c>
      <x:c r="U45" s="17" t="n">
        <x:f>IF(AND(ISNUMBER(SEARCH("ID_002",$M45)),ISNUMBER(SEARCH("ID_002",$N45))),1,0)</x:f>
        <x:v>0</x:v>
      </x:c>
      <x:c r="V45" s="17" t="n">
        <x:f>IF(AND(NOT(ISNUMBER(SEARCH("ID_002",$M45))),ISNUMBER(SEARCH("ID_002",$N45))),1,0)</x:f>
        <x:v>0</x:v>
      </x:c>
      <x:c r="W45" s="17" t="n">
        <x:f>IF(AND(ISNUMBER(SEARCH("ID_002",$M45)),NOT(ISNUMBER(SEARCH("ID_002",$N45)))),1,0)</x:f>
        <x:v>0</x:v>
      </x:c>
      <x:c r="X45" s="17" t="n">
        <x:f>IF(AND(ISNUMBER(SEARCH("ID_003",$M45)),ISNUMBER(SEARCH("ID_003",$N45))),1,0)</x:f>
        <x:v>0</x:v>
      </x:c>
      <x:c r="Y45" s="17" t="n">
        <x:f>IF(AND(NOT(ISNUMBER(SEARCH("ID_003",$M45))),ISNUMBER(SEARCH("ID_003",$N45))),1,0)</x:f>
        <x:v>0</x:v>
      </x:c>
      <x:c r="Z45" s="17" t="n">
        <x:f>IF(AND(ISNUMBER(SEARCH("ID_003",$M45)),NOT(ISNUMBER(SEARCH("ID_003",$N45)))),1,0)</x:f>
        <x:v>0</x:v>
      </x:c>
      <x:c r="AA45" s="17" t="n">
        <x:f>IF(AND(ISNUMBER(SEARCH("ID_004",$M45)),ISNUMBER(SEARCH("ID_004",$N45))),1,0)</x:f>
        <x:v>0</x:v>
      </x:c>
      <x:c r="AB45" s="17" t="n">
        <x:f>IF(AND(NOT(ISNUMBER(SEARCH("ID_004",$M45))),ISNUMBER(SEARCH("ID_004",$N45))),1,0)</x:f>
        <x:v>0</x:v>
      </x:c>
      <x:c r="AC45" s="17" t="n">
        <x:f>IF(AND(ISNUMBER(SEARCH("ID_004",$M45)),NOT(ISNUMBER(SEARCH("ID_004",$N45)))),1,0)</x:f>
        <x:v>0</x:v>
      </x:c>
      <x:c r="AD45" s="17" t="n">
        <x:f>IF(AND(ISNUMBER(SEARCH("ID_005",$M45)),ISNUMBER(SEARCH("ID_005",$N45))),1,0)</x:f>
        <x:v>0</x:v>
      </x:c>
      <x:c r="AE45" s="17" t="n">
        <x:f>IF(AND(NOT(ISNUMBER(SEARCH("ID_005",$M45))),ISNUMBER(SEARCH("ID_005",$N45))),1,0)</x:f>
        <x:v>0</x:v>
      </x:c>
      <x:c r="AF45" s="17" t="n">
        <x:f>IF(AND(ISNUMBER(SEARCH("ID_005",$M45)),NOT(ISNUMBER(SEARCH("ID_005",$N45)))),1,0)</x:f>
        <x:v>0</x:v>
      </x:c>
      <x:c r="AG45" s="17" t="n">
        <x:f>IF(AND(ISNUMBER(SEARCH("ID_006",$M45)),ISNUMBER(SEARCH("ID_006",$N45))),1,0)</x:f>
        <x:v>1</x:v>
      </x:c>
      <x:c r="AH45" s="17" t="n">
        <x:f>IF(AND(NOT(ISNUMBER(SEARCH("ID_006",$M45))),ISNUMBER(SEARCH("ID_006",$N45))),1,0)</x:f>
        <x:v>0</x:v>
      </x:c>
      <x:c r="AI45" s="17" t="n">
        <x:f>IF(AND(ISNUMBER(SEARCH("ID_006",$M45)),NOT(ISNUMBER(SEARCH("ID_006",$N45)))),1,0)</x:f>
        <x:v>0</x:v>
      </x:c>
      <x:c r="AJ45" s="17" t="n">
        <x:f>IF(AND(ISNUMBER(SEARCH("ID_007",$M45)),ISNUMBER(SEARCH("ID_007",$N45))),1,0)</x:f>
        <x:v>0</x:v>
      </x:c>
      <x:c r="AK45" s="17" t="n">
        <x:f>IF(AND(NOT(ISNUMBER(SEARCH("ID_007",$M45))),ISNUMBER(SEARCH("ID_007",$N45))),1,0)</x:f>
        <x:v>0</x:v>
      </x:c>
      <x:c r="AL45" s="17" t="n">
        <x:f>IF(AND(ISNUMBER(SEARCH("ID_007",$M45)),NOT(ISNUMBER(SEARCH("ID_007",$N45)))),1,0)</x:f>
        <x:v>0</x:v>
      </x:c>
      <x:c r="AM45" s="17" t="n">
        <x:f>IF(AND(ISNUMBER(SEARCH("ID_008",$M45)),ISNUMBER(SEARCH("ID_008",$N45))),1,0)</x:f>
        <x:v>0</x:v>
      </x:c>
      <x:c r="AN45" s="17" t="n">
        <x:f>IF(AND(NOT(ISNUMBER(SEARCH("ID_008",$M45))),ISNUMBER(SEARCH("ID_008",$N45))),1,0)</x:f>
        <x:v>0</x:v>
      </x:c>
      <x:c r="AO45" s="17" t="n">
        <x:f>IF(AND(ISNUMBER(SEARCH("ID_008",$M45)),NOT(ISNUMBER(SEARCH("ID_008",$N45)))),1,0)</x:f>
        <x:v>0</x:v>
      </x:c>
      <x:c r="AP45" s="17" t="n">
        <x:f>IF(AND(ISNUMBER(SEARCH("ID_009",$M45)),ISNUMBER(SEARCH("ID_009",$N45))),1,0)</x:f>
        <x:v>0</x:v>
      </x:c>
      <x:c r="AQ45" s="17" t="n">
        <x:f>IF(AND(NOT(ISNUMBER(SEARCH("ID_009",$M45))),ISNUMBER(SEARCH("ID_009",$N45))),1,0)</x:f>
        <x:v>0</x:v>
      </x:c>
      <x:c r="AR45" s="17" t="n">
        <x:f>IF(AND(ISNUMBER(SEARCH("ID_009",$M45)),NOT(ISNUMBER(SEARCH("ID_009",$N45)))),1,0)</x:f>
        <x:v>0</x:v>
      </x:c>
    </x:row>
    <x:row r="46">
      <x:c r="J46" s="17" t="str">
        <x:v>补充</x:v>
      </x:c>
      <x:c r="K46" s="17" t="str">
        <x:v>extra15</x:v>
      </x:c>
      <x:c r="L46" s="29" t="n">
        <x:v>1.17</x:v>
      </x:c>
      <x:c r="M46" s="17" t="str">
        <x:v>ID_007</x:v>
      </x:c>
      <x:c r="N46" s="17" t="str">
        <x:v>ID_007</x:v>
      </x:c>
      <x:c r="O46" s="17" t="n">
        <x:f>IF(AND(ISNUMBER(SEARCH("ID_000",$M46)),ISNUMBER(SEARCH("ID_000",$N46))),1,0)</x:f>
        <x:v>0</x:v>
      </x:c>
      <x:c r="P46" s="17" t="n">
        <x:f>IF(AND(NOT(ISNUMBER(SEARCH("ID_000",$M46))),ISNUMBER(SEARCH("ID_000",$N46))),1,0)</x:f>
        <x:v>0</x:v>
      </x:c>
      <x:c r="Q46" s="17" t="n">
        <x:f>IF(AND(ISNUMBER(SEARCH("ID_000",$M46)),NOT(ISNUMBER(SEARCH("ID_000",$N46)))),1,0)</x:f>
        <x:v>0</x:v>
      </x:c>
      <x:c r="R46" s="17" t="n">
        <x:f>IF(AND(ISNUMBER(SEARCH("ID_001",$M46)),ISNUMBER(SEARCH("ID_001",$N46))),1,0)</x:f>
        <x:v>0</x:v>
      </x:c>
      <x:c r="S46" s="17" t="n">
        <x:f>IF(AND(NOT(ISNUMBER(SEARCH("ID_001",$M46))),ISNUMBER(SEARCH("ID_001",$N46))),1,0)</x:f>
        <x:v>0</x:v>
      </x:c>
      <x:c r="T46" s="17" t="n">
        <x:f>IF(AND(ISNUMBER(SEARCH("ID_001",$M46)),NOT(ISNUMBER(SEARCH("ID_001",$N46)))),1,0)</x:f>
        <x:v>0</x:v>
      </x:c>
      <x:c r="U46" s="17" t="n">
        <x:f>IF(AND(ISNUMBER(SEARCH("ID_002",$M46)),ISNUMBER(SEARCH("ID_002",$N46))),1,0)</x:f>
        <x:v>0</x:v>
      </x:c>
      <x:c r="V46" s="17" t="n">
        <x:f>IF(AND(NOT(ISNUMBER(SEARCH("ID_002",$M46))),ISNUMBER(SEARCH("ID_002",$N46))),1,0)</x:f>
        <x:v>0</x:v>
      </x:c>
      <x:c r="W46" s="17" t="n">
        <x:f>IF(AND(ISNUMBER(SEARCH("ID_002",$M46)),NOT(ISNUMBER(SEARCH("ID_002",$N46)))),1,0)</x:f>
        <x:v>0</x:v>
      </x:c>
      <x:c r="X46" s="17" t="n">
        <x:f>IF(AND(ISNUMBER(SEARCH("ID_003",$M46)),ISNUMBER(SEARCH("ID_003",$N46))),1,0)</x:f>
        <x:v>0</x:v>
      </x:c>
      <x:c r="Y46" s="17" t="n">
        <x:f>IF(AND(NOT(ISNUMBER(SEARCH("ID_003",$M46))),ISNUMBER(SEARCH("ID_003",$N46))),1,0)</x:f>
        <x:v>0</x:v>
      </x:c>
      <x:c r="Z46" s="17" t="n">
        <x:f>IF(AND(ISNUMBER(SEARCH("ID_003",$M46)),NOT(ISNUMBER(SEARCH("ID_003",$N46)))),1,0)</x:f>
        <x:v>0</x:v>
      </x:c>
      <x:c r="AA46" s="17" t="n">
        <x:f>IF(AND(ISNUMBER(SEARCH("ID_004",$M46)),ISNUMBER(SEARCH("ID_004",$N46))),1,0)</x:f>
        <x:v>0</x:v>
      </x:c>
      <x:c r="AB46" s="17" t="n">
        <x:f>IF(AND(NOT(ISNUMBER(SEARCH("ID_004",$M46))),ISNUMBER(SEARCH("ID_004",$N46))),1,0)</x:f>
        <x:v>0</x:v>
      </x:c>
      <x:c r="AC46" s="17" t="n">
        <x:f>IF(AND(ISNUMBER(SEARCH("ID_004",$M46)),NOT(ISNUMBER(SEARCH("ID_004",$N46)))),1,0)</x:f>
        <x:v>0</x:v>
      </x:c>
      <x:c r="AD46" s="17" t="n">
        <x:f>IF(AND(ISNUMBER(SEARCH("ID_005",$M46)),ISNUMBER(SEARCH("ID_005",$N46))),1,0)</x:f>
        <x:v>0</x:v>
      </x:c>
      <x:c r="AE46" s="17" t="n">
        <x:f>IF(AND(NOT(ISNUMBER(SEARCH("ID_005",$M46))),ISNUMBER(SEARCH("ID_005",$N46))),1,0)</x:f>
        <x:v>0</x:v>
      </x:c>
      <x:c r="AF46" s="17" t="n">
        <x:f>IF(AND(ISNUMBER(SEARCH("ID_005",$M46)),NOT(ISNUMBER(SEARCH("ID_005",$N46)))),1,0)</x:f>
        <x:v>0</x:v>
      </x:c>
      <x:c r="AG46" s="17" t="n">
        <x:f>IF(AND(ISNUMBER(SEARCH("ID_006",$M46)),ISNUMBER(SEARCH("ID_006",$N46))),1,0)</x:f>
        <x:v>0</x:v>
      </x:c>
      <x:c r="AH46" s="17" t="n">
        <x:f>IF(AND(NOT(ISNUMBER(SEARCH("ID_006",$M46))),ISNUMBER(SEARCH("ID_006",$N46))),1,0)</x:f>
        <x:v>0</x:v>
      </x:c>
      <x:c r="AI46" s="17" t="n">
        <x:f>IF(AND(ISNUMBER(SEARCH("ID_006",$M46)),NOT(ISNUMBER(SEARCH("ID_006",$N46)))),1,0)</x:f>
        <x:v>0</x:v>
      </x:c>
      <x:c r="AJ46" s="17" t="n">
        <x:f>IF(AND(ISNUMBER(SEARCH("ID_007",$M46)),ISNUMBER(SEARCH("ID_007",$N46))),1,0)</x:f>
        <x:v>1</x:v>
      </x:c>
      <x:c r="AK46" s="17" t="n">
        <x:f>IF(AND(NOT(ISNUMBER(SEARCH("ID_007",$M46))),ISNUMBER(SEARCH("ID_007",$N46))),1,0)</x:f>
        <x:v>0</x:v>
      </x:c>
      <x:c r="AL46" s="17" t="n">
        <x:f>IF(AND(ISNUMBER(SEARCH("ID_007",$M46)),NOT(ISNUMBER(SEARCH("ID_007",$N46)))),1,0)</x:f>
        <x:v>0</x:v>
      </x:c>
      <x:c r="AM46" s="17" t="n">
        <x:f>IF(AND(ISNUMBER(SEARCH("ID_008",$M46)),ISNUMBER(SEARCH("ID_008",$N46))),1,0)</x:f>
        <x:v>0</x:v>
      </x:c>
      <x:c r="AN46" s="17" t="n">
        <x:f>IF(AND(NOT(ISNUMBER(SEARCH("ID_008",$M46))),ISNUMBER(SEARCH("ID_008",$N46))),1,0)</x:f>
        <x:v>0</x:v>
      </x:c>
      <x:c r="AO46" s="17" t="n">
        <x:f>IF(AND(ISNUMBER(SEARCH("ID_008",$M46)),NOT(ISNUMBER(SEARCH("ID_008",$N46)))),1,0)</x:f>
        <x:v>0</x:v>
      </x:c>
      <x:c r="AP46" s="17" t="n">
        <x:f>IF(AND(ISNUMBER(SEARCH("ID_009",$M46)),ISNUMBER(SEARCH("ID_009",$N46))),1,0)</x:f>
        <x:v>0</x:v>
      </x:c>
      <x:c r="AQ46" s="17" t="n">
        <x:f>IF(AND(NOT(ISNUMBER(SEARCH("ID_009",$M46))),ISNUMBER(SEARCH("ID_009",$N46))),1,0)</x:f>
        <x:v>0</x:v>
      </x:c>
      <x:c r="AR46" s="17" t="n">
        <x:f>IF(AND(ISNUMBER(SEARCH("ID_009",$M46)),NOT(ISNUMBER(SEARCH("ID_009",$N46)))),1,0)</x:f>
        <x:v>0</x:v>
      </x:c>
    </x:row>
    <x:row r="47">
      <x:c r="J47" s="17" t="str">
        <x:v>补充</x:v>
      </x:c>
      <x:c r="K47" s="17" t="str">
        <x:v>extra16</x:v>
      </x:c>
      <x:c r="L47" s="29" t="n">
        <x:v>1.24</x:v>
      </x:c>
      <x:c r="M47" s="17" t="str">
        <x:v>ID_007</x:v>
      </x:c>
      <x:c r="N47" s="17" t="str">
        <x:v>ID_007</x:v>
      </x:c>
      <x:c r="O47" s="17" t="n">
        <x:f>IF(AND(ISNUMBER(SEARCH("ID_000",$M47)),ISNUMBER(SEARCH("ID_000",$N47))),1,0)</x:f>
        <x:v>0</x:v>
      </x:c>
      <x:c r="P47" s="17" t="n">
        <x:f>IF(AND(NOT(ISNUMBER(SEARCH("ID_000",$M47))),ISNUMBER(SEARCH("ID_000",$N47))),1,0)</x:f>
        <x:v>0</x:v>
      </x:c>
      <x:c r="Q47" s="17" t="n">
        <x:f>IF(AND(ISNUMBER(SEARCH("ID_000",$M47)),NOT(ISNUMBER(SEARCH("ID_000",$N47)))),1,0)</x:f>
        <x:v>0</x:v>
      </x:c>
      <x:c r="R47" s="17" t="n">
        <x:f>IF(AND(ISNUMBER(SEARCH("ID_001",$M47)),ISNUMBER(SEARCH("ID_001",$N47))),1,0)</x:f>
        <x:v>0</x:v>
      </x:c>
      <x:c r="S47" s="17" t="n">
        <x:f>IF(AND(NOT(ISNUMBER(SEARCH("ID_001",$M47))),ISNUMBER(SEARCH("ID_001",$N47))),1,0)</x:f>
        <x:v>0</x:v>
      </x:c>
      <x:c r="T47" s="17" t="n">
        <x:f>IF(AND(ISNUMBER(SEARCH("ID_001",$M47)),NOT(ISNUMBER(SEARCH("ID_001",$N47)))),1,0)</x:f>
        <x:v>0</x:v>
      </x:c>
      <x:c r="U47" s="17" t="n">
        <x:f>IF(AND(ISNUMBER(SEARCH("ID_002",$M47)),ISNUMBER(SEARCH("ID_002",$N47))),1,0)</x:f>
        <x:v>0</x:v>
      </x:c>
      <x:c r="V47" s="17" t="n">
        <x:f>IF(AND(NOT(ISNUMBER(SEARCH("ID_002",$M47))),ISNUMBER(SEARCH("ID_002",$N47))),1,0)</x:f>
        <x:v>0</x:v>
      </x:c>
      <x:c r="W47" s="17" t="n">
        <x:f>IF(AND(ISNUMBER(SEARCH("ID_002",$M47)),NOT(ISNUMBER(SEARCH("ID_002",$N47)))),1,0)</x:f>
        <x:v>0</x:v>
      </x:c>
      <x:c r="X47" s="17" t="n">
        <x:f>IF(AND(ISNUMBER(SEARCH("ID_003",$M47)),ISNUMBER(SEARCH("ID_003",$N47))),1,0)</x:f>
        <x:v>0</x:v>
      </x:c>
      <x:c r="Y47" s="17" t="n">
        <x:f>IF(AND(NOT(ISNUMBER(SEARCH("ID_003",$M47))),ISNUMBER(SEARCH("ID_003",$N47))),1,0)</x:f>
        <x:v>0</x:v>
      </x:c>
      <x:c r="Z47" s="17" t="n">
        <x:f>IF(AND(ISNUMBER(SEARCH("ID_003",$M47)),NOT(ISNUMBER(SEARCH("ID_003",$N47)))),1,0)</x:f>
        <x:v>0</x:v>
      </x:c>
      <x:c r="AA47" s="17" t="n">
        <x:f>IF(AND(ISNUMBER(SEARCH("ID_004",$M47)),ISNUMBER(SEARCH("ID_004",$N47))),1,0)</x:f>
        <x:v>0</x:v>
      </x:c>
      <x:c r="AB47" s="17" t="n">
        <x:f>IF(AND(NOT(ISNUMBER(SEARCH("ID_004",$M47))),ISNUMBER(SEARCH("ID_004",$N47))),1,0)</x:f>
        <x:v>0</x:v>
      </x:c>
      <x:c r="AC47" s="17" t="n">
        <x:f>IF(AND(ISNUMBER(SEARCH("ID_004",$M47)),NOT(ISNUMBER(SEARCH("ID_004",$N47)))),1,0)</x:f>
        <x:v>0</x:v>
      </x:c>
      <x:c r="AD47" s="17" t="n">
        <x:f>IF(AND(ISNUMBER(SEARCH("ID_005",$M47)),ISNUMBER(SEARCH("ID_005",$N47))),1,0)</x:f>
        <x:v>0</x:v>
      </x:c>
      <x:c r="AE47" s="17" t="n">
        <x:f>IF(AND(NOT(ISNUMBER(SEARCH("ID_005",$M47))),ISNUMBER(SEARCH("ID_005",$N47))),1,0)</x:f>
        <x:v>0</x:v>
      </x:c>
      <x:c r="AF47" s="17" t="n">
        <x:f>IF(AND(ISNUMBER(SEARCH("ID_005",$M47)),NOT(ISNUMBER(SEARCH("ID_005",$N47)))),1,0)</x:f>
        <x:v>0</x:v>
      </x:c>
      <x:c r="AG47" s="17" t="n">
        <x:f>IF(AND(ISNUMBER(SEARCH("ID_006",$M47)),ISNUMBER(SEARCH("ID_006",$N47))),1,0)</x:f>
        <x:v>0</x:v>
      </x:c>
      <x:c r="AH47" s="17" t="n">
        <x:f>IF(AND(NOT(ISNUMBER(SEARCH("ID_006",$M47))),ISNUMBER(SEARCH("ID_006",$N47))),1,0)</x:f>
        <x:v>0</x:v>
      </x:c>
      <x:c r="AI47" s="17" t="n">
        <x:f>IF(AND(ISNUMBER(SEARCH("ID_006",$M47)),NOT(ISNUMBER(SEARCH("ID_006",$N47)))),1,0)</x:f>
        <x:v>0</x:v>
      </x:c>
      <x:c r="AJ47" s="17" t="n">
        <x:f>IF(AND(ISNUMBER(SEARCH("ID_007",$M47)),ISNUMBER(SEARCH("ID_007",$N47))),1,0)</x:f>
        <x:v>1</x:v>
      </x:c>
      <x:c r="AK47" s="17" t="n">
        <x:f>IF(AND(NOT(ISNUMBER(SEARCH("ID_007",$M47))),ISNUMBER(SEARCH("ID_007",$N47))),1,0)</x:f>
        <x:v>0</x:v>
      </x:c>
      <x:c r="AL47" s="17" t="n">
        <x:f>IF(AND(ISNUMBER(SEARCH("ID_007",$M47)),NOT(ISNUMBER(SEARCH("ID_007",$N47)))),1,0)</x:f>
        <x:v>0</x:v>
      </x:c>
      <x:c r="AM47" s="17" t="n">
        <x:f>IF(AND(ISNUMBER(SEARCH("ID_008",$M47)),ISNUMBER(SEARCH("ID_008",$N47))),1,0)</x:f>
        <x:v>0</x:v>
      </x:c>
      <x:c r="AN47" s="17" t="n">
        <x:f>IF(AND(NOT(ISNUMBER(SEARCH("ID_008",$M47))),ISNUMBER(SEARCH("ID_008",$N47))),1,0)</x:f>
        <x:v>0</x:v>
      </x:c>
      <x:c r="AO47" s="17" t="n">
        <x:f>IF(AND(ISNUMBER(SEARCH("ID_008",$M47)),NOT(ISNUMBER(SEARCH("ID_008",$N47)))),1,0)</x:f>
        <x:v>0</x:v>
      </x:c>
      <x:c r="AP47" s="17" t="n">
        <x:f>IF(AND(ISNUMBER(SEARCH("ID_009",$M47)),ISNUMBER(SEARCH("ID_009",$N47))),1,0)</x:f>
        <x:v>0</x:v>
      </x:c>
      <x:c r="AQ47" s="17" t="n">
        <x:f>IF(AND(NOT(ISNUMBER(SEARCH("ID_009",$M47))),ISNUMBER(SEARCH("ID_009",$N47))),1,0)</x:f>
        <x:v>0</x:v>
      </x:c>
      <x:c r="AR47" s="17" t="n">
        <x:f>IF(AND(ISNUMBER(SEARCH("ID_009",$M47)),NOT(ISNUMBER(SEARCH("ID_009",$N47)))),1,0)</x:f>
        <x:v>0</x:v>
      </x:c>
    </x:row>
    <x:row r="48">
      <x:c r="J48" s="17" t="str">
        <x:v>补充</x:v>
      </x:c>
      <x:c r="K48" s="17" t="str">
        <x:v>extra17</x:v>
      </x:c>
      <x:c r="L48" s="29" t="n">
        <x:v>1.32</x:v>
      </x:c>
      <x:c r="M48" s="17" t="str">
        <x:v>ID_008</x:v>
      </x:c>
      <x:c r="N48" s="17" t="str">
        <x:v>ID_008</x:v>
      </x:c>
      <x:c r="O48" s="17" t="n">
        <x:f>IF(AND(ISNUMBER(SEARCH("ID_000",$M48)),ISNUMBER(SEARCH("ID_000",$N48))),1,0)</x:f>
        <x:v>0</x:v>
      </x:c>
      <x:c r="P48" s="17" t="n">
        <x:f>IF(AND(NOT(ISNUMBER(SEARCH("ID_000",$M48))),ISNUMBER(SEARCH("ID_000",$N48))),1,0)</x:f>
        <x:v>0</x:v>
      </x:c>
      <x:c r="Q48" s="17" t="n">
        <x:f>IF(AND(ISNUMBER(SEARCH("ID_000",$M48)),NOT(ISNUMBER(SEARCH("ID_000",$N48)))),1,0)</x:f>
        <x:v>0</x:v>
      </x:c>
      <x:c r="R48" s="17" t="n">
        <x:f>IF(AND(ISNUMBER(SEARCH("ID_001",$M48)),ISNUMBER(SEARCH("ID_001",$N48))),1,0)</x:f>
        <x:v>0</x:v>
      </x:c>
      <x:c r="S48" s="17" t="n">
        <x:f>IF(AND(NOT(ISNUMBER(SEARCH("ID_001",$M48))),ISNUMBER(SEARCH("ID_001",$N48))),1,0)</x:f>
        <x:v>0</x:v>
      </x:c>
      <x:c r="T48" s="17" t="n">
        <x:f>IF(AND(ISNUMBER(SEARCH("ID_001",$M48)),NOT(ISNUMBER(SEARCH("ID_001",$N48)))),1,0)</x:f>
        <x:v>0</x:v>
      </x:c>
      <x:c r="U48" s="17" t="n">
        <x:f>IF(AND(ISNUMBER(SEARCH("ID_002",$M48)),ISNUMBER(SEARCH("ID_002",$N48))),1,0)</x:f>
        <x:v>0</x:v>
      </x:c>
      <x:c r="V48" s="17" t="n">
        <x:f>IF(AND(NOT(ISNUMBER(SEARCH("ID_002",$M48))),ISNUMBER(SEARCH("ID_002",$N48))),1,0)</x:f>
        <x:v>0</x:v>
      </x:c>
      <x:c r="W48" s="17" t="n">
        <x:f>IF(AND(ISNUMBER(SEARCH("ID_002",$M48)),NOT(ISNUMBER(SEARCH("ID_002",$N48)))),1,0)</x:f>
        <x:v>0</x:v>
      </x:c>
      <x:c r="X48" s="17" t="n">
        <x:f>IF(AND(ISNUMBER(SEARCH("ID_003",$M48)),ISNUMBER(SEARCH("ID_003",$N48))),1,0)</x:f>
        <x:v>0</x:v>
      </x:c>
      <x:c r="Y48" s="17" t="n">
        <x:f>IF(AND(NOT(ISNUMBER(SEARCH("ID_003",$M48))),ISNUMBER(SEARCH("ID_003",$N48))),1,0)</x:f>
        <x:v>0</x:v>
      </x:c>
      <x:c r="Z48" s="17" t="n">
        <x:f>IF(AND(ISNUMBER(SEARCH("ID_003",$M48)),NOT(ISNUMBER(SEARCH("ID_003",$N48)))),1,0)</x:f>
        <x:v>0</x:v>
      </x:c>
      <x:c r="AA48" s="17" t="n">
        <x:f>IF(AND(ISNUMBER(SEARCH("ID_004",$M48)),ISNUMBER(SEARCH("ID_004",$N48))),1,0)</x:f>
        <x:v>0</x:v>
      </x:c>
      <x:c r="AB48" s="17" t="n">
        <x:f>IF(AND(NOT(ISNUMBER(SEARCH("ID_004",$M48))),ISNUMBER(SEARCH("ID_004",$N48))),1,0)</x:f>
        <x:v>0</x:v>
      </x:c>
      <x:c r="AC48" s="17" t="n">
        <x:f>IF(AND(ISNUMBER(SEARCH("ID_004",$M48)),NOT(ISNUMBER(SEARCH("ID_004",$N48)))),1,0)</x:f>
        <x:v>0</x:v>
      </x:c>
      <x:c r="AD48" s="17" t="n">
        <x:f>IF(AND(ISNUMBER(SEARCH("ID_005",$M48)),ISNUMBER(SEARCH("ID_005",$N48))),1,0)</x:f>
        <x:v>0</x:v>
      </x:c>
      <x:c r="AE48" s="17" t="n">
        <x:f>IF(AND(NOT(ISNUMBER(SEARCH("ID_005",$M48))),ISNUMBER(SEARCH("ID_005",$N48))),1,0)</x:f>
        <x:v>0</x:v>
      </x:c>
      <x:c r="AF48" s="17" t="n">
        <x:f>IF(AND(ISNUMBER(SEARCH("ID_005",$M48)),NOT(ISNUMBER(SEARCH("ID_005",$N48)))),1,0)</x:f>
        <x:v>0</x:v>
      </x:c>
      <x:c r="AG48" s="17" t="n">
        <x:f>IF(AND(ISNUMBER(SEARCH("ID_006",$M48)),ISNUMBER(SEARCH("ID_006",$N48))),1,0)</x:f>
        <x:v>0</x:v>
      </x:c>
      <x:c r="AH48" s="17" t="n">
        <x:f>IF(AND(NOT(ISNUMBER(SEARCH("ID_006",$M48))),ISNUMBER(SEARCH("ID_006",$N48))),1,0)</x:f>
        <x:v>0</x:v>
      </x:c>
      <x:c r="AI48" s="17" t="n">
        <x:f>IF(AND(ISNUMBER(SEARCH("ID_006",$M48)),NOT(ISNUMBER(SEARCH("ID_006",$N48)))),1,0)</x:f>
        <x:v>0</x:v>
      </x:c>
      <x:c r="AJ48" s="17" t="n">
        <x:f>IF(AND(ISNUMBER(SEARCH("ID_007",$M48)),ISNUMBER(SEARCH("ID_007",$N48))),1,0)</x:f>
        <x:v>0</x:v>
      </x:c>
      <x:c r="AK48" s="17" t="n">
        <x:f>IF(AND(NOT(ISNUMBER(SEARCH("ID_007",$M48))),ISNUMBER(SEARCH("ID_007",$N48))),1,0)</x:f>
        <x:v>0</x:v>
      </x:c>
      <x:c r="AL48" s="17" t="n">
        <x:f>IF(AND(ISNUMBER(SEARCH("ID_007",$M48)),NOT(ISNUMBER(SEARCH("ID_007",$N48)))),1,0)</x:f>
        <x:v>0</x:v>
      </x:c>
      <x:c r="AM48" s="17" t="n">
        <x:f>IF(AND(ISNUMBER(SEARCH("ID_008",$M48)),ISNUMBER(SEARCH("ID_008",$N48))),1,0)</x:f>
        <x:v>1</x:v>
      </x:c>
      <x:c r="AN48" s="17" t="n">
        <x:f>IF(AND(NOT(ISNUMBER(SEARCH("ID_008",$M48))),ISNUMBER(SEARCH("ID_008",$N48))),1,0)</x:f>
        <x:v>0</x:v>
      </x:c>
      <x:c r="AO48" s="17" t="n">
        <x:f>IF(AND(ISNUMBER(SEARCH("ID_008",$M48)),NOT(ISNUMBER(SEARCH("ID_008",$N48)))),1,0)</x:f>
        <x:v>0</x:v>
      </x:c>
      <x:c r="AP48" s="17" t="n">
        <x:f>IF(AND(ISNUMBER(SEARCH("ID_009",$M48)),ISNUMBER(SEARCH("ID_009",$N48))),1,0)</x:f>
        <x:v>0</x:v>
      </x:c>
      <x:c r="AQ48" s="17" t="n">
        <x:f>IF(AND(NOT(ISNUMBER(SEARCH("ID_009",$M48))),ISNUMBER(SEARCH("ID_009",$N48))),1,0)</x:f>
        <x:v>0</x:v>
      </x:c>
      <x:c r="AR48" s="17" t="n">
        <x:f>IF(AND(ISNUMBER(SEARCH("ID_009",$M48)),NOT(ISNUMBER(SEARCH("ID_009",$N48)))),1,0)</x:f>
        <x:v>0</x:v>
      </x:c>
    </x:row>
    <x:row r="49">
      <x:c r="J49" s="17" t="str">
        <x:v>补充</x:v>
      </x:c>
      <x:c r="K49" s="17" t="str">
        <x:v>extra18</x:v>
      </x:c>
      <x:c r="L49" s="29" t="n">
        <x:v>0.89</x:v>
      </x:c>
      <x:c r="M49" s="17" t="str">
        <x:v>ID_008</x:v>
      </x:c>
      <x:c r="N49" s="17" t="str">
        <x:v>ID_008</x:v>
      </x:c>
      <x:c r="O49" s="17" t="n">
        <x:f>IF(AND(ISNUMBER(SEARCH("ID_000",$M49)),ISNUMBER(SEARCH("ID_000",$N49))),1,0)</x:f>
        <x:v>0</x:v>
      </x:c>
      <x:c r="P49" s="17" t="n">
        <x:f>IF(AND(NOT(ISNUMBER(SEARCH("ID_000",$M49))),ISNUMBER(SEARCH("ID_000",$N49))),1,0)</x:f>
        <x:v>0</x:v>
      </x:c>
      <x:c r="Q49" s="17" t="n">
        <x:f>IF(AND(ISNUMBER(SEARCH("ID_000",$M49)),NOT(ISNUMBER(SEARCH("ID_000",$N49)))),1,0)</x:f>
        <x:v>0</x:v>
      </x:c>
      <x:c r="R49" s="17" t="n">
        <x:f>IF(AND(ISNUMBER(SEARCH("ID_001",$M49)),ISNUMBER(SEARCH("ID_001",$N49))),1,0)</x:f>
        <x:v>0</x:v>
      </x:c>
      <x:c r="S49" s="17" t="n">
        <x:f>IF(AND(NOT(ISNUMBER(SEARCH("ID_001",$M49))),ISNUMBER(SEARCH("ID_001",$N49))),1,0)</x:f>
        <x:v>0</x:v>
      </x:c>
      <x:c r="T49" s="17" t="n">
        <x:f>IF(AND(ISNUMBER(SEARCH("ID_001",$M49)),NOT(ISNUMBER(SEARCH("ID_001",$N49)))),1,0)</x:f>
        <x:v>0</x:v>
      </x:c>
      <x:c r="U49" s="17" t="n">
        <x:f>IF(AND(ISNUMBER(SEARCH("ID_002",$M49)),ISNUMBER(SEARCH("ID_002",$N49))),1,0)</x:f>
        <x:v>0</x:v>
      </x:c>
      <x:c r="V49" s="17" t="n">
        <x:f>IF(AND(NOT(ISNUMBER(SEARCH("ID_002",$M49))),ISNUMBER(SEARCH("ID_002",$N49))),1,0)</x:f>
        <x:v>0</x:v>
      </x:c>
      <x:c r="W49" s="17" t="n">
        <x:f>IF(AND(ISNUMBER(SEARCH("ID_002",$M49)),NOT(ISNUMBER(SEARCH("ID_002",$N49)))),1,0)</x:f>
        <x:v>0</x:v>
      </x:c>
      <x:c r="X49" s="17" t="n">
        <x:f>IF(AND(ISNUMBER(SEARCH("ID_003",$M49)),ISNUMBER(SEARCH("ID_003",$N49))),1,0)</x:f>
        <x:v>0</x:v>
      </x:c>
      <x:c r="Y49" s="17" t="n">
        <x:f>IF(AND(NOT(ISNUMBER(SEARCH("ID_003",$M49))),ISNUMBER(SEARCH("ID_003",$N49))),1,0)</x:f>
        <x:v>0</x:v>
      </x:c>
      <x:c r="Z49" s="17" t="n">
        <x:f>IF(AND(ISNUMBER(SEARCH("ID_003",$M49)),NOT(ISNUMBER(SEARCH("ID_003",$N49)))),1,0)</x:f>
        <x:v>0</x:v>
      </x:c>
      <x:c r="AA49" s="17" t="n">
        <x:f>IF(AND(ISNUMBER(SEARCH("ID_004",$M49)),ISNUMBER(SEARCH("ID_004",$N49))),1,0)</x:f>
        <x:v>0</x:v>
      </x:c>
      <x:c r="AB49" s="17" t="n">
        <x:f>IF(AND(NOT(ISNUMBER(SEARCH("ID_004",$M49))),ISNUMBER(SEARCH("ID_004",$N49))),1,0)</x:f>
        <x:v>0</x:v>
      </x:c>
      <x:c r="AC49" s="17" t="n">
        <x:f>IF(AND(ISNUMBER(SEARCH("ID_004",$M49)),NOT(ISNUMBER(SEARCH("ID_004",$N49)))),1,0)</x:f>
        <x:v>0</x:v>
      </x:c>
      <x:c r="AD49" s="17" t="n">
        <x:f>IF(AND(ISNUMBER(SEARCH("ID_005",$M49)),ISNUMBER(SEARCH("ID_005",$N49))),1,0)</x:f>
        <x:v>0</x:v>
      </x:c>
      <x:c r="AE49" s="17" t="n">
        <x:f>IF(AND(NOT(ISNUMBER(SEARCH("ID_005",$M49))),ISNUMBER(SEARCH("ID_005",$N49))),1,0)</x:f>
        <x:v>0</x:v>
      </x:c>
      <x:c r="AF49" s="17" t="n">
        <x:f>IF(AND(ISNUMBER(SEARCH("ID_005",$M49)),NOT(ISNUMBER(SEARCH("ID_005",$N49)))),1,0)</x:f>
        <x:v>0</x:v>
      </x:c>
      <x:c r="AG49" s="17" t="n">
        <x:f>IF(AND(ISNUMBER(SEARCH("ID_006",$M49)),ISNUMBER(SEARCH("ID_006",$N49))),1,0)</x:f>
        <x:v>0</x:v>
      </x:c>
      <x:c r="AH49" s="17" t="n">
        <x:f>IF(AND(NOT(ISNUMBER(SEARCH("ID_006",$M49))),ISNUMBER(SEARCH("ID_006",$N49))),1,0)</x:f>
        <x:v>0</x:v>
      </x:c>
      <x:c r="AI49" s="17" t="n">
        <x:f>IF(AND(ISNUMBER(SEARCH("ID_006",$M49)),NOT(ISNUMBER(SEARCH("ID_006",$N49)))),1,0)</x:f>
        <x:v>0</x:v>
      </x:c>
      <x:c r="AJ49" s="17" t="n">
        <x:f>IF(AND(ISNUMBER(SEARCH("ID_007",$M49)),ISNUMBER(SEARCH("ID_007",$N49))),1,0)</x:f>
        <x:v>0</x:v>
      </x:c>
      <x:c r="AK49" s="17" t="n">
        <x:f>IF(AND(NOT(ISNUMBER(SEARCH("ID_007",$M49))),ISNUMBER(SEARCH("ID_007",$N49))),1,0)</x:f>
        <x:v>0</x:v>
      </x:c>
      <x:c r="AL49" s="17" t="n">
        <x:f>IF(AND(ISNUMBER(SEARCH("ID_007",$M49)),NOT(ISNUMBER(SEARCH("ID_007",$N49)))),1,0)</x:f>
        <x:v>0</x:v>
      </x:c>
      <x:c r="AM49" s="17" t="n">
        <x:f>IF(AND(ISNUMBER(SEARCH("ID_008",$M49)),ISNUMBER(SEARCH("ID_008",$N49))),1,0)</x:f>
        <x:v>1</x:v>
      </x:c>
      <x:c r="AN49" s="17" t="n">
        <x:f>IF(AND(NOT(ISNUMBER(SEARCH("ID_008",$M49))),ISNUMBER(SEARCH("ID_008",$N49))),1,0)</x:f>
        <x:v>0</x:v>
      </x:c>
      <x:c r="AO49" s="17" t="n">
        <x:f>IF(AND(ISNUMBER(SEARCH("ID_008",$M49)),NOT(ISNUMBER(SEARCH("ID_008",$N49)))),1,0)</x:f>
        <x:v>0</x:v>
      </x:c>
      <x:c r="AP49" s="17" t="n">
        <x:f>IF(AND(ISNUMBER(SEARCH("ID_009",$M49)),ISNUMBER(SEARCH("ID_009",$N49))),1,0)</x:f>
        <x:v>0</x:v>
      </x:c>
      <x:c r="AQ49" s="17" t="n">
        <x:f>IF(AND(NOT(ISNUMBER(SEARCH("ID_009",$M49))),ISNUMBER(SEARCH("ID_009",$N49))),1,0)</x:f>
        <x:v>0</x:v>
      </x:c>
      <x:c r="AR49" s="17" t="n">
        <x:f>IF(AND(ISNUMBER(SEARCH("ID_009",$M49)),NOT(ISNUMBER(SEARCH("ID_009",$N49)))),1,0)</x:f>
        <x:v>0</x:v>
      </x:c>
    </x:row>
    <x:row r="50">
      <x:c r="J50" s="17" t="str">
        <x:v>补充</x:v>
      </x:c>
      <x:c r="K50" s="17" t="str">
        <x:v>extra19</x:v>
      </x:c>
      <x:c r="L50" s="29" t="n">
        <x:v>0.7</x:v>
      </x:c>
      <x:c r="M50" s="17" t="str">
        <x:v>ID_009</x:v>
      </x:c>
      <x:c r="N50" s="17" t="str">
        <x:v>ID_009</x:v>
      </x:c>
      <x:c r="O50" s="17" t="n">
        <x:f>IF(AND(ISNUMBER(SEARCH("ID_000",$M50)),ISNUMBER(SEARCH("ID_000",$N50))),1,0)</x:f>
        <x:v>0</x:v>
      </x:c>
      <x:c r="P50" s="17" t="n">
        <x:f>IF(AND(NOT(ISNUMBER(SEARCH("ID_000",$M50))),ISNUMBER(SEARCH("ID_000",$N50))),1,0)</x:f>
        <x:v>0</x:v>
      </x:c>
      <x:c r="Q50" s="17" t="n">
        <x:f>IF(AND(ISNUMBER(SEARCH("ID_000",$M50)),NOT(ISNUMBER(SEARCH("ID_000",$N50)))),1,0)</x:f>
        <x:v>0</x:v>
      </x:c>
      <x:c r="R50" s="17" t="n">
        <x:f>IF(AND(ISNUMBER(SEARCH("ID_001",$M50)),ISNUMBER(SEARCH("ID_001",$N50))),1,0)</x:f>
        <x:v>0</x:v>
      </x:c>
      <x:c r="S50" s="17" t="n">
        <x:f>IF(AND(NOT(ISNUMBER(SEARCH("ID_001",$M50))),ISNUMBER(SEARCH("ID_001",$N50))),1,0)</x:f>
        <x:v>0</x:v>
      </x:c>
      <x:c r="T50" s="17" t="n">
        <x:f>IF(AND(ISNUMBER(SEARCH("ID_001",$M50)),NOT(ISNUMBER(SEARCH("ID_001",$N50)))),1,0)</x:f>
        <x:v>0</x:v>
      </x:c>
      <x:c r="U50" s="17" t="n">
        <x:f>IF(AND(ISNUMBER(SEARCH("ID_002",$M50)),ISNUMBER(SEARCH("ID_002",$N50))),1,0)</x:f>
        <x:v>0</x:v>
      </x:c>
      <x:c r="V50" s="17" t="n">
        <x:f>IF(AND(NOT(ISNUMBER(SEARCH("ID_002",$M50))),ISNUMBER(SEARCH("ID_002",$N50))),1,0)</x:f>
        <x:v>0</x:v>
      </x:c>
      <x:c r="W50" s="17" t="n">
        <x:f>IF(AND(ISNUMBER(SEARCH("ID_002",$M50)),NOT(ISNUMBER(SEARCH("ID_002",$N50)))),1,0)</x:f>
        <x:v>0</x:v>
      </x:c>
      <x:c r="X50" s="17" t="n">
        <x:f>IF(AND(ISNUMBER(SEARCH("ID_003",$M50)),ISNUMBER(SEARCH("ID_003",$N50))),1,0)</x:f>
        <x:v>0</x:v>
      </x:c>
      <x:c r="Y50" s="17" t="n">
        <x:f>IF(AND(NOT(ISNUMBER(SEARCH("ID_003",$M50))),ISNUMBER(SEARCH("ID_003",$N50))),1,0)</x:f>
        <x:v>0</x:v>
      </x:c>
      <x:c r="Z50" s="17" t="n">
        <x:f>IF(AND(ISNUMBER(SEARCH("ID_003",$M50)),NOT(ISNUMBER(SEARCH("ID_003",$N50)))),1,0)</x:f>
        <x:v>0</x:v>
      </x:c>
      <x:c r="AA50" s="17" t="n">
        <x:f>IF(AND(ISNUMBER(SEARCH("ID_004",$M50)),ISNUMBER(SEARCH("ID_004",$N50))),1,0)</x:f>
        <x:v>0</x:v>
      </x:c>
      <x:c r="AB50" s="17" t="n">
        <x:f>IF(AND(NOT(ISNUMBER(SEARCH("ID_004",$M50))),ISNUMBER(SEARCH("ID_004",$N50))),1,0)</x:f>
        <x:v>0</x:v>
      </x:c>
      <x:c r="AC50" s="17" t="n">
        <x:f>IF(AND(ISNUMBER(SEARCH("ID_004",$M50)),NOT(ISNUMBER(SEARCH("ID_004",$N50)))),1,0)</x:f>
        <x:v>0</x:v>
      </x:c>
      <x:c r="AD50" s="17" t="n">
        <x:f>IF(AND(ISNUMBER(SEARCH("ID_005",$M50)),ISNUMBER(SEARCH("ID_005",$N50))),1,0)</x:f>
        <x:v>0</x:v>
      </x:c>
      <x:c r="AE50" s="17" t="n">
        <x:f>IF(AND(NOT(ISNUMBER(SEARCH("ID_005",$M50))),ISNUMBER(SEARCH("ID_005",$N50))),1,0)</x:f>
        <x:v>0</x:v>
      </x:c>
      <x:c r="AF50" s="17" t="n">
        <x:f>IF(AND(ISNUMBER(SEARCH("ID_005",$M50)),NOT(ISNUMBER(SEARCH("ID_005",$N50)))),1,0)</x:f>
        <x:v>0</x:v>
      </x:c>
      <x:c r="AG50" s="17" t="n">
        <x:f>IF(AND(ISNUMBER(SEARCH("ID_006",$M50)),ISNUMBER(SEARCH("ID_006",$N50))),1,0)</x:f>
        <x:v>0</x:v>
      </x:c>
      <x:c r="AH50" s="17" t="n">
        <x:f>IF(AND(NOT(ISNUMBER(SEARCH("ID_006",$M50))),ISNUMBER(SEARCH("ID_006",$N50))),1,0)</x:f>
        <x:v>0</x:v>
      </x:c>
      <x:c r="AI50" s="17" t="n">
        <x:f>IF(AND(ISNUMBER(SEARCH("ID_006",$M50)),NOT(ISNUMBER(SEARCH("ID_006",$N50)))),1,0)</x:f>
        <x:v>0</x:v>
      </x:c>
      <x:c r="AJ50" s="17" t="n">
        <x:f>IF(AND(ISNUMBER(SEARCH("ID_007",$M50)),ISNUMBER(SEARCH("ID_007",$N50))),1,0)</x:f>
        <x:v>0</x:v>
      </x:c>
      <x:c r="AK50" s="17" t="n">
        <x:f>IF(AND(NOT(ISNUMBER(SEARCH("ID_007",$M50))),ISNUMBER(SEARCH("ID_007",$N50))),1,0)</x:f>
        <x:v>0</x:v>
      </x:c>
      <x:c r="AL50" s="17" t="n">
        <x:f>IF(AND(ISNUMBER(SEARCH("ID_007",$M50)),NOT(ISNUMBER(SEARCH("ID_007",$N50)))),1,0)</x:f>
        <x:v>0</x:v>
      </x:c>
      <x:c r="AM50" s="17" t="n">
        <x:f>IF(AND(ISNUMBER(SEARCH("ID_008",$M50)),ISNUMBER(SEARCH("ID_008",$N50))),1,0)</x:f>
        <x:v>0</x:v>
      </x:c>
      <x:c r="AN50" s="17" t="n">
        <x:f>IF(AND(NOT(ISNUMBER(SEARCH("ID_008",$M50))),ISNUMBER(SEARCH("ID_008",$N50))),1,0)</x:f>
        <x:v>0</x:v>
      </x:c>
      <x:c r="AO50" s="17" t="n">
        <x:f>IF(AND(ISNUMBER(SEARCH("ID_008",$M50)),NOT(ISNUMBER(SEARCH("ID_008",$N50)))),1,0)</x:f>
        <x:v>0</x:v>
      </x:c>
      <x:c r="AP50" s="17" t="n">
        <x:f>IF(AND(ISNUMBER(SEARCH("ID_009",$M50)),ISNUMBER(SEARCH("ID_009",$N50))),1,0)</x:f>
        <x:v>1</x:v>
      </x:c>
      <x:c r="AQ50" s="17" t="n">
        <x:f>IF(AND(NOT(ISNUMBER(SEARCH("ID_009",$M50))),ISNUMBER(SEARCH("ID_009",$N50))),1,0)</x:f>
        <x:v>0</x:v>
      </x:c>
      <x:c r="AR50" s="17" t="n">
        <x:f>IF(AND(ISNUMBER(SEARCH("ID_009",$M50)),NOT(ISNUMBER(SEARCH("ID_009",$N50)))),1,0)</x:f>
        <x:v>0</x:v>
      </x:c>
    </x:row>
    <x:row r="51">
      <x:c r="J51" s="17" t="str">
        <x:v>补充</x:v>
      </x:c>
      <x:c r="K51" s="17" t="str">
        <x:v>extra20</x:v>
      </x:c>
      <x:c r="L51" s="29" t="n">
        <x:v>1.09</x:v>
      </x:c>
      <x:c r="M51" s="17" t="str">
        <x:v>ID_009</x:v>
      </x:c>
      <x:c r="N51" s="17" t="str">
        <x:v>ID_009</x:v>
      </x:c>
      <x:c r="O51" s="17" t="n">
        <x:f>IF(AND(ISNUMBER(SEARCH("ID_000",$M51)),ISNUMBER(SEARCH("ID_000",$N51))),1,0)</x:f>
        <x:v>0</x:v>
      </x:c>
      <x:c r="P51" s="17" t="n">
        <x:f>IF(AND(NOT(ISNUMBER(SEARCH("ID_000",$M51))),ISNUMBER(SEARCH("ID_000",$N51))),1,0)</x:f>
        <x:v>0</x:v>
      </x:c>
      <x:c r="Q51" s="17" t="n">
        <x:f>IF(AND(ISNUMBER(SEARCH("ID_000",$M51)),NOT(ISNUMBER(SEARCH("ID_000",$N51)))),1,0)</x:f>
        <x:v>0</x:v>
      </x:c>
      <x:c r="R51" s="17" t="n">
        <x:f>IF(AND(ISNUMBER(SEARCH("ID_001",$M51)),ISNUMBER(SEARCH("ID_001",$N51))),1,0)</x:f>
        <x:v>0</x:v>
      </x:c>
      <x:c r="S51" s="17" t="n">
        <x:f>IF(AND(NOT(ISNUMBER(SEARCH("ID_001",$M51))),ISNUMBER(SEARCH("ID_001",$N51))),1,0)</x:f>
        <x:v>0</x:v>
      </x:c>
      <x:c r="T51" s="17" t="n">
        <x:f>IF(AND(ISNUMBER(SEARCH("ID_001",$M51)),NOT(ISNUMBER(SEARCH("ID_001",$N51)))),1,0)</x:f>
        <x:v>0</x:v>
      </x:c>
      <x:c r="U51" s="17" t="n">
        <x:f>IF(AND(ISNUMBER(SEARCH("ID_002",$M51)),ISNUMBER(SEARCH("ID_002",$N51))),1,0)</x:f>
        <x:v>0</x:v>
      </x:c>
      <x:c r="V51" s="17" t="n">
        <x:f>IF(AND(NOT(ISNUMBER(SEARCH("ID_002",$M51))),ISNUMBER(SEARCH("ID_002",$N51))),1,0)</x:f>
        <x:v>0</x:v>
      </x:c>
      <x:c r="W51" s="17" t="n">
        <x:f>IF(AND(ISNUMBER(SEARCH("ID_002",$M51)),NOT(ISNUMBER(SEARCH("ID_002",$N51)))),1,0)</x:f>
        <x:v>0</x:v>
      </x:c>
      <x:c r="X51" s="17" t="n">
        <x:f>IF(AND(ISNUMBER(SEARCH("ID_003",$M51)),ISNUMBER(SEARCH("ID_003",$N51))),1,0)</x:f>
        <x:v>0</x:v>
      </x:c>
      <x:c r="Y51" s="17" t="n">
        <x:f>IF(AND(NOT(ISNUMBER(SEARCH("ID_003",$M51))),ISNUMBER(SEARCH("ID_003",$N51))),1,0)</x:f>
        <x:v>0</x:v>
      </x:c>
      <x:c r="Z51" s="17" t="n">
        <x:f>IF(AND(ISNUMBER(SEARCH("ID_003",$M51)),NOT(ISNUMBER(SEARCH("ID_003",$N51)))),1,0)</x:f>
        <x:v>0</x:v>
      </x:c>
      <x:c r="AA51" s="17" t="n">
        <x:f>IF(AND(ISNUMBER(SEARCH("ID_004",$M51)),ISNUMBER(SEARCH("ID_004",$N51))),1,0)</x:f>
        <x:v>0</x:v>
      </x:c>
      <x:c r="AB51" s="17" t="n">
        <x:f>IF(AND(NOT(ISNUMBER(SEARCH("ID_004",$M51))),ISNUMBER(SEARCH("ID_004",$N51))),1,0)</x:f>
        <x:v>0</x:v>
      </x:c>
      <x:c r="AC51" s="17" t="n">
        <x:f>IF(AND(ISNUMBER(SEARCH("ID_004",$M51)),NOT(ISNUMBER(SEARCH("ID_004",$N51)))),1,0)</x:f>
        <x:v>0</x:v>
      </x:c>
      <x:c r="AD51" s="17" t="n">
        <x:f>IF(AND(ISNUMBER(SEARCH("ID_005",$M51)),ISNUMBER(SEARCH("ID_005",$N51))),1,0)</x:f>
        <x:v>0</x:v>
      </x:c>
      <x:c r="AE51" s="17" t="n">
        <x:f>IF(AND(NOT(ISNUMBER(SEARCH("ID_005",$M51))),ISNUMBER(SEARCH("ID_005",$N51))),1,0)</x:f>
        <x:v>0</x:v>
      </x:c>
      <x:c r="AF51" s="17" t="n">
        <x:f>IF(AND(ISNUMBER(SEARCH("ID_005",$M51)),NOT(ISNUMBER(SEARCH("ID_005",$N51)))),1,0)</x:f>
        <x:v>0</x:v>
      </x:c>
      <x:c r="AG51" s="17" t="n">
        <x:f>IF(AND(ISNUMBER(SEARCH("ID_006",$M51)),ISNUMBER(SEARCH("ID_006",$N51))),1,0)</x:f>
        <x:v>0</x:v>
      </x:c>
      <x:c r="AH51" s="17" t="n">
        <x:f>IF(AND(NOT(ISNUMBER(SEARCH("ID_006",$M51))),ISNUMBER(SEARCH("ID_006",$N51))),1,0)</x:f>
        <x:v>0</x:v>
      </x:c>
      <x:c r="AI51" s="17" t="n">
        <x:f>IF(AND(ISNUMBER(SEARCH("ID_006",$M51)),NOT(ISNUMBER(SEARCH("ID_006",$N51)))),1,0)</x:f>
        <x:v>0</x:v>
      </x:c>
      <x:c r="AJ51" s="17" t="n">
        <x:f>IF(AND(ISNUMBER(SEARCH("ID_007",$M51)),ISNUMBER(SEARCH("ID_007",$N51))),1,0)</x:f>
        <x:v>0</x:v>
      </x:c>
      <x:c r="AK51" s="17" t="n">
        <x:f>IF(AND(NOT(ISNUMBER(SEARCH("ID_007",$M51))),ISNUMBER(SEARCH("ID_007",$N51))),1,0)</x:f>
        <x:v>0</x:v>
      </x:c>
      <x:c r="AL51" s="17" t="n">
        <x:f>IF(AND(ISNUMBER(SEARCH("ID_007",$M51)),NOT(ISNUMBER(SEARCH("ID_007",$N51)))),1,0)</x:f>
        <x:v>0</x:v>
      </x:c>
      <x:c r="AM51" s="17" t="n">
        <x:f>IF(AND(ISNUMBER(SEARCH("ID_008",$M51)),ISNUMBER(SEARCH("ID_008",$N51))),1,0)</x:f>
        <x:v>0</x:v>
      </x:c>
      <x:c r="AN51" s="17" t="n">
        <x:f>IF(AND(NOT(ISNUMBER(SEARCH("ID_008",$M51))),ISNUMBER(SEARCH("ID_008",$N51))),1,0)</x:f>
        <x:v>0</x:v>
      </x:c>
      <x:c r="AO51" s="17" t="n">
        <x:f>IF(AND(ISNUMBER(SEARCH("ID_008",$M51)),NOT(ISNUMBER(SEARCH("ID_008",$N51)))),1,0)</x:f>
        <x:v>0</x:v>
      </x:c>
      <x:c r="AP51" s="17" t="n">
        <x:f>IF(AND(ISNUMBER(SEARCH("ID_009",$M51)),ISNUMBER(SEARCH("ID_009",$N51))),1,0)</x:f>
        <x:v>1</x:v>
      </x:c>
      <x:c r="AQ51" s="17" t="n">
        <x:f>IF(AND(NOT(ISNUMBER(SEARCH("ID_009",$M51))),ISNUMBER(SEARCH("ID_009",$N51))),1,0)</x:f>
        <x:v>0</x:v>
      </x:c>
      <x:c r="AR51" s="17" t="n">
        <x:f>IF(AND(ISNUMBER(SEARCH("ID_009",$M51)),NOT(ISNUMBER(SEARCH("ID_009",$N51)))),1,0)</x:f>
        <x:v>0</x:v>
      </x:c>
    </x:row>
    <x:row r="52">
      <x:c r="J52" s="17" t="str">
        <x:v>补充</x:v>
      </x:c>
      <x:c r="K52" s="17" t="str">
        <x:v>extra21</x:v>
      </x:c>
      <x:c r="L52" s="29" t="n">
        <x:v>1</x:v>
      </x:c>
      <x:c r="M52" s="17" t="str">
        <x:v>ID_000</x:v>
      </x:c>
      <x:c r="N52" s="17" t="str">
        <x:v>ID_000</x:v>
      </x:c>
      <x:c r="O52" s="17" t="n">
        <x:f>IF(AND(ISNUMBER(SEARCH("ID_000",$M52)),ISNUMBER(SEARCH("ID_000",$N52))),1,0)</x:f>
        <x:v>1</x:v>
      </x:c>
      <x:c r="P52" s="17" t="n">
        <x:f>IF(AND(NOT(ISNUMBER(SEARCH("ID_000",$M52))),ISNUMBER(SEARCH("ID_000",$N52))),1,0)</x:f>
        <x:v>0</x:v>
      </x:c>
      <x:c r="Q52" s="17" t="n">
        <x:f>IF(AND(ISNUMBER(SEARCH("ID_000",$M52)),NOT(ISNUMBER(SEARCH("ID_000",$N52)))),1,0)</x:f>
        <x:v>0</x:v>
      </x:c>
      <x:c r="R52" s="17" t="n">
        <x:f>IF(AND(ISNUMBER(SEARCH("ID_001",$M52)),ISNUMBER(SEARCH("ID_001",$N52))),1,0)</x:f>
        <x:v>0</x:v>
      </x:c>
      <x:c r="S52" s="17" t="n">
        <x:f>IF(AND(NOT(ISNUMBER(SEARCH("ID_001",$M52))),ISNUMBER(SEARCH("ID_001",$N52))),1,0)</x:f>
        <x:v>0</x:v>
      </x:c>
      <x:c r="T52" s="17" t="n">
        <x:f>IF(AND(ISNUMBER(SEARCH("ID_001",$M52)),NOT(ISNUMBER(SEARCH("ID_001",$N52)))),1,0)</x:f>
        <x:v>0</x:v>
      </x:c>
      <x:c r="U52" s="17" t="n">
        <x:f>IF(AND(ISNUMBER(SEARCH("ID_002",$M52)),ISNUMBER(SEARCH("ID_002",$N52))),1,0)</x:f>
        <x:v>0</x:v>
      </x:c>
      <x:c r="V52" s="17" t="n">
        <x:f>IF(AND(NOT(ISNUMBER(SEARCH("ID_002",$M52))),ISNUMBER(SEARCH("ID_002",$N52))),1,0)</x:f>
        <x:v>0</x:v>
      </x:c>
      <x:c r="W52" s="17" t="n">
        <x:f>IF(AND(ISNUMBER(SEARCH("ID_002",$M52)),NOT(ISNUMBER(SEARCH("ID_002",$N52)))),1,0)</x:f>
        <x:v>0</x:v>
      </x:c>
      <x:c r="X52" s="17" t="n">
        <x:f>IF(AND(ISNUMBER(SEARCH("ID_003",$M52)),ISNUMBER(SEARCH("ID_003",$N52))),1,0)</x:f>
        <x:v>0</x:v>
      </x:c>
      <x:c r="Y52" s="17" t="n">
        <x:f>IF(AND(NOT(ISNUMBER(SEARCH("ID_003",$M52))),ISNUMBER(SEARCH("ID_003",$N52))),1,0)</x:f>
        <x:v>0</x:v>
      </x:c>
      <x:c r="Z52" s="17" t="n">
        <x:f>IF(AND(ISNUMBER(SEARCH("ID_003",$M52)),NOT(ISNUMBER(SEARCH("ID_003",$N52)))),1,0)</x:f>
        <x:v>0</x:v>
      </x:c>
      <x:c r="AA52" s="17" t="n">
        <x:f>IF(AND(ISNUMBER(SEARCH("ID_004",$M52)),ISNUMBER(SEARCH("ID_004",$N52))),1,0)</x:f>
        <x:v>0</x:v>
      </x:c>
      <x:c r="AB52" s="17" t="n">
        <x:f>IF(AND(NOT(ISNUMBER(SEARCH("ID_004",$M52))),ISNUMBER(SEARCH("ID_004",$N52))),1,0)</x:f>
        <x:v>0</x:v>
      </x:c>
      <x:c r="AC52" s="17" t="n">
        <x:f>IF(AND(ISNUMBER(SEARCH("ID_004",$M52)),NOT(ISNUMBER(SEARCH("ID_004",$N52)))),1,0)</x:f>
        <x:v>0</x:v>
      </x:c>
      <x:c r="AD52" s="17" t="n">
        <x:f>IF(AND(ISNUMBER(SEARCH("ID_005",$M52)),ISNUMBER(SEARCH("ID_005",$N52))),1,0)</x:f>
        <x:v>0</x:v>
      </x:c>
      <x:c r="AE52" s="17" t="n">
        <x:f>IF(AND(NOT(ISNUMBER(SEARCH("ID_005",$M52))),ISNUMBER(SEARCH("ID_005",$N52))),1,0)</x:f>
        <x:v>0</x:v>
      </x:c>
      <x:c r="AF52" s="17" t="n">
        <x:f>IF(AND(ISNUMBER(SEARCH("ID_005",$M52)),NOT(ISNUMBER(SEARCH("ID_005",$N52)))),1,0)</x:f>
        <x:v>0</x:v>
      </x:c>
      <x:c r="AG52" s="17" t="n">
        <x:f>IF(AND(ISNUMBER(SEARCH("ID_006",$M52)),ISNUMBER(SEARCH("ID_006",$N52))),1,0)</x:f>
        <x:v>0</x:v>
      </x:c>
      <x:c r="AH52" s="17" t="n">
        <x:f>IF(AND(NOT(ISNUMBER(SEARCH("ID_006",$M52))),ISNUMBER(SEARCH("ID_006",$N52))),1,0)</x:f>
        <x:v>0</x:v>
      </x:c>
      <x:c r="AI52" s="17" t="n">
        <x:f>IF(AND(ISNUMBER(SEARCH("ID_006",$M52)),NOT(ISNUMBER(SEARCH("ID_006",$N52)))),1,0)</x:f>
        <x:v>0</x:v>
      </x:c>
      <x:c r="AJ52" s="17" t="n">
        <x:f>IF(AND(ISNUMBER(SEARCH("ID_007",$M52)),ISNUMBER(SEARCH("ID_007",$N52))),1,0)</x:f>
        <x:v>0</x:v>
      </x:c>
      <x:c r="AK52" s="17" t="n">
        <x:f>IF(AND(NOT(ISNUMBER(SEARCH("ID_007",$M52))),ISNUMBER(SEARCH("ID_007",$N52))),1,0)</x:f>
        <x:v>0</x:v>
      </x:c>
      <x:c r="AL52" s="17" t="n">
        <x:f>IF(AND(ISNUMBER(SEARCH("ID_007",$M52)),NOT(ISNUMBER(SEARCH("ID_007",$N52)))),1,0)</x:f>
        <x:v>0</x:v>
      </x:c>
      <x:c r="AM52" s="17" t="n">
        <x:f>IF(AND(ISNUMBER(SEARCH("ID_008",$M52)),ISNUMBER(SEARCH("ID_008",$N52))),1,0)</x:f>
        <x:v>0</x:v>
      </x:c>
      <x:c r="AN52" s="17" t="n">
        <x:f>IF(AND(NOT(ISNUMBER(SEARCH("ID_008",$M52))),ISNUMBER(SEARCH("ID_008",$N52))),1,0)</x:f>
        <x:v>0</x:v>
      </x:c>
      <x:c r="AO52" s="17" t="n">
        <x:f>IF(AND(ISNUMBER(SEARCH("ID_008",$M52)),NOT(ISNUMBER(SEARCH("ID_008",$N52)))),1,0)</x:f>
        <x:v>0</x:v>
      </x:c>
      <x:c r="AP52" s="17" t="n">
        <x:f>IF(AND(ISNUMBER(SEARCH("ID_009",$M52)),ISNUMBER(SEARCH("ID_009",$N52))),1,0)</x:f>
        <x:v>0</x:v>
      </x:c>
      <x:c r="AQ52" s="17" t="n">
        <x:f>IF(AND(NOT(ISNUMBER(SEARCH("ID_009",$M52))),ISNUMBER(SEARCH("ID_009",$N52))),1,0)</x:f>
        <x:v>0</x:v>
      </x:c>
      <x:c r="AR52" s="17" t="n">
        <x:f>IF(AND(ISNUMBER(SEARCH("ID_009",$M52)),NOT(ISNUMBER(SEARCH("ID_009",$N52)))),1,0)</x:f>
        <x:v>0</x:v>
      </x:c>
    </x:row>
    <x:row r="53">
      <x:c r="J53" s="17" t="str">
        <x:v>补充</x:v>
      </x:c>
      <x:c r="K53" s="17" t="str">
        <x:v>extra22</x:v>
      </x:c>
      <x:c r="L53" s="29" t="n">
        <x:v>0.91</x:v>
      </x:c>
      <x:c r="M53" s="17" t="str">
        <x:v>ID_000</x:v>
      </x:c>
      <x:c r="N53" s="17" t="str">
        <x:v>ID_000</x:v>
      </x:c>
      <x:c r="O53" s="17" t="n">
        <x:f>IF(AND(ISNUMBER(SEARCH("ID_000",$M53)),ISNUMBER(SEARCH("ID_000",$N53))),1,0)</x:f>
        <x:v>1</x:v>
      </x:c>
      <x:c r="P53" s="17" t="n">
        <x:f>IF(AND(NOT(ISNUMBER(SEARCH("ID_000",$M53))),ISNUMBER(SEARCH("ID_000",$N53))),1,0)</x:f>
        <x:v>0</x:v>
      </x:c>
      <x:c r="Q53" s="17" t="n">
        <x:f>IF(AND(ISNUMBER(SEARCH("ID_000",$M53)),NOT(ISNUMBER(SEARCH("ID_000",$N53)))),1,0)</x:f>
        <x:v>0</x:v>
      </x:c>
      <x:c r="R53" s="17" t="n">
        <x:f>IF(AND(ISNUMBER(SEARCH("ID_001",$M53)),ISNUMBER(SEARCH("ID_001",$N53))),1,0)</x:f>
        <x:v>0</x:v>
      </x:c>
      <x:c r="S53" s="17" t="n">
        <x:f>IF(AND(NOT(ISNUMBER(SEARCH("ID_001",$M53))),ISNUMBER(SEARCH("ID_001",$N53))),1,0)</x:f>
        <x:v>0</x:v>
      </x:c>
      <x:c r="T53" s="17" t="n">
        <x:f>IF(AND(ISNUMBER(SEARCH("ID_001",$M53)),NOT(ISNUMBER(SEARCH("ID_001",$N53)))),1,0)</x:f>
        <x:v>0</x:v>
      </x:c>
      <x:c r="U53" s="17" t="n">
        <x:f>IF(AND(ISNUMBER(SEARCH("ID_002",$M53)),ISNUMBER(SEARCH("ID_002",$N53))),1,0)</x:f>
        <x:v>0</x:v>
      </x:c>
      <x:c r="V53" s="17" t="n">
        <x:f>IF(AND(NOT(ISNUMBER(SEARCH("ID_002",$M53))),ISNUMBER(SEARCH("ID_002",$N53))),1,0)</x:f>
        <x:v>0</x:v>
      </x:c>
      <x:c r="W53" s="17" t="n">
        <x:f>IF(AND(ISNUMBER(SEARCH("ID_002",$M53)),NOT(ISNUMBER(SEARCH("ID_002",$N53)))),1,0)</x:f>
        <x:v>0</x:v>
      </x:c>
      <x:c r="X53" s="17" t="n">
        <x:f>IF(AND(ISNUMBER(SEARCH("ID_003",$M53)),ISNUMBER(SEARCH("ID_003",$N53))),1,0)</x:f>
        <x:v>0</x:v>
      </x:c>
      <x:c r="Y53" s="17" t="n">
        <x:f>IF(AND(NOT(ISNUMBER(SEARCH("ID_003",$M53))),ISNUMBER(SEARCH("ID_003",$N53))),1,0)</x:f>
        <x:v>0</x:v>
      </x:c>
      <x:c r="Z53" s="17" t="n">
        <x:f>IF(AND(ISNUMBER(SEARCH("ID_003",$M53)),NOT(ISNUMBER(SEARCH("ID_003",$N53)))),1,0)</x:f>
        <x:v>0</x:v>
      </x:c>
      <x:c r="AA53" s="17" t="n">
        <x:f>IF(AND(ISNUMBER(SEARCH("ID_004",$M53)),ISNUMBER(SEARCH("ID_004",$N53))),1,0)</x:f>
        <x:v>0</x:v>
      </x:c>
      <x:c r="AB53" s="17" t="n">
        <x:f>IF(AND(NOT(ISNUMBER(SEARCH("ID_004",$M53))),ISNUMBER(SEARCH("ID_004",$N53))),1,0)</x:f>
        <x:v>0</x:v>
      </x:c>
      <x:c r="AC53" s="17" t="n">
        <x:f>IF(AND(ISNUMBER(SEARCH("ID_004",$M53)),NOT(ISNUMBER(SEARCH("ID_004",$N53)))),1,0)</x:f>
        <x:v>0</x:v>
      </x:c>
      <x:c r="AD53" s="17" t="n">
        <x:f>IF(AND(ISNUMBER(SEARCH("ID_005",$M53)),ISNUMBER(SEARCH("ID_005",$N53))),1,0)</x:f>
        <x:v>0</x:v>
      </x:c>
      <x:c r="AE53" s="17" t="n">
        <x:f>IF(AND(NOT(ISNUMBER(SEARCH("ID_005",$M53))),ISNUMBER(SEARCH("ID_005",$N53))),1,0)</x:f>
        <x:v>0</x:v>
      </x:c>
      <x:c r="AF53" s="17" t="n">
        <x:f>IF(AND(ISNUMBER(SEARCH("ID_005",$M53)),NOT(ISNUMBER(SEARCH("ID_005",$N53)))),1,0)</x:f>
        <x:v>0</x:v>
      </x:c>
      <x:c r="AG53" s="17" t="n">
        <x:f>IF(AND(ISNUMBER(SEARCH("ID_006",$M53)),ISNUMBER(SEARCH("ID_006",$N53))),1,0)</x:f>
        <x:v>0</x:v>
      </x:c>
      <x:c r="AH53" s="17" t="n">
        <x:f>IF(AND(NOT(ISNUMBER(SEARCH("ID_006",$M53))),ISNUMBER(SEARCH("ID_006",$N53))),1,0)</x:f>
        <x:v>0</x:v>
      </x:c>
      <x:c r="AI53" s="17" t="n">
        <x:f>IF(AND(ISNUMBER(SEARCH("ID_006",$M53)),NOT(ISNUMBER(SEARCH("ID_006",$N53)))),1,0)</x:f>
        <x:v>0</x:v>
      </x:c>
      <x:c r="AJ53" s="17" t="n">
        <x:f>IF(AND(ISNUMBER(SEARCH("ID_007",$M53)),ISNUMBER(SEARCH("ID_007",$N53))),1,0)</x:f>
        <x:v>0</x:v>
      </x:c>
      <x:c r="AK53" s="17" t="n">
        <x:f>IF(AND(NOT(ISNUMBER(SEARCH("ID_007",$M53))),ISNUMBER(SEARCH("ID_007",$N53))),1,0)</x:f>
        <x:v>0</x:v>
      </x:c>
      <x:c r="AL53" s="17" t="n">
        <x:f>IF(AND(ISNUMBER(SEARCH("ID_007",$M53)),NOT(ISNUMBER(SEARCH("ID_007",$N53)))),1,0)</x:f>
        <x:v>0</x:v>
      </x:c>
      <x:c r="AM53" s="17" t="n">
        <x:f>IF(AND(ISNUMBER(SEARCH("ID_008",$M53)),ISNUMBER(SEARCH("ID_008",$N53))),1,0)</x:f>
        <x:v>0</x:v>
      </x:c>
      <x:c r="AN53" s="17" t="n">
        <x:f>IF(AND(NOT(ISNUMBER(SEARCH("ID_008",$M53))),ISNUMBER(SEARCH("ID_008",$N53))),1,0)</x:f>
        <x:v>0</x:v>
      </x:c>
      <x:c r="AO53" s="17" t="n">
        <x:f>IF(AND(ISNUMBER(SEARCH("ID_008",$M53)),NOT(ISNUMBER(SEARCH("ID_008",$N53)))),1,0)</x:f>
        <x:v>0</x:v>
      </x:c>
      <x:c r="AP53" s="17" t="n">
        <x:f>IF(AND(ISNUMBER(SEARCH("ID_009",$M53)),ISNUMBER(SEARCH("ID_009",$N53))),1,0)</x:f>
        <x:v>0</x:v>
      </x:c>
      <x:c r="AQ53" s="17" t="n">
        <x:f>IF(AND(NOT(ISNUMBER(SEARCH("ID_009",$M53))),ISNUMBER(SEARCH("ID_009",$N53))),1,0)</x:f>
        <x:v>0</x:v>
      </x:c>
      <x:c r="AR53" s="17" t="n">
        <x:f>IF(AND(ISNUMBER(SEARCH("ID_009",$M53)),NOT(ISNUMBER(SEARCH("ID_009",$N53)))),1,0)</x:f>
        <x:v>0</x:v>
      </x:c>
    </x:row>
    <x:row r="54">
      <x:c r="J54" s="17" t="str">
        <x:v>补充</x:v>
      </x:c>
      <x:c r="K54" s="17" t="str">
        <x:v>extra23</x:v>
      </x:c>
      <x:c r="L54" s="29" t="n">
        <x:v>1.31</x:v>
      </x:c>
      <x:c r="M54" s="17" t="str">
        <x:v>ID_000</x:v>
      </x:c>
      <x:c r="N54" s="17" t="str">
        <x:v>ID_005</x:v>
      </x:c>
      <x:c r="O54" s="17" t="n">
        <x:f>IF(AND(ISNUMBER(SEARCH("ID_000",$M54)),ISNUMBER(SEARCH("ID_000",$N54))),1,0)</x:f>
        <x:v>0</x:v>
      </x:c>
      <x:c r="P54" s="17" t="n">
        <x:f>IF(AND(NOT(ISNUMBER(SEARCH("ID_000",$M54))),ISNUMBER(SEARCH("ID_000",$N54))),1,0)</x:f>
        <x:v>0</x:v>
      </x:c>
      <x:c r="Q54" s="17" t="n">
        <x:f>IF(AND(ISNUMBER(SEARCH("ID_000",$M54)),NOT(ISNUMBER(SEARCH("ID_000",$N54)))),1,0)</x:f>
        <x:v>1</x:v>
      </x:c>
      <x:c r="R54" s="17" t="n">
        <x:f>IF(AND(ISNUMBER(SEARCH("ID_001",$M54)),ISNUMBER(SEARCH("ID_001",$N54))),1,0)</x:f>
        <x:v>0</x:v>
      </x:c>
      <x:c r="S54" s="17" t="n">
        <x:f>IF(AND(NOT(ISNUMBER(SEARCH("ID_001",$M54))),ISNUMBER(SEARCH("ID_001",$N54))),1,0)</x:f>
        <x:v>0</x:v>
      </x:c>
      <x:c r="T54" s="17" t="n">
        <x:f>IF(AND(ISNUMBER(SEARCH("ID_001",$M54)),NOT(ISNUMBER(SEARCH("ID_001",$N54)))),1,0)</x:f>
        <x:v>0</x:v>
      </x:c>
      <x:c r="U54" s="17" t="n">
        <x:f>IF(AND(ISNUMBER(SEARCH("ID_002",$M54)),ISNUMBER(SEARCH("ID_002",$N54))),1,0)</x:f>
        <x:v>0</x:v>
      </x:c>
      <x:c r="V54" s="17" t="n">
        <x:f>IF(AND(NOT(ISNUMBER(SEARCH("ID_002",$M54))),ISNUMBER(SEARCH("ID_002",$N54))),1,0)</x:f>
        <x:v>0</x:v>
      </x:c>
      <x:c r="W54" s="17" t="n">
        <x:f>IF(AND(ISNUMBER(SEARCH("ID_002",$M54)),NOT(ISNUMBER(SEARCH("ID_002",$N54)))),1,0)</x:f>
        <x:v>0</x:v>
      </x:c>
      <x:c r="X54" s="17" t="n">
        <x:f>IF(AND(ISNUMBER(SEARCH("ID_003",$M54)),ISNUMBER(SEARCH("ID_003",$N54))),1,0)</x:f>
        <x:v>0</x:v>
      </x:c>
      <x:c r="Y54" s="17" t="n">
        <x:f>IF(AND(NOT(ISNUMBER(SEARCH("ID_003",$M54))),ISNUMBER(SEARCH("ID_003",$N54))),1,0)</x:f>
        <x:v>0</x:v>
      </x:c>
      <x:c r="Z54" s="17" t="n">
        <x:f>IF(AND(ISNUMBER(SEARCH("ID_003",$M54)),NOT(ISNUMBER(SEARCH("ID_003",$N54)))),1,0)</x:f>
        <x:v>0</x:v>
      </x:c>
      <x:c r="AA54" s="17" t="n">
        <x:f>IF(AND(ISNUMBER(SEARCH("ID_004",$M54)),ISNUMBER(SEARCH("ID_004",$N54))),1,0)</x:f>
        <x:v>0</x:v>
      </x:c>
      <x:c r="AB54" s="17" t="n">
        <x:f>IF(AND(NOT(ISNUMBER(SEARCH("ID_004",$M54))),ISNUMBER(SEARCH("ID_004",$N54))),1,0)</x:f>
        <x:v>0</x:v>
      </x:c>
      <x:c r="AC54" s="17" t="n">
        <x:f>IF(AND(ISNUMBER(SEARCH("ID_004",$M54)),NOT(ISNUMBER(SEARCH("ID_004",$N54)))),1,0)</x:f>
        <x:v>0</x:v>
      </x:c>
      <x:c r="AD54" s="17" t="n">
        <x:f>IF(AND(ISNUMBER(SEARCH("ID_005",$M54)),ISNUMBER(SEARCH("ID_005",$N54))),1,0)</x:f>
        <x:v>0</x:v>
      </x:c>
      <x:c r="AE54" s="17" t="n">
        <x:f>IF(AND(NOT(ISNUMBER(SEARCH("ID_005",$M54))),ISNUMBER(SEARCH("ID_005",$N54))),1,0)</x:f>
        <x:v>1</x:v>
      </x:c>
      <x:c r="AF54" s="17" t="n">
        <x:f>IF(AND(ISNUMBER(SEARCH("ID_005",$M54)),NOT(ISNUMBER(SEARCH("ID_005",$N54)))),1,0)</x:f>
        <x:v>0</x:v>
      </x:c>
      <x:c r="AG54" s="17" t="n">
        <x:f>IF(AND(ISNUMBER(SEARCH("ID_006",$M54)),ISNUMBER(SEARCH("ID_006",$N54))),1,0)</x:f>
        <x:v>0</x:v>
      </x:c>
      <x:c r="AH54" s="17" t="n">
        <x:f>IF(AND(NOT(ISNUMBER(SEARCH("ID_006",$M54))),ISNUMBER(SEARCH("ID_006",$N54))),1,0)</x:f>
        <x:v>0</x:v>
      </x:c>
      <x:c r="AI54" s="17" t="n">
        <x:f>IF(AND(ISNUMBER(SEARCH("ID_006",$M54)),NOT(ISNUMBER(SEARCH("ID_006",$N54)))),1,0)</x:f>
        <x:v>0</x:v>
      </x:c>
      <x:c r="AJ54" s="17" t="n">
        <x:f>IF(AND(ISNUMBER(SEARCH("ID_007",$M54)),ISNUMBER(SEARCH("ID_007",$N54))),1,0)</x:f>
        <x:v>0</x:v>
      </x:c>
      <x:c r="AK54" s="17" t="n">
        <x:f>IF(AND(NOT(ISNUMBER(SEARCH("ID_007",$M54))),ISNUMBER(SEARCH("ID_007",$N54))),1,0)</x:f>
        <x:v>0</x:v>
      </x:c>
      <x:c r="AL54" s="17" t="n">
        <x:f>IF(AND(ISNUMBER(SEARCH("ID_007",$M54)),NOT(ISNUMBER(SEARCH("ID_007",$N54)))),1,0)</x:f>
        <x:v>0</x:v>
      </x:c>
      <x:c r="AM54" s="17" t="n">
        <x:f>IF(AND(ISNUMBER(SEARCH("ID_008",$M54)),ISNUMBER(SEARCH("ID_008",$N54))),1,0)</x:f>
        <x:v>0</x:v>
      </x:c>
      <x:c r="AN54" s="17" t="n">
        <x:f>IF(AND(NOT(ISNUMBER(SEARCH("ID_008",$M54))),ISNUMBER(SEARCH("ID_008",$N54))),1,0)</x:f>
        <x:v>0</x:v>
      </x:c>
      <x:c r="AO54" s="17" t="n">
        <x:f>IF(AND(ISNUMBER(SEARCH("ID_008",$M54)),NOT(ISNUMBER(SEARCH("ID_008",$N54)))),1,0)</x:f>
        <x:v>0</x:v>
      </x:c>
      <x:c r="AP54" s="17" t="n">
        <x:f>IF(AND(ISNUMBER(SEARCH("ID_009",$M54)),ISNUMBER(SEARCH("ID_009",$N54))),1,0)</x:f>
        <x:v>0</x:v>
      </x:c>
      <x:c r="AQ54" s="17" t="n">
        <x:f>IF(AND(NOT(ISNUMBER(SEARCH("ID_009",$M54))),ISNUMBER(SEARCH("ID_009",$N54))),1,0)</x:f>
        <x:v>0</x:v>
      </x:c>
      <x:c r="AR54" s="17" t="n">
        <x:f>IF(AND(ISNUMBER(SEARCH("ID_009",$M54)),NOT(ISNUMBER(SEARCH("ID_009",$N54)))),1,0)</x:f>
        <x:v>0</x:v>
      </x:c>
    </x:row>
    <x:row r="55">
      <x:c r="J55" s="17" t="str">
        <x:v>补充</x:v>
      </x:c>
      <x:c r="K55" s="17" t="str">
        <x:v>extra24</x:v>
      </x:c>
      <x:c r="L55" s="29" t="n">
        <x:v>0.62</x:v>
      </x:c>
      <x:c r="M55" s="17" t="str">
        <x:v>ID_000</x:v>
      </x:c>
      <x:c r="N55" s="17" t="str">
        <x:v>ID_000</x:v>
      </x:c>
      <x:c r="O55" s="17" t="n">
        <x:f>IF(AND(ISNUMBER(SEARCH("ID_000",$M55)),ISNUMBER(SEARCH("ID_000",$N55))),1,0)</x:f>
        <x:v>1</x:v>
      </x:c>
      <x:c r="P55" s="17" t="n">
        <x:f>IF(AND(NOT(ISNUMBER(SEARCH("ID_000",$M55))),ISNUMBER(SEARCH("ID_000",$N55))),1,0)</x:f>
        <x:v>0</x:v>
      </x:c>
      <x:c r="Q55" s="17" t="n">
        <x:f>IF(AND(ISNUMBER(SEARCH("ID_000",$M55)),NOT(ISNUMBER(SEARCH("ID_000",$N55)))),1,0)</x:f>
        <x:v>0</x:v>
      </x:c>
      <x:c r="R55" s="17" t="n">
        <x:f>IF(AND(ISNUMBER(SEARCH("ID_001",$M55)),ISNUMBER(SEARCH("ID_001",$N55))),1,0)</x:f>
        <x:v>0</x:v>
      </x:c>
      <x:c r="S55" s="17" t="n">
        <x:f>IF(AND(NOT(ISNUMBER(SEARCH("ID_001",$M55))),ISNUMBER(SEARCH("ID_001",$N55))),1,0)</x:f>
        <x:v>0</x:v>
      </x:c>
      <x:c r="T55" s="17" t="n">
        <x:f>IF(AND(ISNUMBER(SEARCH("ID_001",$M55)),NOT(ISNUMBER(SEARCH("ID_001",$N55)))),1,0)</x:f>
        <x:v>0</x:v>
      </x:c>
      <x:c r="U55" s="17" t="n">
        <x:f>IF(AND(ISNUMBER(SEARCH("ID_002",$M55)),ISNUMBER(SEARCH("ID_002",$N55))),1,0)</x:f>
        <x:v>0</x:v>
      </x:c>
      <x:c r="V55" s="17" t="n">
        <x:f>IF(AND(NOT(ISNUMBER(SEARCH("ID_002",$M55))),ISNUMBER(SEARCH("ID_002",$N55))),1,0)</x:f>
        <x:v>0</x:v>
      </x:c>
      <x:c r="W55" s="17" t="n">
        <x:f>IF(AND(ISNUMBER(SEARCH("ID_002",$M55)),NOT(ISNUMBER(SEARCH("ID_002",$N55)))),1,0)</x:f>
        <x:v>0</x:v>
      </x:c>
      <x:c r="X55" s="17" t="n">
        <x:f>IF(AND(ISNUMBER(SEARCH("ID_003",$M55)),ISNUMBER(SEARCH("ID_003",$N55))),1,0)</x:f>
        <x:v>0</x:v>
      </x:c>
      <x:c r="Y55" s="17" t="n">
        <x:f>IF(AND(NOT(ISNUMBER(SEARCH("ID_003",$M55))),ISNUMBER(SEARCH("ID_003",$N55))),1,0)</x:f>
        <x:v>0</x:v>
      </x:c>
      <x:c r="Z55" s="17" t="n">
        <x:f>IF(AND(ISNUMBER(SEARCH("ID_003",$M55)),NOT(ISNUMBER(SEARCH("ID_003",$N55)))),1,0)</x:f>
        <x:v>0</x:v>
      </x:c>
      <x:c r="AA55" s="17" t="n">
        <x:f>IF(AND(ISNUMBER(SEARCH("ID_004",$M55)),ISNUMBER(SEARCH("ID_004",$N55))),1,0)</x:f>
        <x:v>0</x:v>
      </x:c>
      <x:c r="AB55" s="17" t="n">
        <x:f>IF(AND(NOT(ISNUMBER(SEARCH("ID_004",$M55))),ISNUMBER(SEARCH("ID_004",$N55))),1,0)</x:f>
        <x:v>0</x:v>
      </x:c>
      <x:c r="AC55" s="17" t="n">
        <x:f>IF(AND(ISNUMBER(SEARCH("ID_004",$M55)),NOT(ISNUMBER(SEARCH("ID_004",$N55)))),1,0)</x:f>
        <x:v>0</x:v>
      </x:c>
      <x:c r="AD55" s="17" t="n">
        <x:f>IF(AND(ISNUMBER(SEARCH("ID_005",$M55)),ISNUMBER(SEARCH("ID_005",$N55))),1,0)</x:f>
        <x:v>0</x:v>
      </x:c>
      <x:c r="AE55" s="17" t="n">
        <x:f>IF(AND(NOT(ISNUMBER(SEARCH("ID_005",$M55))),ISNUMBER(SEARCH("ID_005",$N55))),1,0)</x:f>
        <x:v>0</x:v>
      </x:c>
      <x:c r="AF55" s="17" t="n">
        <x:f>IF(AND(ISNUMBER(SEARCH("ID_005",$M55)),NOT(ISNUMBER(SEARCH("ID_005",$N55)))),1,0)</x:f>
        <x:v>0</x:v>
      </x:c>
      <x:c r="AG55" s="17" t="n">
        <x:f>IF(AND(ISNUMBER(SEARCH("ID_006",$M55)),ISNUMBER(SEARCH("ID_006",$N55))),1,0)</x:f>
        <x:v>0</x:v>
      </x:c>
      <x:c r="AH55" s="17" t="n">
        <x:f>IF(AND(NOT(ISNUMBER(SEARCH("ID_006",$M55))),ISNUMBER(SEARCH("ID_006",$N55))),1,0)</x:f>
        <x:v>0</x:v>
      </x:c>
      <x:c r="AI55" s="17" t="n">
        <x:f>IF(AND(ISNUMBER(SEARCH("ID_006",$M55)),NOT(ISNUMBER(SEARCH("ID_006",$N55)))),1,0)</x:f>
        <x:v>0</x:v>
      </x:c>
      <x:c r="AJ55" s="17" t="n">
        <x:f>IF(AND(ISNUMBER(SEARCH("ID_007",$M55)),ISNUMBER(SEARCH("ID_007",$N55))),1,0)</x:f>
        <x:v>0</x:v>
      </x:c>
      <x:c r="AK55" s="17" t="n">
        <x:f>IF(AND(NOT(ISNUMBER(SEARCH("ID_007",$M55))),ISNUMBER(SEARCH("ID_007",$N55))),1,0)</x:f>
        <x:v>0</x:v>
      </x:c>
      <x:c r="AL55" s="17" t="n">
        <x:f>IF(AND(ISNUMBER(SEARCH("ID_007",$M55)),NOT(ISNUMBER(SEARCH("ID_007",$N55)))),1,0)</x:f>
        <x:v>0</x:v>
      </x:c>
      <x:c r="AM55" s="17" t="n">
        <x:f>IF(AND(ISNUMBER(SEARCH("ID_008",$M55)),ISNUMBER(SEARCH("ID_008",$N55))),1,0)</x:f>
        <x:v>0</x:v>
      </x:c>
      <x:c r="AN55" s="17" t="n">
        <x:f>IF(AND(NOT(ISNUMBER(SEARCH("ID_008",$M55))),ISNUMBER(SEARCH("ID_008",$N55))),1,0)</x:f>
        <x:v>0</x:v>
      </x:c>
      <x:c r="AO55" s="17" t="n">
        <x:f>IF(AND(ISNUMBER(SEARCH("ID_008",$M55)),NOT(ISNUMBER(SEARCH("ID_008",$N55)))),1,0)</x:f>
        <x:v>0</x:v>
      </x:c>
      <x:c r="AP55" s="17" t="n">
        <x:f>IF(AND(ISNUMBER(SEARCH("ID_009",$M55)),ISNUMBER(SEARCH("ID_009",$N55))),1,0)</x:f>
        <x:v>0</x:v>
      </x:c>
      <x:c r="AQ55" s="17" t="n">
        <x:f>IF(AND(NOT(ISNUMBER(SEARCH("ID_009",$M55))),ISNUMBER(SEARCH("ID_009",$N55))),1,0)</x:f>
        <x:v>0</x:v>
      </x:c>
      <x:c r="AR55" s="17" t="n">
        <x:f>IF(AND(ISNUMBER(SEARCH("ID_009",$M55)),NOT(ISNUMBER(SEARCH("ID_009",$N55)))),1,0)</x:f>
        <x:v>0</x:v>
      </x:c>
    </x:row>
    <x:row r="56">
      <x:c r="J56" s="17" t="str">
        <x:v>补充</x:v>
      </x:c>
      <x:c r="K56" s="17" t="str">
        <x:v>extra25</x:v>
      </x:c>
      <x:c r="L56" s="29" t="n">
        <x:v>0.72</x:v>
      </x:c>
      <x:c r="M56" s="17" t="str">
        <x:v>ID_006</x:v>
      </x:c>
      <x:c r="N56" s="17" t="str">
        <x:v>ID_006</x:v>
      </x:c>
      <x:c r="O56" s="17" t="n">
        <x:f>IF(AND(ISNUMBER(SEARCH("ID_000",$M56)),ISNUMBER(SEARCH("ID_000",$N56))),1,0)</x:f>
        <x:v>0</x:v>
      </x:c>
      <x:c r="P56" s="17" t="n">
        <x:f>IF(AND(NOT(ISNUMBER(SEARCH("ID_000",$M56))),ISNUMBER(SEARCH("ID_000",$N56))),1,0)</x:f>
        <x:v>0</x:v>
      </x:c>
      <x:c r="Q56" s="17" t="n">
        <x:f>IF(AND(ISNUMBER(SEARCH("ID_000",$M56)),NOT(ISNUMBER(SEARCH("ID_000",$N56)))),1,0)</x:f>
        <x:v>0</x:v>
      </x:c>
      <x:c r="R56" s="17" t="n">
        <x:f>IF(AND(ISNUMBER(SEARCH("ID_001",$M56)),ISNUMBER(SEARCH("ID_001",$N56))),1,0)</x:f>
        <x:v>0</x:v>
      </x:c>
      <x:c r="S56" s="17" t="n">
        <x:f>IF(AND(NOT(ISNUMBER(SEARCH("ID_001",$M56))),ISNUMBER(SEARCH("ID_001",$N56))),1,0)</x:f>
        <x:v>0</x:v>
      </x:c>
      <x:c r="T56" s="17" t="n">
        <x:f>IF(AND(ISNUMBER(SEARCH("ID_001",$M56)),NOT(ISNUMBER(SEARCH("ID_001",$N56)))),1,0)</x:f>
        <x:v>0</x:v>
      </x:c>
      <x:c r="U56" s="17" t="n">
        <x:f>IF(AND(ISNUMBER(SEARCH("ID_002",$M56)),ISNUMBER(SEARCH("ID_002",$N56))),1,0)</x:f>
        <x:v>0</x:v>
      </x:c>
      <x:c r="V56" s="17" t="n">
        <x:f>IF(AND(NOT(ISNUMBER(SEARCH("ID_002",$M56))),ISNUMBER(SEARCH("ID_002",$N56))),1,0)</x:f>
        <x:v>0</x:v>
      </x:c>
      <x:c r="W56" s="17" t="n">
        <x:f>IF(AND(ISNUMBER(SEARCH("ID_002",$M56)),NOT(ISNUMBER(SEARCH("ID_002",$N56)))),1,0)</x:f>
        <x:v>0</x:v>
      </x:c>
      <x:c r="X56" s="17" t="n">
        <x:f>IF(AND(ISNUMBER(SEARCH("ID_003",$M56)),ISNUMBER(SEARCH("ID_003",$N56))),1,0)</x:f>
        <x:v>0</x:v>
      </x:c>
      <x:c r="Y56" s="17" t="n">
        <x:f>IF(AND(NOT(ISNUMBER(SEARCH("ID_003",$M56))),ISNUMBER(SEARCH("ID_003",$N56))),1,0)</x:f>
        <x:v>0</x:v>
      </x:c>
      <x:c r="Z56" s="17" t="n">
        <x:f>IF(AND(ISNUMBER(SEARCH("ID_003",$M56)),NOT(ISNUMBER(SEARCH("ID_003",$N56)))),1,0)</x:f>
        <x:v>0</x:v>
      </x:c>
      <x:c r="AA56" s="17" t="n">
        <x:f>IF(AND(ISNUMBER(SEARCH("ID_004",$M56)),ISNUMBER(SEARCH("ID_004",$N56))),1,0)</x:f>
        <x:v>0</x:v>
      </x:c>
      <x:c r="AB56" s="17" t="n">
        <x:f>IF(AND(NOT(ISNUMBER(SEARCH("ID_004",$M56))),ISNUMBER(SEARCH("ID_004",$N56))),1,0)</x:f>
        <x:v>0</x:v>
      </x:c>
      <x:c r="AC56" s="17" t="n">
        <x:f>IF(AND(ISNUMBER(SEARCH("ID_004",$M56)),NOT(ISNUMBER(SEARCH("ID_004",$N56)))),1,0)</x:f>
        <x:v>0</x:v>
      </x:c>
      <x:c r="AD56" s="17" t="n">
        <x:f>IF(AND(ISNUMBER(SEARCH("ID_005",$M56)),ISNUMBER(SEARCH("ID_005",$N56))),1,0)</x:f>
        <x:v>0</x:v>
      </x:c>
      <x:c r="AE56" s="17" t="n">
        <x:f>IF(AND(NOT(ISNUMBER(SEARCH("ID_005",$M56))),ISNUMBER(SEARCH("ID_005",$N56))),1,0)</x:f>
        <x:v>0</x:v>
      </x:c>
      <x:c r="AF56" s="17" t="n">
        <x:f>IF(AND(ISNUMBER(SEARCH("ID_005",$M56)),NOT(ISNUMBER(SEARCH("ID_005",$N56)))),1,0)</x:f>
        <x:v>0</x:v>
      </x:c>
      <x:c r="AG56" s="17" t="n">
        <x:f>IF(AND(ISNUMBER(SEARCH("ID_006",$M56)),ISNUMBER(SEARCH("ID_006",$N56))),1,0)</x:f>
        <x:v>1</x:v>
      </x:c>
      <x:c r="AH56" s="17" t="n">
        <x:f>IF(AND(NOT(ISNUMBER(SEARCH("ID_006",$M56))),ISNUMBER(SEARCH("ID_006",$N56))),1,0)</x:f>
        <x:v>0</x:v>
      </x:c>
      <x:c r="AI56" s="17" t="n">
        <x:f>IF(AND(ISNUMBER(SEARCH("ID_006",$M56)),NOT(ISNUMBER(SEARCH("ID_006",$N56)))),1,0)</x:f>
        <x:v>0</x:v>
      </x:c>
      <x:c r="AJ56" s="17" t="n">
        <x:f>IF(AND(ISNUMBER(SEARCH("ID_007",$M56)),ISNUMBER(SEARCH("ID_007",$N56))),1,0)</x:f>
        <x:v>0</x:v>
      </x:c>
      <x:c r="AK56" s="17" t="n">
        <x:f>IF(AND(NOT(ISNUMBER(SEARCH("ID_007",$M56))),ISNUMBER(SEARCH("ID_007",$N56))),1,0)</x:f>
        <x:v>0</x:v>
      </x:c>
      <x:c r="AL56" s="17" t="n">
        <x:f>IF(AND(ISNUMBER(SEARCH("ID_007",$M56)),NOT(ISNUMBER(SEARCH("ID_007",$N56)))),1,0)</x:f>
        <x:v>0</x:v>
      </x:c>
      <x:c r="AM56" s="17" t="n">
        <x:f>IF(AND(ISNUMBER(SEARCH("ID_008",$M56)),ISNUMBER(SEARCH("ID_008",$N56))),1,0)</x:f>
        <x:v>0</x:v>
      </x:c>
      <x:c r="AN56" s="17" t="n">
        <x:f>IF(AND(NOT(ISNUMBER(SEARCH("ID_008",$M56))),ISNUMBER(SEARCH("ID_008",$N56))),1,0)</x:f>
        <x:v>0</x:v>
      </x:c>
      <x:c r="AO56" s="17" t="n">
        <x:f>IF(AND(ISNUMBER(SEARCH("ID_008",$M56)),NOT(ISNUMBER(SEARCH("ID_008",$N56)))),1,0)</x:f>
        <x:v>0</x:v>
      </x:c>
      <x:c r="AP56" s="17" t="n">
        <x:f>IF(AND(ISNUMBER(SEARCH("ID_009",$M56)),ISNUMBER(SEARCH("ID_009",$N56))),1,0)</x:f>
        <x:v>0</x:v>
      </x:c>
      <x:c r="AQ56" s="17" t="n">
        <x:f>IF(AND(NOT(ISNUMBER(SEARCH("ID_009",$M56))),ISNUMBER(SEARCH("ID_009",$N56))),1,0)</x:f>
        <x:v>0</x:v>
      </x:c>
      <x:c r="AR56" s="17" t="n">
        <x:f>IF(AND(ISNUMBER(SEARCH("ID_009",$M56)),NOT(ISNUMBER(SEARCH("ID_009",$N56)))),1,0)</x:f>
        <x:v>0</x:v>
      </x:c>
    </x:row>
    <x:row r="57">
      <x:c r="J57" s="17" t="str">
        <x:v>补充</x:v>
      </x:c>
      <x:c r="K57" s="17" t="str">
        <x:v>extra26</x:v>
      </x:c>
      <x:c r="L57" s="29" t="n">
        <x:v>0.89</x:v>
      </x:c>
      <x:c r="M57" s="17" t="str">
        <x:v>ID_002</x:v>
      </x:c>
      <x:c r="N57" s="17" t="str">
        <x:v>ID_002</x:v>
      </x:c>
      <x:c r="O57" s="17" t="n">
        <x:f>IF(AND(ISNUMBER(SEARCH("ID_000",$M57)),ISNUMBER(SEARCH("ID_000",$N57))),1,0)</x:f>
        <x:v>0</x:v>
      </x:c>
      <x:c r="P57" s="17" t="n">
        <x:f>IF(AND(NOT(ISNUMBER(SEARCH("ID_000",$M57))),ISNUMBER(SEARCH("ID_000",$N57))),1,0)</x:f>
        <x:v>0</x:v>
      </x:c>
      <x:c r="Q57" s="17" t="n">
        <x:f>IF(AND(ISNUMBER(SEARCH("ID_000",$M57)),NOT(ISNUMBER(SEARCH("ID_000",$N57)))),1,0)</x:f>
        <x:v>0</x:v>
      </x:c>
      <x:c r="R57" s="17" t="n">
        <x:f>IF(AND(ISNUMBER(SEARCH("ID_001",$M57)),ISNUMBER(SEARCH("ID_001",$N57))),1,0)</x:f>
        <x:v>0</x:v>
      </x:c>
      <x:c r="S57" s="17" t="n">
        <x:f>IF(AND(NOT(ISNUMBER(SEARCH("ID_001",$M57))),ISNUMBER(SEARCH("ID_001",$N57))),1,0)</x:f>
        <x:v>0</x:v>
      </x:c>
      <x:c r="T57" s="17" t="n">
        <x:f>IF(AND(ISNUMBER(SEARCH("ID_001",$M57)),NOT(ISNUMBER(SEARCH("ID_001",$N57)))),1,0)</x:f>
        <x:v>0</x:v>
      </x:c>
      <x:c r="U57" s="17" t="n">
        <x:f>IF(AND(ISNUMBER(SEARCH("ID_002",$M57)),ISNUMBER(SEARCH("ID_002",$N57))),1,0)</x:f>
        <x:v>1</x:v>
      </x:c>
      <x:c r="V57" s="17" t="n">
        <x:f>IF(AND(NOT(ISNUMBER(SEARCH("ID_002",$M57))),ISNUMBER(SEARCH("ID_002",$N57))),1,0)</x:f>
        <x:v>0</x:v>
      </x:c>
      <x:c r="W57" s="17" t="n">
        <x:f>IF(AND(ISNUMBER(SEARCH("ID_002",$M57)),NOT(ISNUMBER(SEARCH("ID_002",$N57)))),1,0)</x:f>
        <x:v>0</x:v>
      </x:c>
      <x:c r="X57" s="17" t="n">
        <x:f>IF(AND(ISNUMBER(SEARCH("ID_003",$M57)),ISNUMBER(SEARCH("ID_003",$N57))),1,0)</x:f>
        <x:v>0</x:v>
      </x:c>
      <x:c r="Y57" s="17" t="n">
        <x:f>IF(AND(NOT(ISNUMBER(SEARCH("ID_003",$M57))),ISNUMBER(SEARCH("ID_003",$N57))),1,0)</x:f>
        <x:v>0</x:v>
      </x:c>
      <x:c r="Z57" s="17" t="n">
        <x:f>IF(AND(ISNUMBER(SEARCH("ID_003",$M57)),NOT(ISNUMBER(SEARCH("ID_003",$N57)))),1,0)</x:f>
        <x:v>0</x:v>
      </x:c>
      <x:c r="AA57" s="17" t="n">
        <x:f>IF(AND(ISNUMBER(SEARCH("ID_004",$M57)),ISNUMBER(SEARCH("ID_004",$N57))),1,0)</x:f>
        <x:v>0</x:v>
      </x:c>
      <x:c r="AB57" s="17" t="n">
        <x:f>IF(AND(NOT(ISNUMBER(SEARCH("ID_004",$M57))),ISNUMBER(SEARCH("ID_004",$N57))),1,0)</x:f>
        <x:v>0</x:v>
      </x:c>
      <x:c r="AC57" s="17" t="n">
        <x:f>IF(AND(ISNUMBER(SEARCH("ID_004",$M57)),NOT(ISNUMBER(SEARCH("ID_004",$N57)))),1,0)</x:f>
        <x:v>0</x:v>
      </x:c>
      <x:c r="AD57" s="17" t="n">
        <x:f>IF(AND(ISNUMBER(SEARCH("ID_005",$M57)),ISNUMBER(SEARCH("ID_005",$N57))),1,0)</x:f>
        <x:v>0</x:v>
      </x:c>
      <x:c r="AE57" s="17" t="n">
        <x:f>IF(AND(NOT(ISNUMBER(SEARCH("ID_005",$M57))),ISNUMBER(SEARCH("ID_005",$N57))),1,0)</x:f>
        <x:v>0</x:v>
      </x:c>
      <x:c r="AF57" s="17" t="n">
        <x:f>IF(AND(ISNUMBER(SEARCH("ID_005",$M57)),NOT(ISNUMBER(SEARCH("ID_005",$N57)))),1,0)</x:f>
        <x:v>0</x:v>
      </x:c>
      <x:c r="AG57" s="17" t="n">
        <x:f>IF(AND(ISNUMBER(SEARCH("ID_006",$M57)),ISNUMBER(SEARCH("ID_006",$N57))),1,0)</x:f>
        <x:v>0</x:v>
      </x:c>
      <x:c r="AH57" s="17" t="n">
        <x:f>IF(AND(NOT(ISNUMBER(SEARCH("ID_006",$M57))),ISNUMBER(SEARCH("ID_006",$N57))),1,0)</x:f>
        <x:v>0</x:v>
      </x:c>
      <x:c r="AI57" s="17" t="n">
        <x:f>IF(AND(ISNUMBER(SEARCH("ID_006",$M57)),NOT(ISNUMBER(SEARCH("ID_006",$N57)))),1,0)</x:f>
        <x:v>0</x:v>
      </x:c>
      <x:c r="AJ57" s="17" t="n">
        <x:f>IF(AND(ISNUMBER(SEARCH("ID_007",$M57)),ISNUMBER(SEARCH("ID_007",$N57))),1,0)</x:f>
        <x:v>0</x:v>
      </x:c>
      <x:c r="AK57" s="17" t="n">
        <x:f>IF(AND(NOT(ISNUMBER(SEARCH("ID_007",$M57))),ISNUMBER(SEARCH("ID_007",$N57))),1,0)</x:f>
        <x:v>0</x:v>
      </x:c>
      <x:c r="AL57" s="17" t="n">
        <x:f>IF(AND(ISNUMBER(SEARCH("ID_007",$M57)),NOT(ISNUMBER(SEARCH("ID_007",$N57)))),1,0)</x:f>
        <x:v>0</x:v>
      </x:c>
      <x:c r="AM57" s="17" t="n">
        <x:f>IF(AND(ISNUMBER(SEARCH("ID_008",$M57)),ISNUMBER(SEARCH("ID_008",$N57))),1,0)</x:f>
        <x:v>0</x:v>
      </x:c>
      <x:c r="AN57" s="17" t="n">
        <x:f>IF(AND(NOT(ISNUMBER(SEARCH("ID_008",$M57))),ISNUMBER(SEARCH("ID_008",$N57))),1,0)</x:f>
        <x:v>0</x:v>
      </x:c>
      <x:c r="AO57" s="17" t="n">
        <x:f>IF(AND(ISNUMBER(SEARCH("ID_008",$M57)),NOT(ISNUMBER(SEARCH("ID_008",$N57)))),1,0)</x:f>
        <x:v>0</x:v>
      </x:c>
      <x:c r="AP57" s="17" t="n">
        <x:f>IF(AND(ISNUMBER(SEARCH("ID_009",$M57)),ISNUMBER(SEARCH("ID_009",$N57))),1,0)</x:f>
        <x:v>0</x:v>
      </x:c>
      <x:c r="AQ57" s="17" t="n">
        <x:f>IF(AND(NOT(ISNUMBER(SEARCH("ID_009",$M57))),ISNUMBER(SEARCH("ID_009",$N57))),1,0)</x:f>
        <x:v>0</x:v>
      </x:c>
      <x:c r="AR57" s="17" t="n">
        <x:f>IF(AND(ISNUMBER(SEARCH("ID_009",$M57)),NOT(ISNUMBER(SEARCH("ID_009",$N57)))),1,0)</x:f>
        <x:v>0</x:v>
      </x:c>
    </x:row>
    <x:row r="58">
      <x:c r="J58" s="17" t="str">
        <x:v>补充</x:v>
      </x:c>
      <x:c r="K58" s="17" t="str">
        <x:v>extra27</x:v>
      </x:c>
      <x:c r="L58" s="29" t="n">
        <x:v>1.06</x:v>
      </x:c>
      <x:c r="M58" s="17" t="str">
        <x:v>ID_006,ID_007</x:v>
      </x:c>
      <x:c r="N58" s="17" t="str">
        <x:v>ID_006,ID_007</x:v>
      </x:c>
      <x:c r="O58" s="17" t="n">
        <x:f>IF(AND(ISNUMBER(SEARCH("ID_000",$M58)),ISNUMBER(SEARCH("ID_000",$N58))),1,0)</x:f>
        <x:v>0</x:v>
      </x:c>
      <x:c r="P58" s="17" t="n">
        <x:f>IF(AND(NOT(ISNUMBER(SEARCH("ID_000",$M58))),ISNUMBER(SEARCH("ID_000",$N58))),1,0)</x:f>
        <x:v>0</x:v>
      </x:c>
      <x:c r="Q58" s="17" t="n">
        <x:f>IF(AND(ISNUMBER(SEARCH("ID_000",$M58)),NOT(ISNUMBER(SEARCH("ID_000",$N58)))),1,0)</x:f>
        <x:v>0</x:v>
      </x:c>
      <x:c r="R58" s="17" t="n">
        <x:f>IF(AND(ISNUMBER(SEARCH("ID_001",$M58)),ISNUMBER(SEARCH("ID_001",$N58))),1,0)</x:f>
        <x:v>0</x:v>
      </x:c>
      <x:c r="S58" s="17" t="n">
        <x:f>IF(AND(NOT(ISNUMBER(SEARCH("ID_001",$M58))),ISNUMBER(SEARCH("ID_001",$N58))),1,0)</x:f>
        <x:v>0</x:v>
      </x:c>
      <x:c r="T58" s="17" t="n">
        <x:f>IF(AND(ISNUMBER(SEARCH("ID_001",$M58)),NOT(ISNUMBER(SEARCH("ID_001",$N58)))),1,0)</x:f>
        <x:v>0</x:v>
      </x:c>
      <x:c r="U58" s="17" t="n">
        <x:f>IF(AND(ISNUMBER(SEARCH("ID_002",$M58)),ISNUMBER(SEARCH("ID_002",$N58))),1,0)</x:f>
        <x:v>0</x:v>
      </x:c>
      <x:c r="V58" s="17" t="n">
        <x:f>IF(AND(NOT(ISNUMBER(SEARCH("ID_002",$M58))),ISNUMBER(SEARCH("ID_002",$N58))),1,0)</x:f>
        <x:v>0</x:v>
      </x:c>
      <x:c r="W58" s="17" t="n">
        <x:f>IF(AND(ISNUMBER(SEARCH("ID_002",$M58)),NOT(ISNUMBER(SEARCH("ID_002",$N58)))),1,0)</x:f>
        <x:v>0</x:v>
      </x:c>
      <x:c r="X58" s="17" t="n">
        <x:f>IF(AND(ISNUMBER(SEARCH("ID_003",$M58)),ISNUMBER(SEARCH("ID_003",$N58))),1,0)</x:f>
        <x:v>0</x:v>
      </x:c>
      <x:c r="Y58" s="17" t="n">
        <x:f>IF(AND(NOT(ISNUMBER(SEARCH("ID_003",$M58))),ISNUMBER(SEARCH("ID_003",$N58))),1,0)</x:f>
        <x:v>0</x:v>
      </x:c>
      <x:c r="Z58" s="17" t="n">
        <x:f>IF(AND(ISNUMBER(SEARCH("ID_003",$M58)),NOT(ISNUMBER(SEARCH("ID_003",$N58)))),1,0)</x:f>
        <x:v>0</x:v>
      </x:c>
      <x:c r="AA58" s="17" t="n">
        <x:f>IF(AND(ISNUMBER(SEARCH("ID_004",$M58)),ISNUMBER(SEARCH("ID_004",$N58))),1,0)</x:f>
        <x:v>0</x:v>
      </x:c>
      <x:c r="AB58" s="17" t="n">
        <x:f>IF(AND(NOT(ISNUMBER(SEARCH("ID_004",$M58))),ISNUMBER(SEARCH("ID_004",$N58))),1,0)</x:f>
        <x:v>0</x:v>
      </x:c>
      <x:c r="AC58" s="17" t="n">
        <x:f>IF(AND(ISNUMBER(SEARCH("ID_004",$M58)),NOT(ISNUMBER(SEARCH("ID_004",$N58)))),1,0)</x:f>
        <x:v>0</x:v>
      </x:c>
      <x:c r="AD58" s="17" t="n">
        <x:f>IF(AND(ISNUMBER(SEARCH("ID_005",$M58)),ISNUMBER(SEARCH("ID_005",$N58))),1,0)</x:f>
        <x:v>0</x:v>
      </x:c>
      <x:c r="AE58" s="17" t="n">
        <x:f>IF(AND(NOT(ISNUMBER(SEARCH("ID_005",$M58))),ISNUMBER(SEARCH("ID_005",$N58))),1,0)</x:f>
        <x:v>0</x:v>
      </x:c>
      <x:c r="AF58" s="17" t="n">
        <x:f>IF(AND(ISNUMBER(SEARCH("ID_005",$M58)),NOT(ISNUMBER(SEARCH("ID_005",$N58)))),1,0)</x:f>
        <x:v>0</x:v>
      </x:c>
      <x:c r="AG58" s="17" t="n">
        <x:f>IF(AND(ISNUMBER(SEARCH("ID_006",$M58)),ISNUMBER(SEARCH("ID_006",$N58))),1,0)</x:f>
        <x:v>1</x:v>
      </x:c>
      <x:c r="AH58" s="17" t="n">
        <x:f>IF(AND(NOT(ISNUMBER(SEARCH("ID_006",$M58))),ISNUMBER(SEARCH("ID_006",$N58))),1,0)</x:f>
        <x:v>0</x:v>
      </x:c>
      <x:c r="AI58" s="17" t="n">
        <x:f>IF(AND(ISNUMBER(SEARCH("ID_006",$M58)),NOT(ISNUMBER(SEARCH("ID_006",$N58)))),1,0)</x:f>
        <x:v>0</x:v>
      </x:c>
      <x:c r="AJ58" s="17" t="n">
        <x:f>IF(AND(ISNUMBER(SEARCH("ID_007",$M58)),ISNUMBER(SEARCH("ID_007",$N58))),1,0)</x:f>
        <x:v>1</x:v>
      </x:c>
      <x:c r="AK58" s="17" t="n">
        <x:f>IF(AND(NOT(ISNUMBER(SEARCH("ID_007",$M58))),ISNUMBER(SEARCH("ID_007",$N58))),1,0)</x:f>
        <x:v>0</x:v>
      </x:c>
      <x:c r="AL58" s="17" t="n">
        <x:f>IF(AND(ISNUMBER(SEARCH("ID_007",$M58)),NOT(ISNUMBER(SEARCH("ID_007",$N58)))),1,0)</x:f>
        <x:v>0</x:v>
      </x:c>
      <x:c r="AM58" s="17" t="n">
        <x:f>IF(AND(ISNUMBER(SEARCH("ID_008",$M58)),ISNUMBER(SEARCH("ID_008",$N58))),1,0)</x:f>
        <x:v>0</x:v>
      </x:c>
      <x:c r="AN58" s="17" t="n">
        <x:f>IF(AND(NOT(ISNUMBER(SEARCH("ID_008",$M58))),ISNUMBER(SEARCH("ID_008",$N58))),1,0)</x:f>
        <x:v>0</x:v>
      </x:c>
      <x:c r="AO58" s="17" t="n">
        <x:f>IF(AND(ISNUMBER(SEARCH("ID_008",$M58)),NOT(ISNUMBER(SEARCH("ID_008",$N58)))),1,0)</x:f>
        <x:v>0</x:v>
      </x:c>
      <x:c r="AP58" s="17" t="n">
        <x:f>IF(AND(ISNUMBER(SEARCH("ID_009",$M58)),ISNUMBER(SEARCH("ID_009",$N58))),1,0)</x:f>
        <x:v>0</x:v>
      </x:c>
      <x:c r="AQ58" s="17" t="n">
        <x:f>IF(AND(NOT(ISNUMBER(SEARCH("ID_009",$M58))),ISNUMBER(SEARCH("ID_009",$N58))),1,0)</x:f>
        <x:v>0</x:v>
      </x:c>
      <x:c r="AR58" s="17" t="n">
        <x:f>IF(AND(ISNUMBER(SEARCH("ID_009",$M58)),NOT(ISNUMBER(SEARCH("ID_009",$N58)))),1,0)</x:f>
        <x:v>0</x:v>
      </x:c>
    </x:row>
    <x:row r="59">
      <x:c r="J59" s="17" t="str">
        <x:v>补充</x:v>
      </x:c>
      <x:c r="K59" s="17" t="str">
        <x:v>extra28</x:v>
      </x:c>
      <x:c r="L59" s="29" t="n">
        <x:v>0.77</x:v>
      </x:c>
      <x:c r="M59" s="17" t="str">
        <x:v>ID_003,ID_007</x:v>
      </x:c>
      <x:c r="N59" s="17" t="str">
        <x:v>ID_003,ID_007</x:v>
      </x:c>
      <x:c r="O59" s="17" t="n">
        <x:f>IF(AND(ISNUMBER(SEARCH("ID_000",$M59)),ISNUMBER(SEARCH("ID_000",$N59))),1,0)</x:f>
        <x:v>0</x:v>
      </x:c>
      <x:c r="P59" s="17" t="n">
        <x:f>IF(AND(NOT(ISNUMBER(SEARCH("ID_000",$M59))),ISNUMBER(SEARCH("ID_000",$N59))),1,0)</x:f>
        <x:v>0</x:v>
      </x:c>
      <x:c r="Q59" s="17" t="n">
        <x:f>IF(AND(ISNUMBER(SEARCH("ID_000",$M59)),NOT(ISNUMBER(SEARCH("ID_000",$N59)))),1,0)</x:f>
        <x:v>0</x:v>
      </x:c>
      <x:c r="R59" s="17" t="n">
        <x:f>IF(AND(ISNUMBER(SEARCH("ID_001",$M59)),ISNUMBER(SEARCH("ID_001",$N59))),1,0)</x:f>
        <x:v>0</x:v>
      </x:c>
      <x:c r="S59" s="17" t="n">
        <x:f>IF(AND(NOT(ISNUMBER(SEARCH("ID_001",$M59))),ISNUMBER(SEARCH("ID_001",$N59))),1,0)</x:f>
        <x:v>0</x:v>
      </x:c>
      <x:c r="T59" s="17" t="n">
        <x:f>IF(AND(ISNUMBER(SEARCH("ID_001",$M59)),NOT(ISNUMBER(SEARCH("ID_001",$N59)))),1,0)</x:f>
        <x:v>0</x:v>
      </x:c>
      <x:c r="U59" s="17" t="n">
        <x:f>IF(AND(ISNUMBER(SEARCH("ID_002",$M59)),ISNUMBER(SEARCH("ID_002",$N59))),1,0)</x:f>
        <x:v>0</x:v>
      </x:c>
      <x:c r="V59" s="17" t="n">
        <x:f>IF(AND(NOT(ISNUMBER(SEARCH("ID_002",$M59))),ISNUMBER(SEARCH("ID_002",$N59))),1,0)</x:f>
        <x:v>0</x:v>
      </x:c>
      <x:c r="W59" s="17" t="n">
        <x:f>IF(AND(ISNUMBER(SEARCH("ID_002",$M59)),NOT(ISNUMBER(SEARCH("ID_002",$N59)))),1,0)</x:f>
        <x:v>0</x:v>
      </x:c>
      <x:c r="X59" s="17" t="n">
        <x:f>IF(AND(ISNUMBER(SEARCH("ID_003",$M59)),ISNUMBER(SEARCH("ID_003",$N59))),1,0)</x:f>
        <x:v>1</x:v>
      </x:c>
      <x:c r="Y59" s="17" t="n">
        <x:f>IF(AND(NOT(ISNUMBER(SEARCH("ID_003",$M59))),ISNUMBER(SEARCH("ID_003",$N59))),1,0)</x:f>
        <x:v>0</x:v>
      </x:c>
      <x:c r="Z59" s="17" t="n">
        <x:f>IF(AND(ISNUMBER(SEARCH("ID_003",$M59)),NOT(ISNUMBER(SEARCH("ID_003",$N59)))),1,0)</x:f>
        <x:v>0</x:v>
      </x:c>
      <x:c r="AA59" s="17" t="n">
        <x:f>IF(AND(ISNUMBER(SEARCH("ID_004",$M59)),ISNUMBER(SEARCH("ID_004",$N59))),1,0)</x:f>
        <x:v>0</x:v>
      </x:c>
      <x:c r="AB59" s="17" t="n">
        <x:f>IF(AND(NOT(ISNUMBER(SEARCH("ID_004",$M59))),ISNUMBER(SEARCH("ID_004",$N59))),1,0)</x:f>
        <x:v>0</x:v>
      </x:c>
      <x:c r="AC59" s="17" t="n">
        <x:f>IF(AND(ISNUMBER(SEARCH("ID_004",$M59)),NOT(ISNUMBER(SEARCH("ID_004",$N59)))),1,0)</x:f>
        <x:v>0</x:v>
      </x:c>
      <x:c r="AD59" s="17" t="n">
        <x:f>IF(AND(ISNUMBER(SEARCH("ID_005",$M59)),ISNUMBER(SEARCH("ID_005",$N59))),1,0)</x:f>
        <x:v>0</x:v>
      </x:c>
      <x:c r="AE59" s="17" t="n">
        <x:f>IF(AND(NOT(ISNUMBER(SEARCH("ID_005",$M59))),ISNUMBER(SEARCH("ID_005",$N59))),1,0)</x:f>
        <x:v>0</x:v>
      </x:c>
      <x:c r="AF59" s="17" t="n">
        <x:f>IF(AND(ISNUMBER(SEARCH("ID_005",$M59)),NOT(ISNUMBER(SEARCH("ID_005",$N59)))),1,0)</x:f>
        <x:v>0</x:v>
      </x:c>
      <x:c r="AG59" s="17" t="n">
        <x:f>IF(AND(ISNUMBER(SEARCH("ID_006",$M59)),ISNUMBER(SEARCH("ID_006",$N59))),1,0)</x:f>
        <x:v>0</x:v>
      </x:c>
      <x:c r="AH59" s="17" t="n">
        <x:f>IF(AND(NOT(ISNUMBER(SEARCH("ID_006",$M59))),ISNUMBER(SEARCH("ID_006",$N59))),1,0)</x:f>
        <x:v>0</x:v>
      </x:c>
      <x:c r="AI59" s="17" t="n">
        <x:f>IF(AND(ISNUMBER(SEARCH("ID_006",$M59)),NOT(ISNUMBER(SEARCH("ID_006",$N59)))),1,0)</x:f>
        <x:v>0</x:v>
      </x:c>
      <x:c r="AJ59" s="17" t="n">
        <x:f>IF(AND(ISNUMBER(SEARCH("ID_007",$M59)),ISNUMBER(SEARCH("ID_007",$N59))),1,0)</x:f>
        <x:v>1</x:v>
      </x:c>
      <x:c r="AK59" s="17" t="n">
        <x:f>IF(AND(NOT(ISNUMBER(SEARCH("ID_007",$M59))),ISNUMBER(SEARCH("ID_007",$N59))),1,0)</x:f>
        <x:v>0</x:v>
      </x:c>
      <x:c r="AL59" s="17" t="n">
        <x:f>IF(AND(ISNUMBER(SEARCH("ID_007",$M59)),NOT(ISNUMBER(SEARCH("ID_007",$N59)))),1,0)</x:f>
        <x:v>0</x:v>
      </x:c>
      <x:c r="AM59" s="17" t="n">
        <x:f>IF(AND(ISNUMBER(SEARCH("ID_008",$M59)),ISNUMBER(SEARCH("ID_008",$N59))),1,0)</x:f>
        <x:v>0</x:v>
      </x:c>
      <x:c r="AN59" s="17" t="n">
        <x:f>IF(AND(NOT(ISNUMBER(SEARCH("ID_008",$M59))),ISNUMBER(SEARCH("ID_008",$N59))),1,0)</x:f>
        <x:v>0</x:v>
      </x:c>
      <x:c r="AO59" s="17" t="n">
        <x:f>IF(AND(ISNUMBER(SEARCH("ID_008",$M59)),NOT(ISNUMBER(SEARCH("ID_008",$N59)))),1,0)</x:f>
        <x:v>0</x:v>
      </x:c>
      <x:c r="AP59" s="17" t="n">
        <x:f>IF(AND(ISNUMBER(SEARCH("ID_009",$M59)),ISNUMBER(SEARCH("ID_009",$N59))),1,0)</x:f>
        <x:v>0</x:v>
      </x:c>
      <x:c r="AQ59" s="17" t="n">
        <x:f>IF(AND(NOT(ISNUMBER(SEARCH("ID_009",$M59))),ISNUMBER(SEARCH("ID_009",$N59))),1,0)</x:f>
        <x:v>0</x:v>
      </x:c>
      <x:c r="AR59" s="17" t="n">
        <x:f>IF(AND(ISNUMBER(SEARCH("ID_009",$M59)),NOT(ISNUMBER(SEARCH("ID_009",$N59)))),1,0)</x:f>
        <x:v>0</x:v>
      </x:c>
    </x:row>
    <x:row r="60">
      <x:c r="J60" s="17" t="str">
        <x:v>补充</x:v>
      </x:c>
      <x:c r="K60" s="17" t="str">
        <x:v>extra29</x:v>
      </x:c>
      <x:c r="L60" s="29" t="n">
        <x:v>0.86</x:v>
      </x:c>
      <x:c r="M60" s="17" t="str">
        <x:v>ID_007,ID_008</x:v>
      </x:c>
      <x:c r="N60" s="17" t="str">
        <x:v>ID_007,ID_008</x:v>
      </x:c>
      <x:c r="O60" s="17" t="n">
        <x:f>IF(AND(ISNUMBER(SEARCH("ID_000",$M60)),ISNUMBER(SEARCH("ID_000",$N60))),1,0)</x:f>
        <x:v>0</x:v>
      </x:c>
      <x:c r="P60" s="17" t="n">
        <x:f>IF(AND(NOT(ISNUMBER(SEARCH("ID_000",$M60))),ISNUMBER(SEARCH("ID_000",$N60))),1,0)</x:f>
        <x:v>0</x:v>
      </x:c>
      <x:c r="Q60" s="17" t="n">
        <x:f>IF(AND(ISNUMBER(SEARCH("ID_000",$M60)),NOT(ISNUMBER(SEARCH("ID_000",$N60)))),1,0)</x:f>
        <x:v>0</x:v>
      </x:c>
      <x:c r="R60" s="17" t="n">
        <x:f>IF(AND(ISNUMBER(SEARCH("ID_001",$M60)),ISNUMBER(SEARCH("ID_001",$N60))),1,0)</x:f>
        <x:v>0</x:v>
      </x:c>
      <x:c r="S60" s="17" t="n">
        <x:f>IF(AND(NOT(ISNUMBER(SEARCH("ID_001",$M60))),ISNUMBER(SEARCH("ID_001",$N60))),1,0)</x:f>
        <x:v>0</x:v>
      </x:c>
      <x:c r="T60" s="17" t="n">
        <x:f>IF(AND(ISNUMBER(SEARCH("ID_001",$M60)),NOT(ISNUMBER(SEARCH("ID_001",$N60)))),1,0)</x:f>
        <x:v>0</x:v>
      </x:c>
      <x:c r="U60" s="17" t="n">
        <x:f>IF(AND(ISNUMBER(SEARCH("ID_002",$M60)),ISNUMBER(SEARCH("ID_002",$N60))),1,0)</x:f>
        <x:v>0</x:v>
      </x:c>
      <x:c r="V60" s="17" t="n">
        <x:f>IF(AND(NOT(ISNUMBER(SEARCH("ID_002",$M60))),ISNUMBER(SEARCH("ID_002",$N60))),1,0)</x:f>
        <x:v>0</x:v>
      </x:c>
      <x:c r="W60" s="17" t="n">
        <x:f>IF(AND(ISNUMBER(SEARCH("ID_002",$M60)),NOT(ISNUMBER(SEARCH("ID_002",$N60)))),1,0)</x:f>
        <x:v>0</x:v>
      </x:c>
      <x:c r="X60" s="17" t="n">
        <x:f>IF(AND(ISNUMBER(SEARCH("ID_003",$M60)),ISNUMBER(SEARCH("ID_003",$N60))),1,0)</x:f>
        <x:v>0</x:v>
      </x:c>
      <x:c r="Y60" s="17" t="n">
        <x:f>IF(AND(NOT(ISNUMBER(SEARCH("ID_003",$M60))),ISNUMBER(SEARCH("ID_003",$N60))),1,0)</x:f>
        <x:v>0</x:v>
      </x:c>
      <x:c r="Z60" s="17" t="n">
        <x:f>IF(AND(ISNUMBER(SEARCH("ID_003",$M60)),NOT(ISNUMBER(SEARCH("ID_003",$N60)))),1,0)</x:f>
        <x:v>0</x:v>
      </x:c>
      <x:c r="AA60" s="17" t="n">
        <x:f>IF(AND(ISNUMBER(SEARCH("ID_004",$M60)),ISNUMBER(SEARCH("ID_004",$N60))),1,0)</x:f>
        <x:v>0</x:v>
      </x:c>
      <x:c r="AB60" s="17" t="n">
        <x:f>IF(AND(NOT(ISNUMBER(SEARCH("ID_004",$M60))),ISNUMBER(SEARCH("ID_004",$N60))),1,0)</x:f>
        <x:v>0</x:v>
      </x:c>
      <x:c r="AC60" s="17" t="n">
        <x:f>IF(AND(ISNUMBER(SEARCH("ID_004",$M60)),NOT(ISNUMBER(SEARCH("ID_004",$N60)))),1,0)</x:f>
        <x:v>0</x:v>
      </x:c>
      <x:c r="AD60" s="17" t="n">
        <x:f>IF(AND(ISNUMBER(SEARCH("ID_005",$M60)),ISNUMBER(SEARCH("ID_005",$N60))),1,0)</x:f>
        <x:v>0</x:v>
      </x:c>
      <x:c r="AE60" s="17" t="n">
        <x:f>IF(AND(NOT(ISNUMBER(SEARCH("ID_005",$M60))),ISNUMBER(SEARCH("ID_005",$N60))),1,0)</x:f>
        <x:v>0</x:v>
      </x:c>
      <x:c r="AF60" s="17" t="n">
        <x:f>IF(AND(ISNUMBER(SEARCH("ID_005",$M60)),NOT(ISNUMBER(SEARCH("ID_005",$N60)))),1,0)</x:f>
        <x:v>0</x:v>
      </x:c>
      <x:c r="AG60" s="17" t="n">
        <x:f>IF(AND(ISNUMBER(SEARCH("ID_006",$M60)),ISNUMBER(SEARCH("ID_006",$N60))),1,0)</x:f>
        <x:v>0</x:v>
      </x:c>
      <x:c r="AH60" s="17" t="n">
        <x:f>IF(AND(NOT(ISNUMBER(SEARCH("ID_006",$M60))),ISNUMBER(SEARCH("ID_006",$N60))),1,0)</x:f>
        <x:v>0</x:v>
      </x:c>
      <x:c r="AI60" s="17" t="n">
        <x:f>IF(AND(ISNUMBER(SEARCH("ID_006",$M60)),NOT(ISNUMBER(SEARCH("ID_006",$N60)))),1,0)</x:f>
        <x:v>0</x:v>
      </x:c>
      <x:c r="AJ60" s="17" t="n">
        <x:f>IF(AND(ISNUMBER(SEARCH("ID_007",$M60)),ISNUMBER(SEARCH("ID_007",$N60))),1,0)</x:f>
        <x:v>1</x:v>
      </x:c>
      <x:c r="AK60" s="17" t="n">
        <x:f>IF(AND(NOT(ISNUMBER(SEARCH("ID_007",$M60))),ISNUMBER(SEARCH("ID_007",$N60))),1,0)</x:f>
        <x:v>0</x:v>
      </x:c>
      <x:c r="AL60" s="17" t="n">
        <x:f>IF(AND(ISNUMBER(SEARCH("ID_007",$M60)),NOT(ISNUMBER(SEARCH("ID_007",$N60)))),1,0)</x:f>
        <x:v>0</x:v>
      </x:c>
      <x:c r="AM60" s="17" t="n">
        <x:f>IF(AND(ISNUMBER(SEARCH("ID_008",$M60)),ISNUMBER(SEARCH("ID_008",$N60))),1,0)</x:f>
        <x:v>1</x:v>
      </x:c>
      <x:c r="AN60" s="17" t="n">
        <x:f>IF(AND(NOT(ISNUMBER(SEARCH("ID_008",$M60))),ISNUMBER(SEARCH("ID_008",$N60))),1,0)</x:f>
        <x:v>0</x:v>
      </x:c>
      <x:c r="AO60" s="17" t="n">
        <x:f>IF(AND(ISNUMBER(SEARCH("ID_008",$M60)),NOT(ISNUMBER(SEARCH("ID_008",$N60)))),1,0)</x:f>
        <x:v>0</x:v>
      </x:c>
      <x:c r="AP60" s="17" t="n">
        <x:f>IF(AND(ISNUMBER(SEARCH("ID_009",$M60)),ISNUMBER(SEARCH("ID_009",$N60))),1,0)</x:f>
        <x:v>0</x:v>
      </x:c>
      <x:c r="AQ60" s="17" t="n">
        <x:f>IF(AND(NOT(ISNUMBER(SEARCH("ID_009",$M60))),ISNUMBER(SEARCH("ID_009",$N60))),1,0)</x:f>
        <x:v>0</x:v>
      </x:c>
      <x:c r="AR60" s="17" t="n">
        <x:f>IF(AND(ISNUMBER(SEARCH("ID_009",$M60)),NOT(ISNUMBER(SEARCH("ID_009",$N60)))),1,0)</x:f>
        <x:v>0</x:v>
      </x:c>
    </x:row>
    <x:row r="61">
      <x:c r="J61" s="17" t="str">
        <x:v>补充</x:v>
      </x:c>
      <x:c r="K61" s="17" t="str">
        <x:v>extra30</x:v>
      </x:c>
      <x:c r="L61" s="29" t="n">
        <x:v>1.89</x:v>
      </x:c>
      <x:c r="M61" s="17" t="str">
        <x:v>ID_002,ID_003</x:v>
      </x:c>
      <x:c r="N61" s="17" t="str">
        <x:v>ID_002,ID_003</x:v>
      </x:c>
      <x:c r="O61" s="17" t="n">
        <x:f>IF(AND(ISNUMBER(SEARCH("ID_000",$M61)),ISNUMBER(SEARCH("ID_000",$N61))),1,0)</x:f>
        <x:v>0</x:v>
      </x:c>
      <x:c r="P61" s="17" t="n">
        <x:f>IF(AND(NOT(ISNUMBER(SEARCH("ID_000",$M61))),ISNUMBER(SEARCH("ID_000",$N61))),1,0)</x:f>
        <x:v>0</x:v>
      </x:c>
      <x:c r="Q61" s="17" t="n">
        <x:f>IF(AND(ISNUMBER(SEARCH("ID_000",$M61)),NOT(ISNUMBER(SEARCH("ID_000",$N61)))),1,0)</x:f>
        <x:v>0</x:v>
      </x:c>
      <x:c r="R61" s="17" t="n">
        <x:f>IF(AND(ISNUMBER(SEARCH("ID_001",$M61)),ISNUMBER(SEARCH("ID_001",$N61))),1,0)</x:f>
        <x:v>0</x:v>
      </x:c>
      <x:c r="S61" s="17" t="n">
        <x:f>IF(AND(NOT(ISNUMBER(SEARCH("ID_001",$M61))),ISNUMBER(SEARCH("ID_001",$N61))),1,0)</x:f>
        <x:v>0</x:v>
      </x:c>
      <x:c r="T61" s="17" t="n">
        <x:f>IF(AND(ISNUMBER(SEARCH("ID_001",$M61)),NOT(ISNUMBER(SEARCH("ID_001",$N61)))),1,0)</x:f>
        <x:v>0</x:v>
      </x:c>
      <x:c r="U61" s="17" t="n">
        <x:f>IF(AND(ISNUMBER(SEARCH("ID_002",$M61)),ISNUMBER(SEARCH("ID_002",$N61))),1,0)</x:f>
        <x:v>1</x:v>
      </x:c>
      <x:c r="V61" s="17" t="n">
        <x:f>IF(AND(NOT(ISNUMBER(SEARCH("ID_002",$M61))),ISNUMBER(SEARCH("ID_002",$N61))),1,0)</x:f>
        <x:v>0</x:v>
      </x:c>
      <x:c r="W61" s="17" t="n">
        <x:f>IF(AND(ISNUMBER(SEARCH("ID_002",$M61)),NOT(ISNUMBER(SEARCH("ID_002",$N61)))),1,0)</x:f>
        <x:v>0</x:v>
      </x:c>
      <x:c r="X61" s="17" t="n">
        <x:f>IF(AND(ISNUMBER(SEARCH("ID_003",$M61)),ISNUMBER(SEARCH("ID_003",$N61))),1,0)</x:f>
        <x:v>1</x:v>
      </x:c>
      <x:c r="Y61" s="17" t="n">
        <x:f>IF(AND(NOT(ISNUMBER(SEARCH("ID_003",$M61))),ISNUMBER(SEARCH("ID_003",$N61))),1,0)</x:f>
        <x:v>0</x:v>
      </x:c>
      <x:c r="Z61" s="17" t="n">
        <x:f>IF(AND(ISNUMBER(SEARCH("ID_003",$M61)),NOT(ISNUMBER(SEARCH("ID_003",$N61)))),1,0)</x:f>
        <x:v>0</x:v>
      </x:c>
      <x:c r="AA61" s="17" t="n">
        <x:f>IF(AND(ISNUMBER(SEARCH("ID_004",$M61)),ISNUMBER(SEARCH("ID_004",$N61))),1,0)</x:f>
        <x:v>0</x:v>
      </x:c>
      <x:c r="AB61" s="17" t="n">
        <x:f>IF(AND(NOT(ISNUMBER(SEARCH("ID_004",$M61))),ISNUMBER(SEARCH("ID_004",$N61))),1,0)</x:f>
        <x:v>0</x:v>
      </x:c>
      <x:c r="AC61" s="17" t="n">
        <x:f>IF(AND(ISNUMBER(SEARCH("ID_004",$M61)),NOT(ISNUMBER(SEARCH("ID_004",$N61)))),1,0)</x:f>
        <x:v>0</x:v>
      </x:c>
      <x:c r="AD61" s="17" t="n">
        <x:f>IF(AND(ISNUMBER(SEARCH("ID_005",$M61)),ISNUMBER(SEARCH("ID_005",$N61))),1,0)</x:f>
        <x:v>0</x:v>
      </x:c>
      <x:c r="AE61" s="17" t="n">
        <x:f>IF(AND(NOT(ISNUMBER(SEARCH("ID_005",$M61))),ISNUMBER(SEARCH("ID_005",$N61))),1,0)</x:f>
        <x:v>0</x:v>
      </x:c>
      <x:c r="AF61" s="17" t="n">
        <x:f>IF(AND(ISNUMBER(SEARCH("ID_005",$M61)),NOT(ISNUMBER(SEARCH("ID_005",$N61)))),1,0)</x:f>
        <x:v>0</x:v>
      </x:c>
      <x:c r="AG61" s="17" t="n">
        <x:f>IF(AND(ISNUMBER(SEARCH("ID_006",$M61)),ISNUMBER(SEARCH("ID_006",$N61))),1,0)</x:f>
        <x:v>0</x:v>
      </x:c>
      <x:c r="AH61" s="17" t="n">
        <x:f>IF(AND(NOT(ISNUMBER(SEARCH("ID_006",$M61))),ISNUMBER(SEARCH("ID_006",$N61))),1,0)</x:f>
        <x:v>0</x:v>
      </x:c>
      <x:c r="AI61" s="17" t="n">
        <x:f>IF(AND(ISNUMBER(SEARCH("ID_006",$M61)),NOT(ISNUMBER(SEARCH("ID_006",$N61)))),1,0)</x:f>
        <x:v>0</x:v>
      </x:c>
      <x:c r="AJ61" s="17" t="n">
        <x:f>IF(AND(ISNUMBER(SEARCH("ID_007",$M61)),ISNUMBER(SEARCH("ID_007",$N61))),1,0)</x:f>
        <x:v>0</x:v>
      </x:c>
      <x:c r="AK61" s="17" t="n">
        <x:f>IF(AND(NOT(ISNUMBER(SEARCH("ID_007",$M61))),ISNUMBER(SEARCH("ID_007",$N61))),1,0)</x:f>
        <x:v>0</x:v>
      </x:c>
      <x:c r="AL61" s="17" t="n">
        <x:f>IF(AND(ISNUMBER(SEARCH("ID_007",$M61)),NOT(ISNUMBER(SEARCH("ID_007",$N61)))),1,0)</x:f>
        <x:v>0</x:v>
      </x:c>
      <x:c r="AM61" s="17" t="n">
        <x:f>IF(AND(ISNUMBER(SEARCH("ID_008",$M61)),ISNUMBER(SEARCH("ID_008",$N61))),1,0)</x:f>
        <x:v>0</x:v>
      </x:c>
      <x:c r="AN61" s="17" t="n">
        <x:f>IF(AND(NOT(ISNUMBER(SEARCH("ID_008",$M61))),ISNUMBER(SEARCH("ID_008",$N61))),1,0)</x:f>
        <x:v>0</x:v>
      </x:c>
      <x:c r="AO61" s="17" t="n">
        <x:f>IF(AND(ISNUMBER(SEARCH("ID_008",$M61)),NOT(ISNUMBER(SEARCH("ID_008",$N61)))),1,0)</x:f>
        <x:v>0</x:v>
      </x:c>
      <x:c r="AP61" s="17" t="n">
        <x:f>IF(AND(ISNUMBER(SEARCH("ID_009",$M61)),ISNUMBER(SEARCH("ID_009",$N61))),1,0)</x:f>
        <x:v>0</x:v>
      </x:c>
      <x:c r="AQ61" s="17" t="n">
        <x:f>IF(AND(NOT(ISNUMBER(SEARCH("ID_009",$M61))),ISNUMBER(SEARCH("ID_009",$N61))),1,0)</x:f>
        <x:v>0</x:v>
      </x:c>
      <x:c r="AR61" s="17" t="n">
        <x:f>IF(AND(ISNUMBER(SEARCH("ID_009",$M61)),NOT(ISNUMBER(SEARCH("ID_009",$N61)))),1,0)</x:f>
        <x:v>0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0" hidden="0" customWidth="1"/>
    <x:col min="5" max="5" width="20" hidden="0" customWidth="1"/>
    <x:col min="6" max="6" width="22" hidden="0" customWidth="1"/>
    <x:col min="7" max="7" width="54" hidden="0" customWidth="1"/>
  </x:cols>
  <x:sheetData>
    <x:row r="1" ht="34" customHeight="1">
      <x:c r="A1" s="4" t="str">
        <x:v>错误分析与SP修改建议</x:v>
      </x:c>
      <x:c r="B1" s="4" t="str">
        <x:v>错误分析与SP修改建议</x:v>
      </x:c>
      <x:c r="C1" s="4" t="str">
        <x:v>错误分析与SP修改建议</x:v>
      </x:c>
      <x:c r="D1" s="4" t="str">
        <x:v>错误分析与SP修改建议</x:v>
      </x:c>
      <x:c r="E1" s="4" t="str">
        <x:v>错误分析与SP修改建议</x:v>
      </x:c>
      <x:c r="F1" s="4" t="str">
        <x:v>错误分析与SP修改建议</x:v>
      </x:c>
      <x:c r="G1" s="4" t="str">
        <x:v>错误分析与SP修改建议</x:v>
      </x:c>
    </x:row>
    <x:row r="2" ht="28" customHeight="1">
      <x:c r="A2" s="14" t="str">
        <x:v>来源</x:v>
      </x:c>
      <x:c r="B2" s="14" t="str">
        <x:v>位置</x:v>
      </x:c>
      <x:c r="C2" s="14" t="str">
        <x:v>query</x:v>
      </x:c>
      <x:c r="D2" s="14" t="str">
        <x:v>expected</x:v>
      </x:c>
      <x:c r="E2" s="14" t="str">
        <x:v>actual</x:v>
      </x:c>
      <x:c r="F2" s="14" t="str">
        <x:v>错误类型</x:v>
      </x:c>
      <x:c r="G2" s="14" t="str">
        <x:v>建议</x:v>
      </x:c>
    </x:row>
    <x:row r="3" ht="58" customHeight="1">
      <x:c r="A3" s="17" t="str">
        <x:v>表格</x:v>
      </x:c>
      <x:c r="B3" s="17" t="str">
        <x:v>第5行</x:v>
      </x:c>
      <x:c r="C3" s="17" t="str">
        <x:v>有哪些5D电影</x:v>
      </x:c>
      <x:c r="D3" s="17" t="str">
        <x:v>ID_000</x:v>
      </x:c>
      <x:c r="E3" s="17" t="str">
        <x:v>ID_002</x:v>
      </x:c>
      <x:c r="F3" s="17" t="str">
        <x:v>定义冲突/误召回</x:v>
      </x:c>
      <x:c r="G3" s="17" t="str">
        <x:v>统一5D口径：仅出现5D是否足以进入观影；若否，删除trigger中的无动作直入规则</x:v>
      </x:c>
    </x:row>
    <x:row r="4" ht="58" customHeight="1">
      <x:c r="A4" s="17" t="str">
        <x:v>表格</x:v>
      </x:c>
      <x:c r="B4" s="17" t="str">
        <x:v>第7行</x:v>
      </x:c>
      <x:c r="C4" s="17" t="str">
        <x:v>还有30分钟才充满电，看个动漫吧</x:v>
      </x:c>
      <x:c r="D4" s="17" t="str">
        <x:v>ID_002</x:v>
      </x:c>
      <x:c r="E4" s="17" t="str">
        <x:v>ID_001,ID_002</x:v>
      </x:c>
      <x:c r="F4" s="17" t="str">
        <x:v>儿童场景误扩张</x:v>
      </x:c>
      <x:c r="G4" s="17" t="str">
        <x:v>ID_001增加必要条件：必须出现儿童对象或安抚/陪伴目标，不能仅靠动漫/动画片</x:v>
      </x:c>
    </x:row>
    <x:row r="5" ht="58" customHeight="1">
      <x:c r="A5" s="17" t="str">
        <x:v>表格</x:v>
      </x:c>
      <x:c r="B5" s="17" t="str">
        <x:v>第11行</x:v>
      </x:c>
      <x:c r="C5" s="17" t="str">
        <x:v>宝宝睡着了，后排空调温度别太低</x:v>
      </x:c>
      <x:c r="D5" s="17" t="str">
        <x:v>ID_000</x:v>
      </x:c>
      <x:c r="E5" s="17" t="str">
        <x:v>ID_003</x:v>
      </x:c>
      <x:c r="F5" s="17" t="str">
        <x:v>急速调温误召回</x:v>
      </x:c>
      <x:c r="G5" s="17" t="str">
        <x:v>ID_003要求极端体感或快速升降温诉求；普通定温/别太低继续兜底</x:v>
      </x:c>
    </x:row>
    <x:row r="6" ht="58" customHeight="1">
      <x:c r="A6" s="17" t="str">
        <x:v>表格</x:v>
      </x:c>
      <x:c r="B6" s="17" t="str">
        <x:v>第16行</x:v>
      </x:c>
      <x:c r="C6" s="17" t="str">
        <x:v>快速降温，给后排放个动画片</x:v>
      </x:c>
      <x:c r="D6" s="17" t="str">
        <x:v>ID_002,ID_003</x:v>
      </x:c>
      <x:c r="E6" s="17" t="str">
        <x:v>ID_001,ID_002,ID_003</x:v>
      </x:c>
      <x:c r="F6" s="17" t="str">
        <x:v>儿童场景误扩张</x:v>
      </x:c>
      <x:c r="G6" s="17" t="str">
        <x:v>同第7行；后排和动画片不能替代儿童对象条件</x:v>
      </x:c>
    </x:row>
    <x:row r="7" ht="58" customHeight="1">
      <x:c r="A7" s="17" t="str">
        <x:v>表格</x:v>
      </x:c>
      <x:c r="B7" s="17" t="str">
        <x:v>第22行</x:v>
      </x:c>
      <x:c r="C7" s="17" t="str">
        <x:v>打开保驾护航模式</x:v>
      </x:c>
      <x:c r="D7" s="17" t="str">
        <x:v>ID_006</x:v>
      </x:c>
      <x:c r="E7" s="17" t="str">
        <x:v>ID_000</x:v>
      </x:c>
      <x:c r="F7" s="17" t="str">
        <x:v>业务别名漏召回</x:v>
      </x:c>
      <x:c r="G7" s="17" t="str">
        <x:v>若该口令仍需支持，将“保驾护航模式”明确加入ID_006别名/示例；否则同步修改测试集预期</x:v>
      </x:c>
    </x:row>
    <x:row r="8" ht="58" customHeight="1">
      <x:c r="A8" s="17" t="str">
        <x:v>表格</x:v>
      </x:c>
      <x:c r="B8" s="17" t="str">
        <x:v>第30行</x:v>
      </x:c>
      <x:c r="C8" s="17" t="str">
        <x:v>怎么下雨了</x:v>
      </x:c>
      <x:c r="D8" s="17" t="str">
        <x:v>ID_006</x:v>
      </x:c>
      <x:c r="E8" s="17" t="str">
        <x:v>ID_000</x:v>
      </x:c>
      <x:c r="F8" s="17" t="str">
        <x:v>雨天陈述漏召回</x:v>
      </x:c>
      <x:c r="G8" s="17" t="str">
        <x:v>明确雨/雪/起雾等环境陈述是否可直接触发；当前场景trigger与兜底闲聊规则存在竞争</x:v>
      </x:c>
    </x:row>
    <x:row r="9" ht="58" customHeight="1">
      <x:c r="A9" s="17" t="str">
        <x:v>补充</x:v>
      </x:c>
      <x:c r="B9" s="17" t="str">
        <x:v>第23条</x:v>
      </x:c>
      <x:c r="C9" s="17" t="str">
        <x:v>我想睡20分钟，到点叫我</x:v>
      </x:c>
      <x:c r="D9" s="17" t="str">
        <x:v>ID_000</x:v>
      </x:c>
      <x:c r="E9" s="17" t="str">
        <x:v>ID_005</x:v>
      </x:c>
      <x:c r="F9" s="17" t="str">
        <x:v>已删场景回流</x:v>
      </x:c>
      <x:c r="G9" s="17" t="str">
        <x:v>ID_005加入强互斥：睡觉/小憩/到点叫醒/助眠且无儿童对象时必须ID_000</x:v>
      </x:c>
    </x:row>
  </x:sheetData>
  <x:mergeCells>
    <x:mergeCell ref="A1:G1"/>
  </x:mergeCells>
  <x:pageMargins left="0.7" right="0.7" top="0.75" bottom="0.75" header="0.3" footer="0.3"/>
</x:worksheet>
</file>