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版本管理" sheetId="1" r:id="rId3"/>
    <sheet name="端状态v1.2（需求锁定）" sheetId="2" r:id="rId4"/>
    <sheet name="视觉需求收集" sheetId="3" r:id="rId5"/>
    <sheet name="端状态需求收集" sheetId="4" r:id="rId6"/>
    <sheet name="依赖豆包VLM输出原子能力" sheetId="5" r:id="rId7"/>
    <sheet name="端事件【HMI埋点】娱乐" sheetId="6" r:id="rId8"/>
    <sheet name="端事件【HMI埋点】生态" sheetId="7" r:id="rId9"/>
    <sheet name="端事件【HMI埋点】导航" sheetId="8" r:id="rId10"/>
    <sheet name="端事件【HMI埋点】车控车设" sheetId="9" r:id="rId11"/>
    <sheet name="端事件【HMI埋点】系统网联服务" sheetId="10" r:id="rId12"/>
    <sheet name="端事件【物理按键】" sheetId="11" r:id="rId13"/>
    <sheet name="端事件【驾驶行为】" sheetId="12" r:id="rId1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 HH:mm:ss"/>
    <numFmt numFmtId="165" formatCode="yyyy/m/d"/>
  </numFmts>
  <fonts count="29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color rgb="FF1F2329"/>
      <name val="Arial"/>
    </font>
    <font>
      <b/>
      <sz val="10"/>
      <color rgb="FF1F2329"/>
      <name val="Arial"/>
    </font>
    <font>
      <b/>
      <sz val="11"/>
      <color rgb="FF000000"/>
      <name val="Arial"/>
    </font>
    <font>
      <sz val="11"/>
      <color rgb="FF1F2329"/>
      <name val="Arial"/>
    </font>
    <font>
      <sz val="10"/>
      <color rgb="FF1F2329"/>
      <name val="Arial"/>
    </font>
    <font>
      <sz val="11"/>
      <color rgb="FF000000"/>
      <name val="Arial"/>
    </font>
    <font>
      <sz val="10"/>
      <color rgb="FF000000"/>
      <name val="Arial"/>
    </font>
    <font>
      <u/>
      <color rgb="FF0000FF"/>
    </font>
    <font>
      <strike/>
      <sz val="11"/>
      <color rgb="FF1F2329"/>
      <name val="Arial"/>
    </font>
    <font>
      <strike/>
      <sz val="10"/>
      <color rgb="FF1F2329"/>
      <name val="Arial"/>
    </font>
    <font>
      <strike/>
      <sz val="11"/>
      <color rgb="FF000000"/>
      <name val="Arial"/>
    </font>
    <font>
      <sz val="10"/>
      <color rgb="FF333333"/>
      <name val="Arial"/>
    </font>
    <font>
      <sz val="10"/>
      <color rgb="FFF54A45"/>
      <name val="Arial"/>
    </font>
    <font>
      <strike/>
      <sz val="11"/>
      <color rgb="FF8F959E"/>
      <name val="Arial"/>
    </font>
    <font>
      <sz val="10"/>
      <color rgb="FF8F959E"/>
      <name val="Arial"/>
    </font>
    <font>
      <strike/>
      <sz val="10"/>
      <color rgb="FF8F959E"/>
      <name val="Arial"/>
    </font>
    <font>
      <sz val="11"/>
      <color rgb="FF8F959E"/>
      <name val="Arial"/>
    </font>
    <font>
      <sz val="11"/>
      <color rgb="FF1F1F1F"/>
      <name val="Arial"/>
    </font>
    <font>
      <sz val="11"/>
      <name val="Arial"/>
    </font>
    <font>
      <sz val="11"/>
      <color rgb="FFF54A45"/>
      <name val="Arial"/>
    </font>
    <font>
      <b/>
      <sz val="11"/>
      <name val="Arial"/>
    </font>
    <font>
      <strike/>
      <sz val="11"/>
      <name val="Arial"/>
    </font>
    <font>
      <sz val="11"/>
      <color rgb="FF4E83FD"/>
      <name val="Arial"/>
    </font>
    <font>
      <b/>
      <sz val="10"/>
      <color rgb="FF000000"/>
      <name val="Arial"/>
    </font>
    <font>
      <sz val="10"/>
      <color rgb="FF0F1115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DEE0E3"/>
      </patternFill>
    </fill>
    <fill>
      <patternFill patternType="solid">
        <fgColor rgb="FF8EE085"/>
      </patternFill>
    </fill>
    <fill>
      <patternFill patternType="solid">
        <fgColor rgb="FFFFFFFF"/>
      </patternFill>
    </fill>
    <fill>
      <patternFill patternType="solid">
        <fgColor rgb="FFD9F3FD"/>
      </patternFill>
    </fill>
    <fill>
      <patternFill patternType="solid">
        <fgColor rgb="FFC3DD40"/>
      </patternFill>
    </fill>
    <fill>
      <patternFill patternType="solid">
        <fgColor rgb="FF64E8D6"/>
      </patternFill>
    </fill>
    <fill>
      <patternFill patternType="solid">
        <fgColor rgb="FFEBF1F8"/>
      </patternFill>
    </fill>
    <fill>
      <patternFill patternType="solid">
        <fgColor rgb="FFF4F5F7"/>
      </patternFill>
    </fill>
    <fill>
      <patternFill patternType="solid">
        <fgColor rgb="FFFFF258"/>
      </patternFill>
    </fill>
    <fill>
      <patternFill patternType="solid">
        <fgColor rgb="FFF76964"/>
      </patternFill>
    </fill>
    <fill>
      <patternFill patternType="solid">
        <fgColor rgb="FFFBBFBC"/>
      </patternFill>
    </fill>
    <fill>
      <patternFill patternType="solid">
        <fgColor rgb="FFF8F9FA"/>
      </patternFill>
    </fill>
    <fill>
      <patternFill patternType="solid">
        <fgColor rgb="FF8F959E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9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right" vertical="center" wrapText="1"/>
    </xf>
    <xf numFmtId="0" fontId="7" fillId="5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165" fontId="7" fillId="4" borderId="0" xfId="0" applyNumberFormat="1" applyFont="1" applyFill="1" applyAlignment="1">
      <alignment horizontal="right" vertical="center" wrapText="1"/>
    </xf>
    <xf numFmtId="0" fontId="7" fillId="4" borderId="0" xfId="0" applyFont="1" applyFill="1" applyAlignment="1">
      <alignment horizontal="right" vertical="center" wrapText="1"/>
    </xf>
    <xf numFmtId="165" fontId="8" fillId="4" borderId="0" xfId="0" applyNumberFormat="1" applyFont="1" applyFill="1" applyAlignment="1">
      <alignment horizontal="right" vertical="center" wrapText="1"/>
    </xf>
    <xf numFmtId="165" fontId="8" fillId="4" borderId="0" xfId="0" applyNumberFormat="1" applyFont="1" applyFill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49" fontId="7" fillId="4" borderId="0" xfId="0" applyNumberFormat="1" applyFont="1" applyFill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165" fontId="21" fillId="0" borderId="0" xfId="0" applyNumberFormat="1" applyFont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165" fontId="6" fillId="4" borderId="0" xfId="0" applyNumberFormat="1" applyFont="1" applyFill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8" fillId="1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5" fontId="9" fillId="0" borderId="0" xfId="0" applyNumberFormat="1" applyFont="1" applyAlignment="1">
      <alignment horizontal="right" vertical="center" wrapText="1"/>
    </xf>
    <xf numFmtId="0" fontId="27" fillId="0" borderId="6" xfId="0" applyFont="1" applyBorder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165" fontId="9" fillId="14" borderId="0" xfId="0" applyNumberFormat="1" applyFont="1" applyFill="1" applyAlignment="1">
      <alignment horizontal="right" vertical="center" wrapText="1"/>
    </xf>
    <xf numFmtId="0" fontId="26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jpeg"/><Relationship Id="rId3" Type="http://schemas.openxmlformats.org/officeDocument/2006/relationships/image" Target="../media/image2.jpeg"/><Relationship Id="rId4" Type="http://schemas.openxmlformats.org/officeDocument/2006/relationships/image" Target="../media/image3.jpeg"/><Relationship Id="rId5" Type="http://schemas.openxmlformats.org/officeDocument/2006/relationships/image" Target="../media/image4.jpeg"/><Relationship Id="rId6" Type="http://schemas.openxmlformats.org/officeDocument/2006/relationships/image" Target="../media/image5.jpeg"/><Relationship Id="rId7" Type="http://schemas.openxmlformats.org/officeDocument/2006/relationships/image" Target="../media/image6.jpeg"/><Relationship Id="rId8" Type="http://schemas.openxmlformats.org/officeDocument/2006/relationships/image" Target="../media/image7.jpeg"/><Relationship Id="rId9" Type="http://schemas.openxmlformats.org/officeDocument/2006/relationships/image" Target="../media/image8.jpeg"/><Relationship Id="rId10" Type="http://schemas.openxmlformats.org/officeDocument/2006/relationships/image" Target="../media/image9.jpeg"/><Relationship Id="rId11" Type="http://schemas.openxmlformats.org/officeDocument/2006/relationships/image" Target="../media/image10.jpeg"/><Relationship Id="rId12" Type="http://schemas.openxmlformats.org/officeDocument/2006/relationships/image" Target="../media/image11.jpeg"/><Relationship Id="rId13" Type="http://schemas.openxmlformats.org/officeDocument/2006/relationships/image" Target="../media/image12.jpeg"/><Relationship Id="rId14" Type="http://schemas.openxmlformats.org/officeDocument/2006/relationships/image" Target="../media/image13.jpeg"/><Relationship Id="rId15" Type="http://schemas.openxmlformats.org/officeDocument/2006/relationships/image" Target="../media/image14.jpeg"/><Relationship Id="rId16" Type="http://schemas.openxmlformats.org/officeDocument/2006/relationships/image" Target="../media/image15.jpeg"/><Relationship Id="rId17" Type="http://schemas.openxmlformats.org/officeDocument/2006/relationships/image" Target="../media/image16.jpeg"/><Relationship Id="rId18" Type="http://schemas.openxmlformats.org/officeDocument/2006/relationships/image" Target="../media/image17.jpeg"/><Relationship Id="rId19" Type="http://schemas.openxmlformats.org/officeDocument/2006/relationships/image" Target="../media/image18.jpeg"/><Relationship Id="rId20" Type="http://schemas.openxmlformats.org/officeDocument/2006/relationships/image" Target="../media/image19.jpeg"/><Relationship Id="rId21" Type="http://schemas.openxmlformats.org/officeDocument/2006/relationships/image" Target="../media/image20.jpeg"/><Relationship Id="rId22" Type="http://schemas.openxmlformats.org/officeDocument/2006/relationships/image" Target="../media/image21.jpeg"/><Relationship Id="rId23" Type="http://schemas.openxmlformats.org/officeDocument/2006/relationships/image" Target="../media/image22.jpeg"/><Relationship Id="rId24" Type="http://schemas.openxmlformats.org/officeDocument/2006/relationships/image" Target="../media/image23.jpeg"/><Relationship Id="rId25" Type="http://schemas.openxmlformats.org/officeDocument/2006/relationships/image" Target="../media/image24.jpeg"/><Relationship Id="rId26" Type="http://schemas.openxmlformats.org/officeDocument/2006/relationships/image" Target="../media/image25.jpeg"/><Relationship Id="rId27" Type="http://schemas.openxmlformats.org/officeDocument/2006/relationships/image" Target="../media/image26.jpeg"/><Relationship Id="rId28" Type="http://schemas.openxmlformats.org/officeDocument/2006/relationships/image" Target="../media/image27.jpeg"/><Relationship Id="rId29" Type="http://schemas.openxmlformats.org/officeDocument/2006/relationships/image" Target="../media/image28.jpeg"/><Relationship Id="rId30" Type="http://schemas.openxmlformats.org/officeDocument/2006/relationships/image" Target="../media/image29.jpeg"/><Relationship Id="rId31" Type="http://schemas.openxmlformats.org/officeDocument/2006/relationships/image" Target="../media/image30.jpeg"/><Relationship Id="rId32" Type="http://schemas.openxmlformats.org/officeDocument/2006/relationships/image" Target="../media/image31.jpeg"/><Relationship Id="rId33" Type="http://schemas.openxmlformats.org/officeDocument/2006/relationships/image" Target="../media/image32.jpeg"/><Relationship Id="rId34" Type="http://schemas.openxmlformats.org/officeDocument/2006/relationships/image" Target="../media/image33.jpeg"/><Relationship Id="rId35" Type="http://schemas.openxmlformats.org/officeDocument/2006/relationships/image" Target="../media/image34.jpeg"/><Relationship Id="rId36" Type="http://schemas.openxmlformats.org/officeDocument/2006/relationships/image" Target="../media/image35.jpeg"/><Relationship Id="rId37" Type="http://schemas.openxmlformats.org/officeDocument/2006/relationships/image" Target="../media/image36.jpeg"/><Relationship Id="rId38" Type="http://schemas.openxmlformats.org/officeDocument/2006/relationships/image" Target="../media/image37.jpeg"/><Relationship Id="rId39" Type="http://schemas.openxmlformats.org/officeDocument/2006/relationships/image" Target="../media/image38.jpeg"/><Relationship Id="rId40" Type="http://schemas.openxmlformats.org/officeDocument/2006/relationships/image" Target="../media/image39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Relationship Id="rId2" Type="http://schemas.openxmlformats.org/officeDocument/2006/relationships/image" Target="../media/image41.jpeg"/><Relationship Id="rId3" Type="http://schemas.openxmlformats.org/officeDocument/2006/relationships/image" Target="../media/image42.jpeg"/><Relationship Id="rId4" Type="http://schemas.openxmlformats.org/officeDocument/2006/relationships/image" Target="../media/image43.jpeg"/><Relationship Id="rId5" Type="http://schemas.openxmlformats.org/officeDocument/2006/relationships/image" Target="../media/image44.jpeg"/><Relationship Id="rId6" Type="http://schemas.openxmlformats.org/officeDocument/2006/relationships/image" Target="../media/image45.jpeg"/><Relationship Id="rId7" Type="http://schemas.openxmlformats.org/officeDocument/2006/relationships/image" Target="../media/image46.jpeg"/><Relationship Id="rId8" Type="http://schemas.openxmlformats.org/officeDocument/2006/relationships/image" Target="../media/image47.jpeg"/><Relationship Id="rId9" Type="http://schemas.openxmlformats.org/officeDocument/2006/relationships/image" Target="../media/image48.jpeg"/><Relationship Id="rId10" Type="http://schemas.openxmlformats.org/officeDocument/2006/relationships/image" Target="../media/image49.jpeg"/><Relationship Id="rId11" Type="http://schemas.openxmlformats.org/officeDocument/2006/relationships/image" Target="../media/image50.jpeg"/><Relationship Id="rId12" Type="http://schemas.openxmlformats.org/officeDocument/2006/relationships/image" Target="../media/image51.jpeg"/><Relationship Id="rId13" Type="http://schemas.openxmlformats.org/officeDocument/2006/relationships/image" Target="../media/image52.jpeg"/><Relationship Id="rId14" Type="http://schemas.openxmlformats.org/officeDocument/2006/relationships/image" Target="../media/image53.jpeg"/><Relationship Id="rId15" Type="http://schemas.openxmlformats.org/officeDocument/2006/relationships/image" Target="../media/image54.jpeg"/><Relationship Id="rId16" Type="http://schemas.openxmlformats.org/officeDocument/2006/relationships/image" Target="../media/image55.jpeg"/><Relationship Id="rId17" Type="http://schemas.openxmlformats.org/officeDocument/2006/relationships/image" Target="../media/image56.jpeg"/><Relationship Id="rId18" Type="http://schemas.openxmlformats.org/officeDocument/2006/relationships/image" Target="../media/image57.jpeg"/><Relationship Id="rId19" Type="http://schemas.openxmlformats.org/officeDocument/2006/relationships/image" Target="../media/image58.jpeg"/><Relationship Id="rId20" Type="http://schemas.openxmlformats.org/officeDocument/2006/relationships/image" Target="../media/image59.jpeg"/><Relationship Id="rId21" Type="http://schemas.openxmlformats.org/officeDocument/2006/relationships/image" Target="../media/image60.jpeg"/><Relationship Id="rId22" Type="http://schemas.openxmlformats.org/officeDocument/2006/relationships/image" Target="../media/image61.jpeg"/><Relationship Id="rId23" Type="http://schemas.openxmlformats.org/officeDocument/2006/relationships/image" Target="../media/image62.jpeg"/><Relationship Id="rId24" Type="http://schemas.openxmlformats.org/officeDocument/2006/relationships/image" Target="../media/image63.jpeg"/><Relationship Id="rId25" Type="http://schemas.openxmlformats.org/officeDocument/2006/relationships/image" Target="../media/image64.jpeg"/><Relationship Id="rId26" Type="http://schemas.openxmlformats.org/officeDocument/2006/relationships/image" Target="../media/image65.jpeg"/><Relationship Id="rId27" Type="http://schemas.openxmlformats.org/officeDocument/2006/relationships/image" Target="../media/image66.jpeg"/><Relationship Id="rId28" Type="http://schemas.openxmlformats.org/officeDocument/2006/relationships/image" Target="../media/image67.jpeg"/><Relationship Id="rId29" Type="http://schemas.openxmlformats.org/officeDocument/2006/relationships/image" Target="../media/image68.jpeg"/><Relationship Id="rId30" Type="http://schemas.openxmlformats.org/officeDocument/2006/relationships/image" Target="../media/image69.jpeg"/><Relationship Id="rId31" Type="http://schemas.openxmlformats.org/officeDocument/2006/relationships/image" Target="../media/image70.jpeg"/><Relationship Id="rId32" Type="http://schemas.openxmlformats.org/officeDocument/2006/relationships/image" Target="../media/image71.jpeg"/><Relationship Id="rId33" Type="http://schemas.openxmlformats.org/officeDocument/2006/relationships/image" Target="../media/image72.jpeg"/><Relationship Id="rId34" Type="http://schemas.openxmlformats.org/officeDocument/2006/relationships/image" Target="../media/image73.jpeg"/><Relationship Id="rId35" Type="http://schemas.openxmlformats.org/officeDocument/2006/relationships/image" Target="../media/image74.jpeg"/><Relationship Id="rId36" Type="http://schemas.openxmlformats.org/officeDocument/2006/relationships/image" Target="../media/image75.jpeg"/><Relationship Id="rId37" Type="http://schemas.openxmlformats.org/officeDocument/2006/relationships/image" Target="../media/image76.jpeg"/><Relationship Id="rId38" Type="http://schemas.openxmlformats.org/officeDocument/2006/relationships/image" Target="../media/image77.jpeg"/><Relationship Id="rId39" Type="http://schemas.openxmlformats.org/officeDocument/2006/relationships/image" Target="../media/image78.jpeg"/><Relationship Id="rId40" Type="http://schemas.openxmlformats.org/officeDocument/2006/relationships/image" Target="../media/image79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116</xdr:row>
      <xdr:rowOff>0</xdr:rowOff>
    </xdr:from>
    <xdr:to>
      <xdr:col>14</xdr:col>
      <xdr:colOff>0</xdr:colOff>
      <xdr:row>117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118</xdr:row>
      <xdr:rowOff>0</xdr:rowOff>
    </xdr:from>
    <xdr:to>
      <xdr:col>14</xdr:col>
      <xdr:colOff>0</xdr:colOff>
      <xdr:row>119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120</xdr:row>
      <xdr:rowOff>0</xdr:rowOff>
    </xdr:from>
    <xdr:to>
      <xdr:col>14</xdr:col>
      <xdr:colOff>0</xdr:colOff>
      <xdr:row>121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122</xdr:row>
      <xdr:rowOff>0</xdr:rowOff>
    </xdr:from>
    <xdr:to>
      <xdr:col>14</xdr:col>
      <xdr:colOff>0</xdr:colOff>
      <xdr:row>123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222</xdr:row>
      <xdr:rowOff>0</xdr:rowOff>
    </xdr:from>
    <xdr:to>
      <xdr:col>14</xdr:col>
      <xdr:colOff>0</xdr:colOff>
      <xdr:row>223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223</xdr:row>
      <xdr:rowOff>0</xdr:rowOff>
    </xdr:from>
    <xdr:to>
      <xdr:col>14</xdr:col>
      <xdr:colOff>0</xdr:colOff>
      <xdr:row>224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224</xdr:row>
      <xdr:rowOff>0</xdr:rowOff>
    </xdr:from>
    <xdr:to>
      <xdr:col>14</xdr:col>
      <xdr:colOff>0</xdr:colOff>
      <xdr:row>225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225</xdr:row>
      <xdr:rowOff>0</xdr:rowOff>
    </xdr:from>
    <xdr:to>
      <xdr:col>14</xdr:col>
      <xdr:colOff>0</xdr:colOff>
      <xdr:row>226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226</xdr:row>
      <xdr:rowOff>0</xdr:rowOff>
    </xdr:from>
    <xdr:to>
      <xdr:col>14</xdr:col>
      <xdr:colOff>0</xdr:colOff>
      <xdr:row>227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227</xdr:row>
      <xdr:rowOff>0</xdr:rowOff>
    </xdr:from>
    <xdr:to>
      <xdr:col>14</xdr:col>
      <xdr:colOff>0</xdr:colOff>
      <xdr:row>228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229</xdr:row>
      <xdr:rowOff>0</xdr:rowOff>
    </xdr:from>
    <xdr:to>
      <xdr:col>14</xdr:col>
      <xdr:colOff>0</xdr:colOff>
      <xdr:row>230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230</xdr:row>
      <xdr:rowOff>0</xdr:rowOff>
    </xdr:from>
    <xdr:to>
      <xdr:col>14</xdr:col>
      <xdr:colOff>0</xdr:colOff>
      <xdr:row>231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231</xdr:row>
      <xdr:rowOff>0</xdr:rowOff>
    </xdr:from>
    <xdr:to>
      <xdr:col>14</xdr:col>
      <xdr:colOff>0</xdr:colOff>
      <xdr:row>232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232</xdr:row>
      <xdr:rowOff>0</xdr:rowOff>
    </xdr:from>
    <xdr:to>
      <xdr:col>14</xdr:col>
      <xdr:colOff>0</xdr:colOff>
      <xdr:row>233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233</xdr:row>
      <xdr:rowOff>0</xdr:rowOff>
    </xdr:from>
    <xdr:to>
      <xdr:col>14</xdr:col>
      <xdr:colOff>0</xdr:colOff>
      <xdr:row>234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234</xdr:row>
      <xdr:rowOff>0</xdr:rowOff>
    </xdr:from>
    <xdr:to>
      <xdr:col>14</xdr:col>
      <xdr:colOff>0</xdr:colOff>
      <xdr:row>235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235</xdr:row>
      <xdr:rowOff>0</xdr:rowOff>
    </xdr:from>
    <xdr:to>
      <xdr:col>14</xdr:col>
      <xdr:colOff>0</xdr:colOff>
      <xdr:row>236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236</xdr:row>
      <xdr:rowOff>0</xdr:rowOff>
    </xdr:from>
    <xdr:to>
      <xdr:col>14</xdr:col>
      <xdr:colOff>0</xdr:colOff>
      <xdr:row>237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237</xdr:row>
      <xdr:rowOff>0</xdr:rowOff>
    </xdr:from>
    <xdr:to>
      <xdr:col>14</xdr:col>
      <xdr:colOff>0</xdr:colOff>
      <xdr:row>238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238</xdr:row>
      <xdr:rowOff>0</xdr:rowOff>
    </xdr:from>
    <xdr:to>
      <xdr:col>14</xdr:col>
      <xdr:colOff>0</xdr:colOff>
      <xdr:row>239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239</xdr:row>
      <xdr:rowOff>0</xdr:rowOff>
    </xdr:from>
    <xdr:to>
      <xdr:col>14</xdr:col>
      <xdr:colOff>0</xdr:colOff>
      <xdr:row>240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240</xdr:row>
      <xdr:rowOff>0</xdr:rowOff>
    </xdr:from>
    <xdr:to>
      <xdr:col>14</xdr:col>
      <xdr:colOff>0</xdr:colOff>
      <xdr:row>241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241</xdr:row>
      <xdr:rowOff>0</xdr:rowOff>
    </xdr:from>
    <xdr:to>
      <xdr:col>14</xdr:col>
      <xdr:colOff>0</xdr:colOff>
      <xdr:row>242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242</xdr:row>
      <xdr:rowOff>0</xdr:rowOff>
    </xdr:from>
    <xdr:to>
      <xdr:col>14</xdr:col>
      <xdr:colOff>0</xdr:colOff>
      <xdr:row>243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243</xdr:row>
      <xdr:rowOff>0</xdr:rowOff>
    </xdr:from>
    <xdr:to>
      <xdr:col>14</xdr:col>
      <xdr:colOff>0</xdr:colOff>
      <xdr:row>244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244</xdr:row>
      <xdr:rowOff>0</xdr:rowOff>
    </xdr:from>
    <xdr:to>
      <xdr:col>14</xdr:col>
      <xdr:colOff>0</xdr:colOff>
      <xdr:row>245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245</xdr:row>
      <xdr:rowOff>0</xdr:rowOff>
    </xdr:from>
    <xdr:to>
      <xdr:col>14</xdr:col>
      <xdr:colOff>0</xdr:colOff>
      <xdr:row>246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246</xdr:row>
      <xdr:rowOff>0</xdr:rowOff>
    </xdr:from>
    <xdr:to>
      <xdr:col>14</xdr:col>
      <xdr:colOff>0</xdr:colOff>
      <xdr:row>247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247</xdr:row>
      <xdr:rowOff>0</xdr:rowOff>
    </xdr:from>
    <xdr:to>
      <xdr:col>14</xdr:col>
      <xdr:colOff>0</xdr:colOff>
      <xdr:row>248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248</xdr:row>
      <xdr:rowOff>0</xdr:rowOff>
    </xdr:from>
    <xdr:to>
      <xdr:col>14</xdr:col>
      <xdr:colOff>0</xdr:colOff>
      <xdr:row>249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249</xdr:row>
      <xdr:rowOff>0</xdr:rowOff>
    </xdr:from>
    <xdr:to>
      <xdr:col>14</xdr:col>
      <xdr:colOff>0</xdr:colOff>
      <xdr:row>250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250</xdr:row>
      <xdr:rowOff>0</xdr:rowOff>
    </xdr:from>
    <xdr:to>
      <xdr:col>14</xdr:col>
      <xdr:colOff>0</xdr:colOff>
      <xdr:row>251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251</xdr:row>
      <xdr:rowOff>0</xdr:rowOff>
    </xdr:from>
    <xdr:to>
      <xdr:col>14</xdr:col>
      <xdr:colOff>0</xdr:colOff>
      <xdr:row>252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252</xdr:row>
      <xdr:rowOff>0</xdr:rowOff>
    </xdr:from>
    <xdr:to>
      <xdr:col>14</xdr:col>
      <xdr:colOff>0</xdr:colOff>
      <xdr:row>253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253</xdr:row>
      <xdr:rowOff>0</xdr:rowOff>
    </xdr:from>
    <xdr:to>
      <xdr:col>14</xdr:col>
      <xdr:colOff>0</xdr:colOff>
      <xdr:row>254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254</xdr:row>
      <xdr:rowOff>0</xdr:rowOff>
    </xdr:from>
    <xdr:to>
      <xdr:col>14</xdr:col>
      <xdr:colOff>0</xdr:colOff>
      <xdr:row>255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255</xdr:row>
      <xdr:rowOff>0</xdr:rowOff>
    </xdr:from>
    <xdr:to>
      <xdr:col>14</xdr:col>
      <xdr:colOff>0</xdr:colOff>
      <xdr:row>256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256</xdr:row>
      <xdr:rowOff>0</xdr:rowOff>
    </xdr:from>
    <xdr:to>
      <xdr:col>14</xdr:col>
      <xdr:colOff>0</xdr:colOff>
      <xdr:row>257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257</xdr:row>
      <xdr:rowOff>0</xdr:rowOff>
    </xdr:from>
    <xdr:to>
      <xdr:col>14</xdr:col>
      <xdr:colOff>0</xdr:colOff>
      <xdr:row>258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259</xdr:row>
      <xdr:rowOff>0</xdr:rowOff>
    </xdr:from>
    <xdr:to>
      <xdr:col>14</xdr:col>
      <xdr:colOff>0</xdr:colOff>
      <xdr:row>260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139</xdr:row>
      <xdr:rowOff>0</xdr:rowOff>
    </xdr:from>
    <xdr:to>
      <xdr:col>11</xdr:col>
      <xdr:colOff>0</xdr:colOff>
      <xdr:row>140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141</xdr:row>
      <xdr:rowOff>0</xdr:rowOff>
    </xdr:from>
    <xdr:to>
      <xdr:col>11</xdr:col>
      <xdr:colOff>0</xdr:colOff>
      <xdr:row>142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143</xdr:row>
      <xdr:rowOff>0</xdr:rowOff>
    </xdr:from>
    <xdr:to>
      <xdr:col>11</xdr:col>
      <xdr:colOff>0</xdr:colOff>
      <xdr:row>144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145</xdr:row>
      <xdr:rowOff>0</xdr:rowOff>
    </xdr:from>
    <xdr:to>
      <xdr:col>11</xdr:col>
      <xdr:colOff>0</xdr:colOff>
      <xdr:row>146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254</xdr:row>
      <xdr:rowOff>0</xdr:rowOff>
    </xdr:from>
    <xdr:to>
      <xdr:col>11</xdr:col>
      <xdr:colOff>0</xdr:colOff>
      <xdr:row>255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255</xdr:row>
      <xdr:rowOff>0</xdr:rowOff>
    </xdr:from>
    <xdr:to>
      <xdr:col>11</xdr:col>
      <xdr:colOff>0</xdr:colOff>
      <xdr:row>256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256</xdr:row>
      <xdr:rowOff>0</xdr:rowOff>
    </xdr:from>
    <xdr:to>
      <xdr:col>11</xdr:col>
      <xdr:colOff>0</xdr:colOff>
      <xdr:row>257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257</xdr:row>
      <xdr:rowOff>0</xdr:rowOff>
    </xdr:from>
    <xdr:to>
      <xdr:col>11</xdr:col>
      <xdr:colOff>0</xdr:colOff>
      <xdr:row>258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258</xdr:row>
      <xdr:rowOff>0</xdr:rowOff>
    </xdr:from>
    <xdr:to>
      <xdr:col>11</xdr:col>
      <xdr:colOff>0</xdr:colOff>
      <xdr:row>259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259</xdr:row>
      <xdr:rowOff>0</xdr:rowOff>
    </xdr:from>
    <xdr:to>
      <xdr:col>11</xdr:col>
      <xdr:colOff>0</xdr:colOff>
      <xdr:row>260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261</xdr:row>
      <xdr:rowOff>0</xdr:rowOff>
    </xdr:from>
    <xdr:to>
      <xdr:col>11</xdr:col>
      <xdr:colOff>0</xdr:colOff>
      <xdr:row>262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262</xdr:row>
      <xdr:rowOff>0</xdr:rowOff>
    </xdr:from>
    <xdr:to>
      <xdr:col>11</xdr:col>
      <xdr:colOff>0</xdr:colOff>
      <xdr:row>263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263</xdr:row>
      <xdr:rowOff>0</xdr:rowOff>
    </xdr:from>
    <xdr:to>
      <xdr:col>11</xdr:col>
      <xdr:colOff>0</xdr:colOff>
      <xdr:row>264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264</xdr:row>
      <xdr:rowOff>0</xdr:rowOff>
    </xdr:from>
    <xdr:to>
      <xdr:col>11</xdr:col>
      <xdr:colOff>0</xdr:colOff>
      <xdr:row>265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265</xdr:row>
      <xdr:rowOff>0</xdr:rowOff>
    </xdr:from>
    <xdr:to>
      <xdr:col>11</xdr:col>
      <xdr:colOff>0</xdr:colOff>
      <xdr:row>266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266</xdr:row>
      <xdr:rowOff>0</xdr:rowOff>
    </xdr:from>
    <xdr:to>
      <xdr:col>11</xdr:col>
      <xdr:colOff>0</xdr:colOff>
      <xdr:row>267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267</xdr:row>
      <xdr:rowOff>0</xdr:rowOff>
    </xdr:from>
    <xdr:to>
      <xdr:col>11</xdr:col>
      <xdr:colOff>0</xdr:colOff>
      <xdr:row>268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268</xdr:row>
      <xdr:rowOff>0</xdr:rowOff>
    </xdr:from>
    <xdr:to>
      <xdr:col>11</xdr:col>
      <xdr:colOff>0</xdr:colOff>
      <xdr:row>269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269</xdr:row>
      <xdr:rowOff>0</xdr:rowOff>
    </xdr:from>
    <xdr:to>
      <xdr:col>11</xdr:col>
      <xdr:colOff>0</xdr:colOff>
      <xdr:row>270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270</xdr:row>
      <xdr:rowOff>0</xdr:rowOff>
    </xdr:from>
    <xdr:to>
      <xdr:col>11</xdr:col>
      <xdr:colOff>0</xdr:colOff>
      <xdr:row>271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271</xdr:row>
      <xdr:rowOff>0</xdr:rowOff>
    </xdr:from>
    <xdr:to>
      <xdr:col>11</xdr:col>
      <xdr:colOff>0</xdr:colOff>
      <xdr:row>272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272</xdr:row>
      <xdr:rowOff>0</xdr:rowOff>
    </xdr:from>
    <xdr:to>
      <xdr:col>11</xdr:col>
      <xdr:colOff>0</xdr:colOff>
      <xdr:row>273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273</xdr:row>
      <xdr:rowOff>0</xdr:rowOff>
    </xdr:from>
    <xdr:to>
      <xdr:col>11</xdr:col>
      <xdr:colOff>0</xdr:colOff>
      <xdr:row>274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274</xdr:row>
      <xdr:rowOff>0</xdr:rowOff>
    </xdr:from>
    <xdr:to>
      <xdr:col>11</xdr:col>
      <xdr:colOff>0</xdr:colOff>
      <xdr:row>275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275</xdr:row>
      <xdr:rowOff>0</xdr:rowOff>
    </xdr:from>
    <xdr:to>
      <xdr:col>11</xdr:col>
      <xdr:colOff>0</xdr:colOff>
      <xdr:row>276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276</xdr:row>
      <xdr:rowOff>0</xdr:rowOff>
    </xdr:from>
    <xdr:to>
      <xdr:col>11</xdr:col>
      <xdr:colOff>0</xdr:colOff>
      <xdr:row>277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277</xdr:row>
      <xdr:rowOff>0</xdr:rowOff>
    </xdr:from>
    <xdr:to>
      <xdr:col>11</xdr:col>
      <xdr:colOff>0</xdr:colOff>
      <xdr:row>278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278</xdr:row>
      <xdr:rowOff>0</xdr:rowOff>
    </xdr:from>
    <xdr:to>
      <xdr:col>11</xdr:col>
      <xdr:colOff>0</xdr:colOff>
      <xdr:row>279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279</xdr:row>
      <xdr:rowOff>0</xdr:rowOff>
    </xdr:from>
    <xdr:to>
      <xdr:col>11</xdr:col>
      <xdr:colOff>0</xdr:colOff>
      <xdr:row>280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280</xdr:row>
      <xdr:rowOff>0</xdr:rowOff>
    </xdr:from>
    <xdr:to>
      <xdr:col>11</xdr:col>
      <xdr:colOff>0</xdr:colOff>
      <xdr:row>281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281</xdr:row>
      <xdr:rowOff>0</xdr:rowOff>
    </xdr:from>
    <xdr:to>
      <xdr:col>11</xdr:col>
      <xdr:colOff>0</xdr:colOff>
      <xdr:row>282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282</xdr:row>
      <xdr:rowOff>0</xdr:rowOff>
    </xdr:from>
    <xdr:to>
      <xdr:col>11</xdr:col>
      <xdr:colOff>0</xdr:colOff>
      <xdr:row>283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283</xdr:row>
      <xdr:rowOff>0</xdr:rowOff>
    </xdr:from>
    <xdr:to>
      <xdr:col>11</xdr:col>
      <xdr:colOff>0</xdr:colOff>
      <xdr:row>284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284</xdr:row>
      <xdr:rowOff>0</xdr:rowOff>
    </xdr:from>
    <xdr:to>
      <xdr:col>11</xdr:col>
      <xdr:colOff>0</xdr:colOff>
      <xdr:row>285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285</xdr:row>
      <xdr:rowOff>0</xdr:rowOff>
    </xdr:from>
    <xdr:to>
      <xdr:col>11</xdr:col>
      <xdr:colOff>0</xdr:colOff>
      <xdr:row>286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286</xdr:row>
      <xdr:rowOff>0</xdr:rowOff>
    </xdr:from>
    <xdr:to>
      <xdr:col>11</xdr:col>
      <xdr:colOff>0</xdr:colOff>
      <xdr:row>287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287</xdr:row>
      <xdr:rowOff>0</xdr:rowOff>
    </xdr:from>
    <xdr:to>
      <xdr:col>11</xdr:col>
      <xdr:colOff>0</xdr:colOff>
      <xdr:row>288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288</xdr:row>
      <xdr:rowOff>0</xdr:rowOff>
    </xdr:from>
    <xdr:to>
      <xdr:col>11</xdr:col>
      <xdr:colOff>0</xdr:colOff>
      <xdr:row>289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289</xdr:row>
      <xdr:rowOff>0</xdr:rowOff>
    </xdr:from>
    <xdr:to>
      <xdr:col>11</xdr:col>
      <xdr:colOff>0</xdr:colOff>
      <xdr:row>290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290</xdr:row>
      <xdr:rowOff>0</xdr:rowOff>
    </xdr:from>
    <xdr:to>
      <xdr:col>11</xdr:col>
      <xdr:colOff>0</xdr:colOff>
      <xdr:row>291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sai-seres.feishu.cn/wiki/CJr7wo8wvi4Nm2kocomcQK1jnsh" TargetMode="External"/><Relationship Id="rId2" Type="http://schemas.openxmlformats.org/officeDocument/2006/relationships/hyperlink" Target="https://sai-seres.feishu.cn/wiki/HaLbwuepoiZSoYkZHB2cCQdNnUg?sheet=VtZK7d" TargetMode="External"/><Relationship Id="rId3" Type="http://schemas.openxmlformats.org/officeDocument/2006/relationships/hyperlink" Target="https://sai-seres.feishu.cn/wiki/HaLbwuepoiZSoYkZHB2cCQdNnUg?sheet=yKMw94" TargetMode="External"/><Relationship Id="rId4" Type="http://schemas.openxmlformats.org/officeDocument/2006/relationships/hyperlink" Target="https://sai-seres.feishu.cn/wiki/HaLbwuepoiZSoYkZHB2cCQdNnUg?sheet=yKMw94" TargetMode="External"/><Relationship Id="rId5" Type="http://schemas.openxmlformats.org/officeDocument/2006/relationships/hyperlink" Target="https://sai-seres.feishu.cn/wiki/HaLbwuepoiZSoYkZHB2cCQdNnUg?sheet=yKMw94" TargetMode="External"/><Relationship Id="rId6" Type="http://schemas.openxmlformats.org/officeDocument/2006/relationships/hyperlink" Target="https://sai-seres.feishu.cn/wiki/HaLbwuepoiZSoYkZHB2cCQdNnUg?sheet=yKMw94" TargetMode="External"/><Relationship Id="rId7" Type="http://schemas.openxmlformats.org/officeDocument/2006/relationships/hyperlink" Target="https://sai-seres.feishu.cn/wiki/HaLbwuepoiZSoYkZHB2cCQdNnUg?sheet=yKMw94" TargetMode="External"/><Relationship Id="rId8" Type="http://schemas.openxmlformats.org/officeDocument/2006/relationships/hyperlink" Target="https://sai-seres.feishu.cn/wiki/HaLbwuepoiZSoYkZHB2cCQdNnUg?sheet=VtZK7d" TargetMode="External"/><Relationship Id="rId9" Type="http://schemas.openxmlformats.org/officeDocument/2006/relationships/hyperlink" Target="https://sai-seres.feishu.cn/wiki/HaLbwuepoiZSoYkZHB2cCQdNnUg?sheet=VtZK7d" TargetMode="External"/><Relationship Id="rId10" Type="http://schemas.openxmlformats.org/officeDocument/2006/relationships/hyperlink" Target="https://sai-seres.feishu.cn/wiki/CJr7wo8wvi4Nm2kocomcQK1jnsh" TargetMode="External"/><Relationship Id="rId11" Type="http://schemas.openxmlformats.org/officeDocument/2006/relationships/hyperlink" Target="https://sai-seres.feishu.cn/wiki/CJr7wo8wvi4Nm2kocomcQK1jnsh" TargetMode="External"/><Relationship Id="rId12" Type="http://schemas.openxmlformats.org/officeDocument/2006/relationships/hyperlink" Target="https://sai-seres.feishu.cn/wiki/CJr7wo8wvi4Nm2kocomcQK1jnsh" TargetMode="External"/><Relationship Id="rId13" Type="http://schemas.openxmlformats.org/officeDocument/2006/relationships/hyperlink" Target="https://sai-seres.feishu.cn/wiki/CJr7wo8wvi4Nm2kocomcQK1jnsh" TargetMode="External"/><Relationship Id="rId14" Type="http://schemas.openxmlformats.org/officeDocument/2006/relationships/hyperlink" Target="https://sai-seres.feishu.cn/wiki/CJr7wo8wvi4Nm2kocomcQK1jnsh" TargetMode="External"/><Relationship Id="rId15" Type="http://schemas.openxmlformats.org/officeDocument/2006/relationships/hyperlink" Target="https://sai-seres.feishu.cn/wiki/CJr7wo8wvi4Nm2kocomcQK1jnsh" TargetMode="External"/><Relationship Id="rId16" Type="http://schemas.openxmlformats.org/officeDocument/2006/relationships/hyperlink" Target="https://sai-seres.feishu.cn/wiki/CJr7wo8wvi4Nm2kocomcQK1jnsh" TargetMode="External"/><Relationship Id="rId17" Type="http://schemas.openxmlformats.org/officeDocument/2006/relationships/hyperlink" Target="https://sai-seres.feishu.cn/wiki/CJr7wo8wvi4Nm2kocomcQK1jnsh" TargetMode="External"/><Relationship Id="rId18" Type="http://schemas.openxmlformats.org/officeDocument/2006/relationships/hyperlink" Target="https://sai-seres.feishu.cn/wiki/HaLbwuepoiZSoYkZHB2cCQdNnUg?sheet=yKMw94" TargetMode="External"/><Relationship Id="rId19" Type="http://schemas.openxmlformats.org/officeDocument/2006/relationships/hyperlink" Target="https://sai-seres.feishu.cn/wiki/CJr7wo8wvi4Nm2kocomcQK1jnsh" TargetMode="External"/><Relationship Id="rId20" Type="http://schemas.openxmlformats.org/officeDocument/2006/relationships/hyperlink" Target="https://sai-seres.feishu.cn/wiki/CJr7wo8wvi4Nm2kocomcQK1jnsh" TargetMode="External"/><Relationship Id="rId21" Type="http://schemas.openxmlformats.org/officeDocument/2006/relationships/hyperlink" Target="https://sai-seres.feishu.cn/wiki/CJr7wo8wvi4Nm2kocomcQK1jnsh" TargetMode="External"/><Relationship Id="rId22" Type="http://schemas.openxmlformats.org/officeDocument/2006/relationships/hyperlink" Target="https://sai-seres.feishu.cn/wiki/CJr7wo8wvi4Nm2kocomcQK1jnsh" TargetMode="External"/><Relationship Id="rId23" Type="http://schemas.openxmlformats.org/officeDocument/2006/relationships/hyperlink" Target="https://sai-seres.feishu.cn/wiki/CJr7wo8wvi4Nm2kocomcQK1jnsh" TargetMode="External"/><Relationship Id="rId24" Type="http://schemas.openxmlformats.org/officeDocument/2006/relationships/hyperlink" Target="https://sai-seres.feishu.cn/wiki/CJr7wo8wvi4Nm2kocomcQK1jnsh" TargetMode="External"/><Relationship Id="rId25" Type="http://schemas.openxmlformats.org/officeDocument/2006/relationships/hyperlink" Target="https://sai-seres.feishu.cn/wiki/CJr7wo8wvi4Nm2kocomcQK1jnsh" TargetMode="External"/><Relationship Id="rId26" Type="http://schemas.openxmlformats.org/officeDocument/2006/relationships/hyperlink" Target="https://sai-seres.feishu.cn/wiki/LsQkwYPORidb9ykOKplciB9gn5b?sheet=jS1aoZ" TargetMode="External"/><Relationship Id="rId27" Type="http://schemas.openxmlformats.org/officeDocument/2006/relationships/hyperlink" Target="https://sai-seres.feishu.cn/wiki/CJr7wo8wvi4Nm2kocomcQK1jnsh" TargetMode="External"/><Relationship Id="rId28" Type="http://schemas.openxmlformats.org/officeDocument/2006/relationships/hyperlink" Target="https://sai-seres.feishu.cn/wiki/CJr7wo8wvi4Nm2kocomcQK1jnsh" TargetMode="External"/><Relationship Id="rId29" Type="http://schemas.openxmlformats.org/officeDocument/2006/relationships/hyperlink" Target="https://sai-seres.feishu.cn/wiki/CJr7wo8wvi4Nm2kocomcQK1jnsh" TargetMode="External"/><Relationship Id="rId30" Type="http://schemas.openxmlformats.org/officeDocument/2006/relationships/hyperlink" Target="https://sai-seres.feishu.cn/wiki/CJr7wo8wvi4Nm2kocomcQK1jnsh" TargetMode="External"/><Relationship Id="rId31" Type="http://schemas.openxmlformats.org/officeDocument/2006/relationships/hyperlink" Target="https://sai-seres.feishu.cn/wiki/CJr7wo8wvi4Nm2kocomcQK1jnsh" TargetMode="External"/><Relationship Id="rId32" Type="http://schemas.openxmlformats.org/officeDocument/2006/relationships/hyperlink" Target="https://sai-seres.feishu.cn/wiki/CJr7wo8wvi4Nm2kocomcQK1jnsh" TargetMode="External"/><Relationship Id="rId33" Type="http://schemas.openxmlformats.org/officeDocument/2006/relationships/hyperlink" Target="https://sai-seres.feishu.cn/wiki/HaLbwuepoiZSoYkZHB2cCQdNnUg?sheet=yKMw94" TargetMode="External"/><Relationship Id="rId34" Type="http://schemas.openxmlformats.org/officeDocument/2006/relationships/hyperlink" Target="https://sai-seres.feishu.cn/wiki/CJr7wo8wvi4Nm2kocomcQK1jnsh" TargetMode="External"/><Relationship Id="rId35" Type="http://schemas.openxmlformats.org/officeDocument/2006/relationships/hyperlink" Target="https://sai-seres.feishu.cn/wiki/HaLbwuepoiZSoYkZHB2cCQdNnUg?sheet=yKMw94" TargetMode="External"/><Relationship Id="rId36" Type="http://schemas.openxmlformats.org/officeDocument/2006/relationships/hyperlink" Target="https://sai-seres.feishu.cn/wiki/CJr7wo8wvi4Nm2kocomcQK1jnsh" TargetMode="External"/><Relationship Id="rId37" Type="http://schemas.openxmlformats.org/officeDocument/2006/relationships/hyperlink" Target="https://sai-seres.feishu.cn/wiki/CJr7wo8wvi4Nm2kocomcQK1jnsh" TargetMode="External"/><Relationship Id="rId38" Type="http://schemas.openxmlformats.org/officeDocument/2006/relationships/hyperlink" Target="https://sai-seres.feishu.cn/wiki/CJr7wo8wvi4Nm2kocomcQK1jnsh" TargetMode="External"/><Relationship Id="rId39" Type="http://schemas.openxmlformats.org/officeDocument/2006/relationships/hyperlink" Target="https://sai-seres.feishu.cn/wiki/CJr7wo8wvi4Nm2kocomcQK1jnsh" TargetMode="External"/><Relationship Id="rId40" Type="http://schemas.openxmlformats.org/officeDocument/2006/relationships/hyperlink" Target="https://sai-seres.feishu.cn/wiki/CJr7wo8wvi4Nm2kocomcQK1jnsh" TargetMode="External"/><Relationship Id="rId41" Type="http://schemas.openxmlformats.org/officeDocument/2006/relationships/hyperlink" Target="https://sai-seres.feishu.cn/wiki/CJr7wo8wvi4Nm2kocomcQK1jnsh" TargetMode="External"/><Relationship Id="rId42" Type="http://schemas.openxmlformats.org/officeDocument/2006/relationships/hyperlink" Target="https://sai-seres.feishu.cn/wiki/CJr7wo8wvi4Nm2kocomcQK1jnsh" TargetMode="External"/><Relationship Id="rId43" Type="http://schemas.openxmlformats.org/officeDocument/2006/relationships/hyperlink" Target="https://sai-seres.feishu.cn/wiki/CJr7wo8wvi4Nm2kocomcQK1jnsh" TargetMode="External"/><Relationship Id="rId44" Type="http://schemas.openxmlformats.org/officeDocument/2006/relationships/hyperlink" Target="https://sai-seres.feishu.cn/wiki/CJr7wo8wvi4Nm2kocomcQK1jnsh" TargetMode="External"/><Relationship Id="rId45" Type="http://schemas.openxmlformats.org/officeDocument/2006/relationships/hyperlink" Target="https://sai-seres.feishu.cn/wiki/CJr7wo8wvi4Nm2kocomcQK1jnsh" TargetMode="External"/><Relationship Id="rId46" Type="http://schemas.openxmlformats.org/officeDocument/2006/relationships/hyperlink" Target="https://sai-seres.feishu.cn/wiki/CJr7wo8wvi4Nm2kocomcQK1jnsh" TargetMode="External"/><Relationship Id="rId47" Type="http://schemas.openxmlformats.org/officeDocument/2006/relationships/hyperlink" Target="https://sai-seres.feishu.cn/wiki/CJr7wo8wvi4Nm2kocomcQK1jnsh" TargetMode="External"/><Relationship Id="rId48" Type="http://schemas.openxmlformats.org/officeDocument/2006/relationships/hyperlink" Target="https://sai-seres.feishu.cn/wiki/CJr7wo8wvi4Nm2kocomcQK1jnsh" TargetMode="External"/><Relationship Id="rId49" Type="http://schemas.openxmlformats.org/officeDocument/2006/relationships/hyperlink" Target="https://sai-seres.feishu.cn/wiki/CJr7wo8wvi4Nm2kocomcQK1jnsh" TargetMode="External"/><Relationship Id="rId50" Type="http://schemas.openxmlformats.org/officeDocument/2006/relationships/hyperlink" Target="https://sai-seres.feishu.cn/wiki/CJr7wo8wvi4Nm2kocomcQK1jnsh" TargetMode="External"/><Relationship Id="rId51" Type="http://schemas.openxmlformats.org/officeDocument/2006/relationships/hyperlink" Target="https://sai-seres.feishu.cn/wiki/CJr7wo8wvi4Nm2kocomcQK1jnsh" TargetMode="External"/><Relationship Id="rId52" Type="http://schemas.openxmlformats.org/officeDocument/2006/relationships/hyperlink" Target="https://sai-seres.feishu.cn/wiki/CJr7wo8wvi4Nm2kocomcQK1jnsh" TargetMode="External"/><Relationship Id="rId53" Type="http://schemas.openxmlformats.org/officeDocument/2006/relationships/hyperlink" Target="https://sai-seres.feishu.cn/wiki/CJr7wo8wvi4Nm2kocomcQK1jnsh" TargetMode="External"/><Relationship Id="rId54" Type="http://schemas.openxmlformats.org/officeDocument/2006/relationships/hyperlink" Target="https://sai-seres.feishu.cn/wiki/CJr7wo8wvi4Nm2kocomcQK1jnsh" TargetMode="External"/><Relationship Id="rId55" Type="http://schemas.openxmlformats.org/officeDocument/2006/relationships/hyperlink" Target="https://sai-seres.feishu.cn/wiki/CJr7wo8wvi4Nm2kocomcQK1jnsh" TargetMode="External"/><Relationship Id="rId56" Type="http://schemas.openxmlformats.org/officeDocument/2006/relationships/hyperlink" Target="https://sai-seres.feishu.cn/wiki/CJr7wo8wvi4Nm2kocomcQK1jnsh" TargetMode="External"/><Relationship Id="rId57" Type="http://schemas.openxmlformats.org/officeDocument/2006/relationships/hyperlink" Target="https://sai-seres.feishu.cn/wiki/HaLbwuepoiZSoYkZHB2cCQdNnUg?sheet=FL7YdW" TargetMode="External"/><Relationship Id="rId58" Type="http://schemas.openxmlformats.org/officeDocument/2006/relationships/hyperlink" Target="https://sai-seres.feishu.cn/wiki/HaLbwuepoiZSoYkZHB2cCQdNnUg?sheet=FL7YdW" TargetMode="External"/><Relationship Id="rId59" Type="http://schemas.openxmlformats.org/officeDocument/2006/relationships/hyperlink" Target="https://sai-seres.feishu.cn/wiki/HaLbwuepoiZSoYkZHB2cCQdNnUg?sheet=FL7YdW" TargetMode="External"/><Relationship Id="rId60" Type="http://schemas.openxmlformats.org/officeDocument/2006/relationships/hyperlink" Target="https://sai-seres.feishu.cn/wiki/HaLbwuepoiZSoYkZHB2cCQdNnUg?sheet=FL7YdW" TargetMode="External"/><Relationship Id="rId61" Type="http://schemas.openxmlformats.org/officeDocument/2006/relationships/hyperlink" Target="https://sai-seres.feishu.cn/wiki/HaLbwuepoiZSoYkZHB2cCQdNnUg?sheet=FL7YdW" TargetMode="External"/><Relationship Id="rId62" Type="http://schemas.openxmlformats.org/officeDocument/2006/relationships/hyperlink" Target="https://sai-seres.feishu.cn/wiki/HaLbwuepoiZSoYkZHB2cCQdNnUg?sheet=FL7YdW" TargetMode="External"/><Relationship Id="rId63" Type="http://schemas.openxmlformats.org/officeDocument/2006/relationships/hyperlink" Target="https://sai-seres.feishu.cn/wiki/HaLbwuepoiZSoYkZHB2cCQdNnUg?sheet=FL7YdW" TargetMode="External"/><Relationship Id="rId64" Type="http://schemas.openxmlformats.org/officeDocument/2006/relationships/hyperlink" Target="https://sai-seres.feishu.cn/wiki/HaLbwuepoiZSoYkZHB2cCQdNnUg?sheet=FL7YdW" TargetMode="External"/><Relationship Id="rId65" Type="http://schemas.openxmlformats.org/officeDocument/2006/relationships/hyperlink" Target="https://sai-seres.feishu.cn/wiki/CJr7wo8wvi4Nm2kocomcQK1jnsh" TargetMode="External"/><Relationship Id="rId66" Type="http://schemas.openxmlformats.org/officeDocument/2006/relationships/hyperlink" Target="https://sai-seres.feishu.cn/wiki/CJr7wo8wvi4Nm2kocomcQK1jnsh" TargetMode="External"/><Relationship Id="rId67" Type="http://schemas.openxmlformats.org/officeDocument/2006/relationships/hyperlink" Target="https://sai-seres.feishu.cn/wiki/CJr7wo8wvi4Nm2kocomcQK1jnsh" TargetMode="External"/><Relationship Id="rId68" Type="http://schemas.openxmlformats.org/officeDocument/2006/relationships/hyperlink" Target="https://sai-seres.feishu.cn/wiki/CJr7wo8wvi4Nm2kocomcQK1jnsh" TargetMode="External"/><Relationship Id="rId69" Type="http://schemas.openxmlformats.org/officeDocument/2006/relationships/hyperlink" Target="https://sai-seres.feishu.cn/wiki/CJr7wo8wvi4Nm2kocomcQK1jnsh" TargetMode="External"/><Relationship Id="rId70" Type="http://schemas.openxmlformats.org/officeDocument/2006/relationships/hyperlink" Target="https://sai-seres.feishu.cn/wiki/CJr7wo8wvi4Nm2kocomcQK1jnsh" TargetMode="External"/><Relationship Id="rId71" Type="http://schemas.openxmlformats.org/officeDocument/2006/relationships/hyperlink" Target="https://sai-seres.feishu.cn/wiki/CJr7wo8wvi4Nm2kocomcQK1jnsh" TargetMode="External"/><Relationship Id="rId72" Type="http://schemas.openxmlformats.org/officeDocument/2006/relationships/hyperlink" Target="https://sai-seres.feishu.cn/wiki/CJr7wo8wvi4Nm2kocomcQK1jnsh" TargetMode="External"/><Relationship Id="rId73" Type="http://schemas.openxmlformats.org/officeDocument/2006/relationships/hyperlink" Target="https://sai-seres.feishu.cn/wiki/CJr7wo8wvi4Nm2kocomcQK1jnsh" TargetMode="External"/><Relationship Id="rId74" Type="http://schemas.openxmlformats.org/officeDocument/2006/relationships/hyperlink" Target="https://sai-seres.feishu.cn/wiki/CJr7wo8wvi4Nm2kocomcQK1jnsh" TargetMode="External"/><Relationship Id="rId75" Type="http://schemas.openxmlformats.org/officeDocument/2006/relationships/hyperlink" Target="https://sai-seres.feishu.cn/wiki/HaLbwuepoiZSoYkZHB2cCQdNnUg?sheet=yKMw94" TargetMode="External"/><Relationship Id="rId76" Type="http://schemas.openxmlformats.org/officeDocument/2006/relationships/hyperlink" Target="https://sai-seres.feishu.cn/wiki/HaLbwuepoiZSoYkZHB2cCQdNnUg?sheet=yKMw94" TargetMode="External"/><Relationship Id="rId77" Type="http://schemas.openxmlformats.org/officeDocument/2006/relationships/hyperlink" Target="https://sai-seres.feishu.cn/wiki/CJr7wo8wvi4Nm2kocomcQK1jnsh" TargetMode="External"/><Relationship Id="rId78" Type="http://schemas.openxmlformats.org/officeDocument/2006/relationships/hyperlink" Target="https://sai-seres.feishu.cn/wiki/CJr7wo8wvi4Nm2kocomcQK1jnsh" TargetMode="External"/><Relationship Id="rId79" Type="http://schemas.openxmlformats.org/officeDocument/2006/relationships/hyperlink" Target="https://sai-seres.feishu.cn/wiki/HaLbwuepoiZSoYkZHB2cCQdNnUg?sheet=FL7YdW" TargetMode="External"/><Relationship Id="rId80" Type="http://schemas.openxmlformats.org/officeDocument/2006/relationships/hyperlink" Target="https://sai-seres.feishu.cn/wiki/HaLbwuepoiZSoYkZHB2cCQdNnUg?sheet=FL7YdW" TargetMode="External"/><Relationship Id="rId81" Type="http://schemas.openxmlformats.org/officeDocument/2006/relationships/hyperlink" Target="https://sai-seres.feishu.cn/wiki/HaLbwuepoiZSoYkZHB2cCQdNnUg?sheet=FL7YdW" TargetMode="External"/><Relationship Id="rId82" Type="http://schemas.openxmlformats.org/officeDocument/2006/relationships/hyperlink" Target="https://sai-seres.feishu.cn/wiki/HaLbwuepoiZSoYkZHB2cCQdNnUg?sheet=FL7YdW" TargetMode="External"/><Relationship Id="rId83" Type="http://schemas.openxmlformats.org/officeDocument/2006/relationships/hyperlink" Target="https://sai-seres.feishu.cn/wiki/HaLbwuepoiZSoYkZHB2cCQdNnUg?sheet=FL7YdW" TargetMode="External"/><Relationship Id="rId84" Type="http://schemas.openxmlformats.org/officeDocument/2006/relationships/hyperlink" Target="https://sai-seres.feishu.cn/wiki/CJr7wo8wvi4Nm2kocomcQK1jnsh" TargetMode="External"/><Relationship Id="rId85" Type="http://schemas.openxmlformats.org/officeDocument/2006/relationships/hyperlink" Target="https://sai-seres.feishu.cn/wiki/CJr7wo8wvi4Nm2kocomcQK1jnsh" TargetMode="External"/><Relationship Id="rId86" Type="http://schemas.openxmlformats.org/officeDocument/2006/relationships/hyperlink" Target="https://sai-seres.feishu.cn/wiki/CJr7wo8wvi4Nm2kocomcQK1jnsh" TargetMode="External"/><Relationship Id="rId87" Type="http://schemas.openxmlformats.org/officeDocument/2006/relationships/hyperlink" Target="https://sai-seres.feishu.cn/wiki/CJr7wo8wvi4Nm2kocomcQK1jnsh" TargetMode="External"/><Relationship Id="rId88" Type="http://schemas.openxmlformats.org/officeDocument/2006/relationships/hyperlink" Target="https://sai-seres.feishu.cn/wiki/CJr7wo8wvi4Nm2kocomcQK1jnsh" TargetMode="External"/><Relationship Id="rId89" Type="http://schemas.openxmlformats.org/officeDocument/2006/relationships/hyperlink" Target="https://sai-seres.feishu.cn/wiki/CJr7wo8wvi4Nm2kocomcQK1jnsh" TargetMode="External"/><Relationship Id="rId90" Type="http://schemas.openxmlformats.org/officeDocument/2006/relationships/hyperlink" Target="https://sai-seres.feishu.cn/wiki/CJr7wo8wvi4Nm2kocomcQK1jnsh" TargetMode="External"/><Relationship Id="rId91" Type="http://schemas.openxmlformats.org/officeDocument/2006/relationships/hyperlink" Target="https://sai-seres.feishu.cn/wiki/CJr7wo8wvi4Nm2kocomcQK1jnsh" TargetMode="External"/><Relationship Id="rId92" Type="http://schemas.openxmlformats.org/officeDocument/2006/relationships/hyperlink" Target="https://sai-seres.feishu.cn/wiki/CJr7wo8wvi4Nm2kocomcQK1jnsh" TargetMode="External"/><Relationship Id="rId93" Type="http://schemas.openxmlformats.org/officeDocument/2006/relationships/hyperlink" Target="https://sai-seres.feishu.cn/wiki/CJr7wo8wvi4Nm2kocomcQK1jnsh" TargetMode="External"/><Relationship Id="rId94" Type="http://schemas.openxmlformats.org/officeDocument/2006/relationships/hyperlink" Target="https://sai-seres.feishu.cn/wiki/CJr7wo8wvi4Nm2kocomcQK1jnsh" TargetMode="External"/><Relationship Id="rId95" Type="http://schemas.openxmlformats.org/officeDocument/2006/relationships/hyperlink" Target="https://sai-seres.feishu.cn/wiki/CJr7wo8wvi4Nm2kocomcQK1jnsh" TargetMode="External"/><Relationship Id="rId96" Type="http://schemas.openxmlformats.org/officeDocument/2006/relationships/hyperlink" Target="https://sai-seres.feishu.cn/wiki/CJr7wo8wvi4Nm2kocomcQK1jnsh" TargetMode="External"/><Relationship Id="rId97" Type="http://schemas.openxmlformats.org/officeDocument/2006/relationships/hyperlink" Target="https://sai-seres.feishu.cn/wiki/CJr7wo8wvi4Nm2kocomcQK1jnsh" TargetMode="External"/><Relationship Id="rId98" Type="http://schemas.openxmlformats.org/officeDocument/2006/relationships/hyperlink" Target="https://sai-seres.feishu.cn/wiki/CJr7wo8wvi4Nm2kocomcQK1jnsh" TargetMode="External"/><Relationship Id="rId99" Type="http://schemas.openxmlformats.org/officeDocument/2006/relationships/hyperlink" Target="https://sai-seres.feishu.cn/wiki/CJr7wo8wvi4Nm2kocomcQK1jnsh" TargetMode="External"/><Relationship Id="rId100" Type="http://schemas.openxmlformats.org/officeDocument/2006/relationships/hyperlink" Target="https://sai-seres.feishu.cn/wiki/CJr7wo8wvi4Nm2kocomcQK1jnsh" TargetMode="External"/><Relationship Id="rId101" Type="http://schemas.openxmlformats.org/officeDocument/2006/relationships/hyperlink" Target="https://sai-seres.feishu.cn/wiki/CJr7wo8wvi4Nm2kocomcQK1jnsh" TargetMode="External"/><Relationship Id="rId102" Type="http://schemas.openxmlformats.org/officeDocument/2006/relationships/hyperlink" Target="https://sai-seres.feishu.cn/wiki/CJr7wo8wvi4Nm2kocomcQK1jnsh" TargetMode="External"/><Relationship Id="rId103" Type="http://schemas.openxmlformats.org/officeDocument/2006/relationships/hyperlink" Target="https://sai-seres.feishu.cn/wiki/CJr7wo8wvi4Nm2kocomcQK1jnsh" TargetMode="External"/><Relationship Id="rId104" Type="http://schemas.openxmlformats.org/officeDocument/2006/relationships/hyperlink" Target="https://sai-seres.feishu.cn/wiki/CJr7wo8wvi4Nm2kocomcQK1jnsh" TargetMode="External"/><Relationship Id="rId105" Type="http://schemas.openxmlformats.org/officeDocument/2006/relationships/hyperlink" Target="https://sai-seres.feishu.cn/wiki/CJr7wo8wvi4Nm2kocomcQK1jnsh" TargetMode="External"/><Relationship Id="rId106" Type="http://schemas.openxmlformats.org/officeDocument/2006/relationships/hyperlink" Target="https://sai-seres.feishu.cn/wiki/CJr7wo8wvi4Nm2kocomcQK1jnsh" TargetMode="External"/><Relationship Id="rId107" Type="http://schemas.openxmlformats.org/officeDocument/2006/relationships/hyperlink" Target="https://sai-seres.feishu.cn/wiki/CJr7wo8wvi4Nm2kocomcQK1jnsh" TargetMode="External"/><Relationship Id="rId108" Type="http://schemas.openxmlformats.org/officeDocument/2006/relationships/hyperlink" Target="https://sai-seres.feishu.cn/wiki/CJr7wo8wvi4Nm2kocomcQK1jnsh" TargetMode="External"/><Relationship Id="rId109" Type="http://schemas.openxmlformats.org/officeDocument/2006/relationships/hyperlink" Target="https://sai-seres.feishu.cn/wiki/CJr7wo8wvi4Nm2kocomcQK1jnsh" TargetMode="External"/><Relationship Id="rId110" Type="http://schemas.openxmlformats.org/officeDocument/2006/relationships/hyperlink" Target="https://sai-seres.feishu.cn/wiki/CJr7wo8wvi4Nm2kocomcQK1jnsh" TargetMode="External"/><Relationship Id="rId111" Type="http://schemas.openxmlformats.org/officeDocument/2006/relationships/hyperlink" Target="https://sai-seres.feishu.cn/wiki/CJr7wo8wvi4Nm2kocomcQK1jnsh" TargetMode="External"/><Relationship Id="rId112" Type="http://schemas.openxmlformats.org/officeDocument/2006/relationships/hyperlink" Target="https://sai-seres.feishu.cn/wiki/CJr7wo8wvi4Nm2kocomcQK1jnsh" TargetMode="External"/><Relationship Id="rId113" Type="http://schemas.openxmlformats.org/officeDocument/2006/relationships/hyperlink" Target="https://sai-seres.feishu.cn/wiki/CJr7wo8wvi4Nm2kocomcQK1jnsh" TargetMode="External"/><Relationship Id="rId114" Type="http://schemas.openxmlformats.org/officeDocument/2006/relationships/hyperlink" Target="https://sai-seres.feishu.cn/wiki/CJr7wo8wvi4Nm2kocomcQK1jnsh" TargetMode="External"/><Relationship Id="rId115" Type="http://schemas.openxmlformats.org/officeDocument/2006/relationships/hyperlink" Target="https://sai-seres.feishu.cn/wiki/CJr7wo8wvi4Nm2kocomcQK1jnsh" TargetMode="External"/><Relationship Id="rId116" Type="http://schemas.openxmlformats.org/officeDocument/2006/relationships/hyperlink" Target="https://sai-seres.feishu.cn/wiki/CJr7wo8wvi4Nm2kocomcQK1jnsh" TargetMode="External"/><Relationship Id="rId117" Type="http://schemas.openxmlformats.org/officeDocument/2006/relationships/hyperlink" Target="https://sai-seres.feishu.cn/wiki/CJr7wo8wvi4Nm2kocomcQK1jnsh" TargetMode="External"/><Relationship Id="rId118" Type="http://schemas.openxmlformats.org/officeDocument/2006/relationships/hyperlink" Target="https://sai-seres.feishu.cn/wiki/CJr7wo8wvi4Nm2kocomcQK1jnsh" TargetMode="External"/><Relationship Id="rId119" Type="http://schemas.openxmlformats.org/officeDocument/2006/relationships/hyperlink" Target="https://sai-seres.feishu.cn/wiki/CJr7wo8wvi4Nm2kocomcQK1jnsh" TargetMode="External"/><Relationship Id="rId120" Type="http://schemas.openxmlformats.org/officeDocument/2006/relationships/hyperlink" Target="https://sai-seres.feishu.cn/wiki/CJr7wo8wvi4Nm2kocomcQK1jnsh" TargetMode="External"/><Relationship Id="rId121" Type="http://schemas.openxmlformats.org/officeDocument/2006/relationships/hyperlink" Target="https://sai-seres.feishu.cn/wiki/CJr7wo8wvi4Nm2kocomcQK1jnsh" TargetMode="External"/><Relationship Id="rId122" Type="http://schemas.openxmlformats.org/officeDocument/2006/relationships/hyperlink" Target="https://sai-seres.feishu.cn/wiki/CJr7wo8wvi4Nm2kocomcQK1jnsh" TargetMode="External"/><Relationship Id="rId123" Type="http://schemas.openxmlformats.org/officeDocument/2006/relationships/hyperlink" Target="https://sai-seres.feishu.cn/wiki/CJr7wo8wvi4Nm2kocomcQK1jnsh" TargetMode="External"/><Relationship Id="rId124" Type="http://schemas.openxmlformats.org/officeDocument/2006/relationships/hyperlink" Target="https://sai-seres.feishu.cn/wiki/CJr7wo8wvi4Nm2kocomcQK1jnsh" TargetMode="External"/><Relationship Id="rId125" Type="http://schemas.openxmlformats.org/officeDocument/2006/relationships/hyperlink" Target="https://sai-seres.feishu.cn/wiki/CJr7wo8wvi4Nm2kocomcQK1jnsh" TargetMode="External"/><Relationship Id="rId126" Type="http://schemas.openxmlformats.org/officeDocument/2006/relationships/hyperlink" Target="https://sai-seres.feishu.cn/wiki/CJr7wo8wvi4Nm2kocomcQK1jnsh" TargetMode="External"/><Relationship Id="rId127" Type="http://schemas.openxmlformats.org/officeDocument/2006/relationships/hyperlink" Target="https://sai-seres.feishu.cn/wiki/CJr7wo8wvi4Nm2kocomcQK1jnsh" TargetMode="External"/><Relationship Id="rId128" Type="http://schemas.openxmlformats.org/officeDocument/2006/relationships/hyperlink" Target="https://sai-seres.feishu.cn/wiki/CJr7wo8wvi4Nm2kocomcQK1jnsh" TargetMode="External"/><Relationship Id="rId129" Type="http://schemas.openxmlformats.org/officeDocument/2006/relationships/hyperlink" Target="https://sai-seres.feishu.cn/wiki/CJr7wo8wvi4Nm2kocomcQK1jnsh" TargetMode="External"/><Relationship Id="rId130" Type="http://schemas.openxmlformats.org/officeDocument/2006/relationships/hyperlink" Target="https://sai-seres.feishu.cn/wiki/CJr7wo8wvi4Nm2kocomcQK1jnsh" TargetMode="External"/><Relationship Id="rId131" Type="http://schemas.openxmlformats.org/officeDocument/2006/relationships/hyperlink" Target="https://sai-seres.feishu.cn/wiki/CJr7wo8wvi4Nm2kocomcQK1jnsh" TargetMode="External"/><Relationship Id="rId132" Type="http://schemas.openxmlformats.org/officeDocument/2006/relationships/hyperlink" Target="https://sai-seres.feishu.cn/wiki/CJr7wo8wvi4Nm2kocomcQK1jnsh" TargetMode="External"/><Relationship Id="rId133" Type="http://schemas.openxmlformats.org/officeDocument/2006/relationships/hyperlink" Target="https://sai-seres.feishu.cn/wiki/CJr7wo8wvi4Nm2kocomcQK1jnsh" TargetMode="External"/><Relationship Id="rId134" Type="http://schemas.openxmlformats.org/officeDocument/2006/relationships/hyperlink" Target="https://sai-seres.feishu.cn/wiki/CJr7wo8wvi4Nm2kocomcQK1jnsh" TargetMode="External"/><Relationship Id="rId135" Type="http://schemas.openxmlformats.org/officeDocument/2006/relationships/hyperlink" Target="https://sai-seres.feishu.cn/wiki/CJr7wo8wvi4Nm2kocomcQK1jnsh" TargetMode="External"/><Relationship Id="rId136" Type="http://schemas.openxmlformats.org/officeDocument/2006/relationships/hyperlink" Target="https://sai-seres.feishu.cn/wiki/CJr7wo8wvi4Nm2kocomcQK1jnsh" TargetMode="External"/><Relationship Id="rId137" Type="http://schemas.openxmlformats.org/officeDocument/2006/relationships/hyperlink" Target="https://sai-seres.feishu.cn/wiki/CJr7wo8wvi4Nm2kocomcQK1jnsh" TargetMode="External"/><Relationship Id="rId138" Type="http://schemas.openxmlformats.org/officeDocument/2006/relationships/hyperlink" Target="https://sai-seres.feishu.cn/wiki/CJr7wo8wvi4Nm2kocomcQK1jnsh" TargetMode="External"/><Relationship Id="rId139" Type="http://schemas.openxmlformats.org/officeDocument/2006/relationships/hyperlink" Target="https://sai-seres.feishu.cn/wiki/CJr7wo8wvi4Nm2kocomcQK1jnsh" TargetMode="External"/><Relationship Id="rId140" Type="http://schemas.openxmlformats.org/officeDocument/2006/relationships/hyperlink" Target="https://sai-seres.feishu.cn/wiki/CJr7wo8wvi4Nm2kocomcQK1jnsh" TargetMode="External"/><Relationship Id="rId141" Type="http://schemas.openxmlformats.org/officeDocument/2006/relationships/hyperlink" Target="https://sai-seres.feishu.cn/wiki/CJr7wo8wvi4Nm2kocomcQK1jnsh" TargetMode="External"/><Relationship Id="rId142" Type="http://schemas.openxmlformats.org/officeDocument/2006/relationships/hyperlink" Target="https://sai-seres.feishu.cn/wiki/CJr7wo8wvi4Nm2kocomcQK1jnsh" TargetMode="External"/><Relationship Id="rId143" Type="http://schemas.openxmlformats.org/officeDocument/2006/relationships/hyperlink" Target="https://sai-seres.feishu.cn/wiki/CJr7wo8wvi4Nm2kocomcQK1jnsh" TargetMode="External"/><Relationship Id="rId144" Type="http://schemas.openxmlformats.org/officeDocument/2006/relationships/hyperlink" Target="https://sai-seres.feishu.cn/wiki/CJr7wo8wvi4Nm2kocomcQK1jnsh" TargetMode="External"/><Relationship Id="rId145" Type="http://schemas.openxmlformats.org/officeDocument/2006/relationships/hyperlink" Target="https://sai-seres.feishu.cn/wiki/CJr7wo8wvi4Nm2kocomcQK1jnsh" TargetMode="External"/><Relationship Id="rId146" Type="http://schemas.openxmlformats.org/officeDocument/2006/relationships/hyperlink" Target="https://sai-seres.feishu.cn/wiki/CJr7wo8wvi4Nm2kocomcQK1jnsh" TargetMode="External"/><Relationship Id="rId147" Type="http://schemas.openxmlformats.org/officeDocument/2006/relationships/hyperlink" Target="https://sai-seres.feishu.cn/wiki/CJr7wo8wvi4Nm2kocomcQK1jnsh" TargetMode="External"/><Relationship Id="rId148" Type="http://schemas.openxmlformats.org/officeDocument/2006/relationships/hyperlink" Target="https://sai-seres.feishu.cn/wiki/CJr7wo8wvi4Nm2kocomcQK1jnsh" TargetMode="External"/><Relationship Id="rId149" Type="http://schemas.openxmlformats.org/officeDocument/2006/relationships/hyperlink" Target="https://sai-seres.feishu.cn/wiki/HaLbwuepoiZSoYkZHB2cCQdNnUg?sheet=FL7YdW" TargetMode="External"/><Relationship Id="rId150" Type="http://schemas.openxmlformats.org/officeDocument/2006/relationships/hyperlink" Target="https://sai-seres.feishu.cn/wiki/CJr7wo8wvi4Nm2kocomcQK1jnsh" TargetMode="External"/><Relationship Id="rId151" Type="http://schemas.openxmlformats.org/officeDocument/2006/relationships/hyperlink" Target="https://sai-seres.feishu.cn/wiki/CJr7wo8wvi4Nm2kocomcQK1jnsh" TargetMode="External"/><Relationship Id="rId152" Type="http://schemas.openxmlformats.org/officeDocument/2006/relationships/hyperlink" Target="https://sai-seres.feishu.cn/wiki/CJr7wo8wvi4Nm2kocomcQK1jnsh" TargetMode="External"/><Relationship Id="rId153" Type="http://schemas.openxmlformats.org/officeDocument/2006/relationships/hyperlink" Target="https://sai-seres.feishu.cn/wiki/CJr7wo8wvi4Nm2kocomcQK1jnsh" TargetMode="External"/><Relationship Id="rId154" Type="http://schemas.openxmlformats.org/officeDocument/2006/relationships/hyperlink" Target="https://sai-seres.feishu.cn/wiki/CJr7wo8wvi4Nm2kocomcQK1jnsh" TargetMode="External"/><Relationship Id="rId155" Type="http://schemas.openxmlformats.org/officeDocument/2006/relationships/hyperlink" Target="https://sai-seres.feishu.cn/wiki/CJr7wo8wvi4Nm2kocomcQK1jnsh" TargetMode="External"/><Relationship Id="rId156" Type="http://schemas.openxmlformats.org/officeDocument/2006/relationships/hyperlink" Target="https://sai-seres.feishu.cn/wiki/CJr7wo8wvi4Nm2kocomcQK1jnsh" TargetMode="External"/><Relationship Id="rId157" Type="http://schemas.openxmlformats.org/officeDocument/2006/relationships/hyperlink" Target="https://sai-seres.feishu.cn/wiki/CJr7wo8wvi4Nm2kocomcQK1jnsh" TargetMode="External"/><Relationship Id="rId158" Type="http://schemas.openxmlformats.org/officeDocument/2006/relationships/hyperlink" Target="https://sai-seres.feishu.cn/wiki/CJr7wo8wvi4Nm2kocomcQK1jnsh" TargetMode="External"/><Relationship Id="rId159" Type="http://schemas.openxmlformats.org/officeDocument/2006/relationships/hyperlink" Target="https://sai-seres.feishu.cn/wiki/CJr7wo8wvi4Nm2kocomcQK1jnsh" TargetMode="External"/><Relationship Id="rId160" Type="http://schemas.openxmlformats.org/officeDocument/2006/relationships/hyperlink" Target="https://sai-seres.feishu.cn/wiki/CJr7wo8wvi4Nm2kocomcQK1jnsh" TargetMode="External"/><Relationship Id="rId161" Type="http://schemas.openxmlformats.org/officeDocument/2006/relationships/hyperlink" Target="https://sai-seres.feishu.cn/wiki/CJr7wo8wvi4Nm2kocomcQK1jnsh" TargetMode="External"/><Relationship Id="rId162" Type="http://schemas.openxmlformats.org/officeDocument/2006/relationships/hyperlink" Target="https://sai-seres.feishu.cn/wiki/CJr7wo8wvi4Nm2kocomcQK1jnsh" TargetMode="External"/><Relationship Id="rId163" Type="http://schemas.openxmlformats.org/officeDocument/2006/relationships/hyperlink" Target="https://sai-seres.feishu.cn/wiki/CJr7wo8wvi4Nm2kocomcQK1jnsh" TargetMode="External"/><Relationship Id="rId164" Type="http://schemas.openxmlformats.org/officeDocument/2006/relationships/hyperlink" Target="https://sai-seres.feishu.cn/wiki/CJr7wo8wvi4Nm2kocomcQK1jnsh" TargetMode="External"/><Relationship Id="rId165" Type="http://schemas.openxmlformats.org/officeDocument/2006/relationships/hyperlink" Target="https://sai-seres.feishu.cn/wiki/CJr7wo8wvi4Nm2kocomcQK1jnsh" TargetMode="External"/><Relationship Id="rId166" Type="http://schemas.openxmlformats.org/officeDocument/2006/relationships/hyperlink" Target="https://sai-seres.feishu.cn/wiki/IIfNwzNnxi2wMXkcIDHcJg1lnQd" TargetMode="External"/><Relationship Id="rId167" Type="http://schemas.openxmlformats.org/officeDocument/2006/relationships/hyperlink" Target="https://sai-seres.feishu.cn/wiki/IIfNwzNnxi2wMXkcIDHcJg1lnQd" TargetMode="External"/><Relationship Id="rId168" Type="http://schemas.openxmlformats.org/officeDocument/2006/relationships/hyperlink" Target="https://sai-seres.feishu.cn/wiki/HaLbwuepoiZSoYkZHB2cCQdNnUg?sheet=yKMw94" TargetMode="External"/><Relationship Id="rId169" Type="http://schemas.openxmlformats.org/officeDocument/2006/relationships/hyperlink" Target="https://sai-seres.feishu.cn/wiki/HaLbwuepoiZSoYkZHB2cCQdNnUg?sheet=yKMw94" TargetMode="External"/><Relationship Id="rId170" Type="http://schemas.openxmlformats.org/officeDocument/2006/relationships/hyperlink" Target="https://sai-seres.feishu.cn/wiki/OtXSwHMMxiNiQwk2IbBchbtPnRg" TargetMode="External"/><Relationship Id="rId171" Type="http://schemas.openxmlformats.org/officeDocument/2006/relationships/hyperlink" Target="https://sai-seres.feishu.cn/wiki/OtXSwHMMxiNiQwk2IbBchbtPnRg" TargetMode="External"/><Relationship Id="rId172" Type="http://schemas.openxmlformats.org/officeDocument/2006/relationships/hyperlink" Target="https://sai-seres.feishu.cn/wiki/OtXSwHMMxiNiQwk2IbBchbtPnRg" TargetMode="External"/><Relationship Id="rId173" Type="http://schemas.openxmlformats.org/officeDocument/2006/relationships/hyperlink" Target="https://sai-seres.feishu.cn/wiki/OtXSwHMMxiNiQwk2IbBchbtPnRg" TargetMode="External"/><Relationship Id="rId174" Type="http://schemas.openxmlformats.org/officeDocument/2006/relationships/hyperlink" Target="https://sai-seres.feishu.cn/wiki/HaLbwuepoiZSoYkZHB2cCQdNnUg?sheet=yKMw94" TargetMode="External"/><Relationship Id="rId175" Type="http://schemas.openxmlformats.org/officeDocument/2006/relationships/hyperlink" Target="https://sai-seres.feishu.cn/wiki/HaLbwuepoiZSoYkZHB2cCQdNnUg?sheet=yKMw94" TargetMode="External"/><Relationship Id="rId176" Type="http://schemas.openxmlformats.org/officeDocument/2006/relationships/hyperlink" Target="https://sai-seres.feishu.cn/wiki/HaLbwuepoiZSoYkZHB2cCQdNnUg?sheet=yKMw94" TargetMode="External"/><Relationship Id="rId177" Type="http://schemas.openxmlformats.org/officeDocument/2006/relationships/hyperlink" Target="https://sai-seres.feishu.cn/wiki/HaLbwuepoiZSoYkZHB2cCQdNnUg?sheet=yKMw94" TargetMode="External"/><Relationship Id="rId178" Type="http://schemas.openxmlformats.org/officeDocument/2006/relationships/hyperlink" Target="https://sai-seres.feishu.cn/wiki/HaLbwuepoiZSoYkZHB2cCQdNnUg?sheet=yKMw94" TargetMode="External"/><Relationship Id="rId179" Type="http://schemas.openxmlformats.org/officeDocument/2006/relationships/hyperlink" Target="https://sai-seres.feishu.cn/wiki/HaLbwuepoiZSoYkZHB2cCQdNnUg?sheet=yKMw94" TargetMode="External"/><Relationship Id="rId180" Type="http://schemas.openxmlformats.org/officeDocument/2006/relationships/hyperlink" Target="https://sai-seres.feishu.cn/wiki/VLcZwmv2HihjAykPzioc5HginNh" TargetMode="External"/><Relationship Id="rId181" Type="http://schemas.openxmlformats.org/officeDocument/2006/relationships/hyperlink" Target="https://sai-seres.feishu.cn/wiki/VLcZwmv2HihjAykPzioc5HginNh" TargetMode="External"/><Relationship Id="rId182" Type="http://schemas.openxmlformats.org/officeDocument/2006/relationships/hyperlink" Target="https://sai-seres.feishu.cn/wiki/VLcZwmv2HihjAykPzioc5HginNh" TargetMode="External"/><Relationship Id="rId183" Type="http://schemas.openxmlformats.org/officeDocument/2006/relationships/hyperlink" Target="https://sai-seres.feishu.cn/wiki/VLcZwmv2HihjAykPzioc5HginNh" TargetMode="External"/><Relationship Id="rId184" Type="http://schemas.openxmlformats.org/officeDocument/2006/relationships/hyperlink" Target="https://sai-seres.feishu.cn/wiki/VLcZwmv2HihjAykPzioc5HginNh" TargetMode="External"/><Relationship Id="rId185" Type="http://schemas.openxmlformats.org/officeDocument/2006/relationships/hyperlink" Target="https://sai-seres.feishu.cn/wiki/VLcZwmv2HihjAykPzioc5HginNh" TargetMode="External"/><Relationship Id="rId186" Type="http://schemas.openxmlformats.org/officeDocument/2006/relationships/hyperlink" Target="https://sai-seres.feishu.cn/wiki/VLcZwmv2HihjAykPzioc5HginNh" TargetMode="External"/><Relationship Id="rId187" Type="http://schemas.openxmlformats.org/officeDocument/2006/relationships/hyperlink" Target="https://sai-seres.feishu.cn/wiki/VLcZwmv2HihjAykPzioc5HginNh" TargetMode="External"/><Relationship Id="rId188" Type="http://schemas.openxmlformats.org/officeDocument/2006/relationships/hyperlink" Target="https://sai-seres.feishu.cn/wiki/VLcZwmv2HihjAykPzioc5HginNh" TargetMode="External"/><Relationship Id="rId189" Type="http://schemas.openxmlformats.org/officeDocument/2006/relationships/hyperlink" Target="https://sai-seres.feishu.cn/wiki/VLcZwmv2HihjAykPzioc5HginNh" TargetMode="External"/><Relationship Id="rId190" Type="http://schemas.openxmlformats.org/officeDocument/2006/relationships/hyperlink" Target="https://sai-seres.feishu.cn/wiki/VLcZwmv2HihjAykPzioc5HginNh" TargetMode="External"/><Relationship Id="rId191" Type="http://schemas.openxmlformats.org/officeDocument/2006/relationships/hyperlink" Target="https://sai-seres.feishu.cn/wiki/VLcZwmv2HihjAykPzioc5HginNh" TargetMode="External"/><Relationship Id="rId192" Type="http://schemas.openxmlformats.org/officeDocument/2006/relationships/hyperlink" Target="https://sai-seres.feishu.cn/wiki/VLcZwmv2HihjAykPzioc5HginNh" TargetMode="External"/><Relationship Id="rId193" Type="http://schemas.openxmlformats.org/officeDocument/2006/relationships/hyperlink" Target="https://sai-seres.feishu.cn/wiki/VLcZwmv2HihjAykPzioc5HginNh" TargetMode="External"/><Relationship Id="rId194" Type="http://schemas.openxmlformats.org/officeDocument/2006/relationships/hyperlink" Target="https://sai-seres.feishu.cn/wiki/VLcZwmv2HihjAykPzioc5HginNh" TargetMode="External"/><Relationship Id="rId195" Type="http://schemas.openxmlformats.org/officeDocument/2006/relationships/hyperlink" Target="https://sai-seres.feishu.cn/wiki/VLcZwmv2HihjAykPzioc5HginNh" TargetMode="External"/><Relationship Id="rId196" Type="http://schemas.openxmlformats.org/officeDocument/2006/relationships/hyperlink" Target="https://sai-seres.feishu.cn/wiki/VLcZwmv2HihjAykPzioc5HginNh" TargetMode="External"/><Relationship Id="rId197" Type="http://schemas.openxmlformats.org/officeDocument/2006/relationships/hyperlink" Target="https://sai-seres.feishu.cn/wiki/VLcZwmv2HihjAykPzioc5HginNh" TargetMode="External"/><Relationship Id="rId198" Type="http://schemas.openxmlformats.org/officeDocument/2006/relationships/hyperlink" Target="https://sai-seres.feishu.cn/wiki/VLcZwmv2HihjAykPzioc5HginNh" TargetMode="External"/><Relationship Id="rId199" Type="http://schemas.openxmlformats.org/officeDocument/2006/relationships/hyperlink" Target="https://sai-seres.feishu.cn/wiki/VLcZwmv2HihjAykPzioc5HginNh" TargetMode="External"/><Relationship Id="rId200" Type="http://schemas.openxmlformats.org/officeDocument/2006/relationships/hyperlink" Target="https://sai-seres.feishu.cn/wiki/VLcZwmv2HihjAykPzioc5HginNh" TargetMode="External"/><Relationship Id="rId201" Type="http://schemas.openxmlformats.org/officeDocument/2006/relationships/hyperlink" Target="https://sai-seres.feishu.cn/wiki/VLcZwmv2HihjAykPzioc5HginNh" TargetMode="External"/><Relationship Id="rId202" Type="http://schemas.openxmlformats.org/officeDocument/2006/relationships/hyperlink" Target="https://sai-seres.feishu.cn/wiki/VLcZwmv2HihjAykPzioc5HginNh" TargetMode="External"/><Relationship Id="rId203" Type="http://schemas.openxmlformats.org/officeDocument/2006/relationships/hyperlink" Target="https://sai-seres.feishu.cn/wiki/VLcZwmv2HihjAykPzioc5HginNh" TargetMode="External"/><Relationship Id="rId204" Type="http://schemas.openxmlformats.org/officeDocument/2006/relationships/hyperlink" Target="https://sai-seres.feishu.cn/wiki/VLcZwmv2HihjAykPzioc5HginNh" TargetMode="External"/><Relationship Id="rId205" Type="http://schemas.openxmlformats.org/officeDocument/2006/relationships/hyperlink" Target="https://sai-seres.feishu.cn/wiki/VLcZwmv2HihjAykPzioc5HginNh" TargetMode="External"/><Relationship Id="rId206" Type="http://schemas.openxmlformats.org/officeDocument/2006/relationships/hyperlink" Target="https://sai-seres.feishu.cn/wiki/VLcZwmv2HihjAykPzioc5HginNh" TargetMode="External"/><Relationship Id="rId207" Type="http://schemas.openxmlformats.org/officeDocument/2006/relationships/hyperlink" Target="https://sai-seres.feishu.cn/wiki/VLcZwmv2HihjAykPzioc5HginNh" TargetMode="External"/><Relationship Id="rId208" Type="http://schemas.openxmlformats.org/officeDocument/2006/relationships/hyperlink" Target="https://sai-seres.feishu.cn/wiki/VLcZwmv2HihjAykPzioc5HginNh" TargetMode="External"/><Relationship Id="rId209" Type="http://schemas.openxmlformats.org/officeDocument/2006/relationships/hyperlink" Target="https://sai-seres.feishu.cn/wiki/VLcZwmv2HihjAykPzioc5HginNh" TargetMode="External"/><Relationship Id="rId210" Type="http://schemas.openxmlformats.org/officeDocument/2006/relationships/hyperlink" Target="https://sai-seres.feishu.cn/wiki/VLcZwmv2HihjAykPzioc5HginNh" TargetMode="External"/><Relationship Id="rId211" Type="http://schemas.openxmlformats.org/officeDocument/2006/relationships/hyperlink" Target="https://sai-seres.feishu.cn/wiki/VLcZwmv2HihjAykPzioc5HginNh" TargetMode="External"/><Relationship Id="rId212" Type="http://schemas.openxmlformats.org/officeDocument/2006/relationships/hyperlink" Target="https://sai-seres.feishu.cn/wiki/CJr7wo8wvi4Nm2kocomcQK1jnsh" TargetMode="External"/><Relationship Id="rId213" Type="http://schemas.openxmlformats.org/officeDocument/2006/relationships/hyperlink" Target="https://sai-seres.feishu.cn/wiki/CJr7wo8wvi4Nm2kocomcQK1jnsh" TargetMode="External"/><Relationship Id="rId214" Type="http://schemas.openxmlformats.org/officeDocument/2006/relationships/hyperlink" Target="https://sai-seres.feishu.cn/wiki/CJr7wo8wvi4Nm2kocomcQK1jnsh" TargetMode="External"/><Relationship Id="rId215" Type="http://schemas.openxmlformats.org/officeDocument/2006/relationships/hyperlink" Target="https://sai-seres.feishu.cn/wiki/CJr7wo8wvi4Nm2kocomcQK1jnsh" TargetMode="External"/><Relationship Id="rId216" Type="http://schemas.openxmlformats.org/officeDocument/2006/relationships/hyperlink" Target="https://sai-seres.feishu.cn/wiki/CJr7wo8wvi4Nm2kocomcQK1jnsh" TargetMode="External"/><Relationship Id="rId217" Type="http://schemas.openxmlformats.org/officeDocument/2006/relationships/hyperlink" Target="https://sai-seres.feishu.cn/wiki/CJr7wo8wvi4Nm2kocomcQK1jnsh" TargetMode="External"/><Relationship Id="rId218" Type="http://schemas.openxmlformats.org/officeDocument/2006/relationships/hyperlink" Target="https://sai-seres.feishu.cn/wiki/Azk4wfvKZimJC4kOxdEc2ZPyn8c" TargetMode="External"/><Relationship Id="rId219" Type="http://schemas.openxmlformats.org/officeDocument/2006/relationships/hyperlink" Target="https://sai-seres.feishu.cn/wiki/Azk4wfvKZimJC4kOxdEc2ZPyn8c" TargetMode="External"/><Relationship Id="rId220" Type="http://schemas.openxmlformats.org/officeDocument/2006/relationships/hyperlink" Target="https://sai-seres.feishu.cn/wiki/Azk4wfvKZimJC4kOxdEc2ZPyn8c" TargetMode="External"/><Relationship Id="rId221" Type="http://schemas.openxmlformats.org/officeDocument/2006/relationships/hyperlink" Target="https://sai-seres.feishu.cn/wiki/VLcZwmv2HihjAykPzioc5HginNh" TargetMode="External"/><Relationship Id="rId222" Type="http://schemas.openxmlformats.org/officeDocument/2006/relationships/hyperlink" Target="https://sai-seres.feishu.cn/wiki/VLcZwmv2HihjAykPzioc5HginNh" TargetMode="External"/><Relationship Id="rId223" Type="http://schemas.openxmlformats.org/officeDocument/2006/relationships/hyperlink" Target="https://sai-seres.feishu.cn/wiki/VLcZwmv2HihjAykPzioc5HginNh" TargetMode="External"/><Relationship Id="rId224" Type="http://schemas.openxmlformats.org/officeDocument/2006/relationships/hyperlink" Target="https://sai-seres.feishu.cn/wiki/FuwowSeyyic9lfkDA2ic1eKqnMc?from=from_copylink" TargetMode="External"/><Relationship Id="rId225" Type="http://schemas.openxmlformats.org/officeDocument/2006/relationships/hyperlink" Target="https://sai-seres.feishu.cn/wiki/J0QZwU5MyifraPktpYacWJeqnwS?sheet=FnxNKz" TargetMode="External"/><Relationship Id="rId226" Type="http://schemas.openxmlformats.org/officeDocument/2006/relationships/hyperlink" Target="https://sai-seres.feishu.cn/wiki/J0QZwU5MyifraPktpYacWJeqnwS?sheet=FnxNKz" TargetMode="External"/><Relationship Id="rId227" Type="http://schemas.openxmlformats.org/officeDocument/2006/relationships/hyperlink" Target="https://sai-seres.feishu.cn/wiki/J0QZwU5MyifraPktpYacWJeqnwS?sheet=FnxNKz" TargetMode="External"/><Relationship Id="rId228" Type="http://schemas.openxmlformats.org/officeDocument/2006/relationships/hyperlink" Target="https://sai-seres.feishu.cn/wiki/J0QZwU5MyifraPktpYacWJeqnwS?sheet=FnxNKz" TargetMode="External"/><Relationship Id="rId229" Type="http://schemas.openxmlformats.org/officeDocument/2006/relationships/hyperlink" Target="https://sai-seres.feishu.cn/wiki/J0QZwU5MyifraPktpYacWJeqnwS?sheet=FnxNKz" TargetMode="External"/><Relationship Id="rId230" Type="http://schemas.openxmlformats.org/officeDocument/2006/relationships/hyperlink" Target="https://sai-seres.feishu.cn/wiki/J0QZwU5MyifraPktpYacWJeqnwS?sheet=FnxNKz" TargetMode="External"/><Relationship Id="rId231" Type="http://schemas.openxmlformats.org/officeDocument/2006/relationships/hyperlink" Target="https://sai-seres.feishu.cn/wiki/J0QZwU5MyifraPktpYacWJeqnwS?sheet=FnxNKz" TargetMode="External"/><Relationship Id="rId232" Type="http://schemas.openxmlformats.org/officeDocument/2006/relationships/hyperlink" Target="https://sai-seres.feishu.cn/wiki/J0QZwU5MyifraPktpYacWJeqnwS?sheet=FnxNKz" TargetMode="External"/><Relationship Id="rId233" Type="http://schemas.openxmlformats.org/officeDocument/2006/relationships/hyperlink" Target="https://sai-seres.feishu.cn/wiki/J0QZwU5MyifraPktpYacWJeqnwS?sheet=FnxNKz" TargetMode="External"/><Relationship Id="rId234" Type="http://schemas.openxmlformats.org/officeDocument/2006/relationships/hyperlink" Target="https://sai-seres.feishu.cn/wiki/J0QZwU5MyifraPktpYacWJeqnwS?sheet=FnxNKz" TargetMode="External"/><Relationship Id="rId235" Type="http://schemas.openxmlformats.org/officeDocument/2006/relationships/hyperlink" Target="https://sai-seres.feishu.cn/wiki/J0QZwU5MyifraPktpYacWJeqnwS?sheet=FnxNKz" TargetMode="External"/><Relationship Id="rId236" Type="http://schemas.openxmlformats.org/officeDocument/2006/relationships/hyperlink" Target="https://sai-seres.feishu.cn/wiki/J0QZwU5MyifraPktpYacWJeqnwS?sheet=FnxNKz" TargetMode="External"/><Relationship Id="rId237" Type="http://schemas.openxmlformats.org/officeDocument/2006/relationships/hyperlink" Target="https://sai-seres.feishu.cn/wiki/J0QZwU5MyifraPktpYacWJeqnwS?sheet=FnxNKz" TargetMode="External"/><Relationship Id="rId238" Type="http://schemas.openxmlformats.org/officeDocument/2006/relationships/hyperlink" Target="https://sai-seres.feishu.cn/wiki/J0QZwU5MyifraPktpYacWJeqnwS?sheet=FnxNKz" TargetMode="External"/><Relationship Id="rId239" Type="http://schemas.openxmlformats.org/officeDocument/2006/relationships/hyperlink" Target="https://sai-seres.feishu.cn/wiki/J0QZwU5MyifraPktpYacWJeqnwS?sheet=FnxNKz" TargetMode="External"/><Relationship Id="rId240" Type="http://schemas.openxmlformats.org/officeDocument/2006/relationships/hyperlink" Target="https://sai-seres.feishu.cn/wiki/J0QZwU5MyifraPktpYacWJeqnwS?sheet=FnxNKz" TargetMode="External"/><Relationship Id="rId241" Type="http://schemas.openxmlformats.org/officeDocument/2006/relationships/hyperlink" Target="https://internal-api-drive-stream.feishu.cn/space/api/box/stream/download/preview/FMXrbLK4ioCRlux8Q76cPvMZnyh?mount_point=docx_file&amp;preview_type=16" TargetMode="External"/><Relationship Id="rId242" Type="http://schemas.openxmlformats.org/officeDocument/2006/relationships/hyperlink" Target="https://sai-seres.feishu.cn/wiki/Gzr5wufOzinLKGkHikacw58nnCe" TargetMode="External"/><Relationship Id="rId243" Type="http://schemas.openxmlformats.org/officeDocument/2006/relationships/hyperlink" Target="https://sai-seres.feishu.cn/wiki/Gzr5wufOzinLKGkHikacw58nnCe" TargetMode="External"/><Relationship Id="rId244" Type="http://schemas.openxmlformats.org/officeDocument/2006/relationships/hyperlink" Target="https://sai-seres.feishu.cn/wiki/Gzr5wufOzinLKGkHikacw58nnCe" TargetMode="External"/><Relationship Id="rId245" Type="http://schemas.openxmlformats.org/officeDocument/2006/relationships/hyperlink" Target="https://sai-seres.feishu.cn/wiki/Gzr5wufOzinLKGkHikacw58nnCe" TargetMode="External"/><Relationship Id="rId246" Type="http://schemas.openxmlformats.org/officeDocument/2006/relationships/hyperlink" Target="https://sai-seres.feishu.cn/wiki/J0QZwU5MyifraPktpYacWJeqnwS?sheet=FnxNKz" TargetMode="External"/><Relationship Id="rId247" Type="http://schemas.openxmlformats.org/officeDocument/2006/relationships/hyperlink" Target="https://sai-seres.feishu.cn/wiki/J0QZwU5MyifraPktpYacWJeqnwS?sheet=FnxNKz" TargetMode="External"/><Relationship Id="rId248" Type="http://schemas.openxmlformats.org/officeDocument/2006/relationships/hyperlink" Target="https://sai-seres.feishu.cn/wiki/J0QZwU5MyifraPktpYacWJeqnwS?sheet=FnxNKz" TargetMode="External"/><Relationship Id="rId249" Type="http://schemas.openxmlformats.org/officeDocument/2006/relationships/hyperlink" Target="https://sai-seres.feishu.cn/wiki/J0QZwU5MyifraPktpYacWJeqnwS?sheet=FnxNKz" TargetMode="External"/><Relationship Id="rId250" Type="http://schemas.openxmlformats.org/officeDocument/2006/relationships/hyperlink" Target="https://sai-seres.feishu.cn/wiki/FuwowSeyyic9lfkDA2ic1eKqnMc" TargetMode="External"/><Relationship Id="rId251" Type="http://schemas.openxmlformats.org/officeDocument/2006/relationships/hyperlink" Target="https://sai-seres.feishu.cn/wiki/J0QZwU5MyifraPktpYacWJeqnwS?sheet=FnxNKz" TargetMode="External"/><Relationship Id="rId252" Type="http://schemas.openxmlformats.org/officeDocument/2006/relationships/hyperlink" Target="https://sai-seres.feishu.cn/wiki/HaLbwuepoiZSoYkZHB2cCQdNnUg?sheet=yKMw94" TargetMode="External"/><Relationship Id="rId253" Type="http://schemas.openxmlformats.org/officeDocument/2006/relationships/hyperlink" Target="https://sai-seres.feishu.cn/wiki/B3vcwOJAgikKznk2Ccocjx7XnGg" TargetMode="External"/><Relationship Id="rId254" Type="http://schemas.openxmlformats.org/officeDocument/2006/relationships/drawing" Target="../drawings/drawing2.xml"/></Relationships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bytedance.larkoffice.com/sheets/Q5gYsvurVhyygmtxcrtc0QYpn0e?from=from_copylink" TargetMode="External"/></Relationships>
</file>

<file path=xl/worksheets/_rels/sheet4.xml.rels><?xml version="1.0" encoding="UTF-8" standalone="yes"?>
       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26.428571428571427" style="1" customWidth="1"/>
    <col min="2" max="2" width="56.714285714285715" style="1" customWidth="1"/>
    <col min="3" max="3" width="15" style="1" customWidth="1"/>
    <col min="4" max="4" width="18.571428571428573" style="1" customWidth="1"/>
    <col min="5" max="21" width="15" style="1" customWidth="1"/>
  </cols>
  <sheetData>
    <row r="2" spans="1:4">
      <c r="A2" s="2" t="str">
        <v>更新表格</v>
      </c>
      <c r="B2" s="2" t="str">
        <v>变更记录</v>
      </c>
      <c r="C2" s="2" t="str">
        <v>变更人员</v>
      </c>
      <c r="D2" s="2" t="str">
        <v>更新时间</v>
      </c>
    </row>
    <row r="3" spans="1:4">
      <c r="A3" s="3" t="str">
        <v>端状态v1.0（需求锁定）</v>
      </c>
      <c r="B3" s="3" t="str">
        <v>端状态初版需求锁定</v>
      </c>
      <c r="C3" s="3" t="str">
        <v>陈杰</v>
      </c>
      <c r="D3" s="4">
        <v>46164.666666666664</v>
      </c>
    </row>
    <row r="4" spans="1:4">
      <c r="A4" s="5" t="str">
        <v>端状态v1.0（需求锁定）</v>
      </c>
      <c r="B4" s="3" t="str">
        <v>1.补充后装香氛释放时长设置状态、补充空调温区独享设置状态；
2.增加应用商店应用的安装下载状态；
3.增加手车互联的连接类型、连接状态和应用使用状态</v>
      </c>
      <c r="C4" s="3" t="str">
        <v>陈杰</v>
      </c>
      <c r="D4" s="4">
        <v>46169.479166666664</v>
      </c>
    </row>
    <row r="5" spans="1:4">
      <c r="A5" s="5" t="str">
        <v>端状态v1.0（需求锁定）</v>
      </c>
      <c r="B5" s="3" t="str">
        <v>1.删除：【座舱_来电号码/座舱_来电联系人】两条端状态需求</v>
      </c>
      <c r="C5" s="3" t="str">
        <v>陈杰</v>
      </c>
      <c r="D5" s="4">
        <v>46171.708333333336</v>
      </c>
    </row>
    <row r="6" spans="1:4">
      <c r="A6" s="5" t="str">
        <v>端状态v1.0（需求锁定）</v>
      </c>
      <c r="B6" s="3" t="str">
        <v>1.删除原有alwasy on设置，增补覆盖为AI设置</v>
      </c>
      <c r="C6" s="3" t="str">
        <v>陈杰</v>
      </c>
      <c r="D6" s="4">
        <v>46177.583333333336</v>
      </c>
    </row>
    <row r="7" spans="1:4">
      <c r="A7" s="5" t="str">
        <v>端状态v1.0（需求锁定）</v>
      </c>
      <c r="B7" s="3" t="str">
        <v>1.合并视觉锁定需求到【九、视觉感知域】内；
2.补充需求人员和架构文档校对情况，以及需求下发批次</v>
      </c>
      <c r="C7" s="3" t="str">
        <v>陈杰</v>
      </c>
      <c r="D7" s="4">
        <v>46179.666666666664</v>
      </c>
    </row>
    <row r="8" spans="1:4">
      <c r="A8" s="5" t="str">
        <v>端状态v1.1（需求锁定）</v>
      </c>
      <c r="B8" s="3" t="str">
        <v>1.补充空调最大制热/最大升制冷按钮状态；
2.新增后备箱高度设置百分比状态；
3.修改车身_儿童座椅ISOFIX检测的信号范围为0=异常,1=正常
4.新增车身_儿童座椅安装位置
5.新增
光影空间：拍照按钮、普通拍摄状态、高光拍摄状态
6.新增语音：音区位置判断、语音状态
7.新增K歌：无麦K歌开关、雷石KTV状态</v>
      </c>
      <c r="C8" s="3" t="str">
        <v>陈杰</v>
      </c>
      <c r="D8" s="4">
        <v>46184.666666666664</v>
      </c>
    </row>
    <row r="9" spans="1:4">
      <c r="A9" s="5" t="str">
        <v>端状态v1.2（需求锁定）</v>
      </c>
      <c r="B9" s="3" t="str">
        <v>1.更新XCALL状态：新增通话中；
2.更新播放音源：新增酷狗音乐；
3.增加能源模式：AI增程/纯电优先/强制纯电/燃油优先/强制发电；
4.增加蓝牙及UWB钥匙和实车匹配状态：0=未匹配成功；1=匹配成功；2=空
5.增加 导航低电量提醒阈值：5-60%
6.增加充电报告信号；
7.增加展车模式：整车状态
8.增加展车模式：试乘试驾状态，AI灯语状态；
9.增加舱外视觉：手势识别；
10.增加智驾_语音控车开关；
11.增加录屏状态</v>
      </c>
      <c r="C9" s="3" t="str">
        <v>陈杰</v>
      </c>
      <c r="D9" s="4">
        <v>46204.583333333336</v>
      </c>
    </row>
    <row r="10" spans="1:4">
      <c r="A10" s="5" t="str">
        <v>端状态v1.2（需求锁定）</v>
      </c>
      <c r="B10" s="3" t="str">
        <v>1.补充天气路况保护开关状状态</v>
      </c>
      <c r="C10" s="3" t="str">
        <v>陈杰</v>
      </c>
      <c r="D10" s="4">
        <v>46210.4375</v>
      </c>
    </row>
    <row r="11" spans="1:4">
      <c r="A11" s="5" t="str">
        <v>端状态v1.2（需求锁定）</v>
      </c>
      <c r="B11" s="3" t="str">
        <v>1.增加泊车使能状态
2.增加智驾信号灯设置开关状态
3.增加途径点为充电站的充电桩信息状态；
4.增加车辆配置字信号字段；
5.增加松弛空间的氛围主题状态；
6.增加AI情景模式的开关状态；
7.增加危险报警灯（双闪）状态；
8.增加自动切换驾驶员账号状态开关；
9.系统提示音音量值改为系统提示音开关；
10.整车上锁提示状态改为整车上锁状态
11.增加提车日期状态</v>
      </c>
      <c r="C11" s="3" t="str">
        <v>陈杰</v>
      </c>
      <c r="D11" s="4">
        <v>46216.833333333336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4.857142857142858" style="1" customWidth="1"/>
    <col min="2" max="2" width="17.2360248447205" style="1" customWidth="1"/>
    <col min="3" max="3" width="37.142857142857146" style="1" customWidth="1"/>
    <col min="4" max="4" width="53.57142857142857" style="1" customWidth="1"/>
    <col min="5" max="5" width="53.60504201680669" style="1" customWidth="1"/>
    <col min="6" max="6" width="48.142857142857146" style="1" customWidth="1"/>
    <col min="7" max="7" width="19.714285714285715" style="1" customWidth="1"/>
    <col min="8" max="8" width="23.857142857142858" style="1" customWidth="1"/>
    <col min="9" max="9" width="20" style="1" customWidth="1"/>
    <col min="10" max="10" width="28.428571428571427" style="1" customWidth="1"/>
    <col min="11" max="11" width="20.402943019192012" style="1" customWidth="1"/>
    <col min="12" max="12" width="15.191111808354858" style="1" customWidth="1"/>
    <col min="13" max="13" width="20.396825396825307" style="1" customWidth="1"/>
    <col min="14" max="14" width="14.968253968253878" style="1" customWidth="1"/>
    <col min="15" max="15" width="40.285714285714285" style="1" customWidth="1"/>
    <col min="16" max="16" width="15" style="1" customWidth="1"/>
    <col min="17" max="17" width="18.391304347826072" style="1" customWidth="1"/>
    <col min="18" max="18" width="18.28571428571422" style="1" customWidth="1"/>
    <col min="19" max="19" width="49.15873015873012" style="1" customWidth="1"/>
    <col min="20" max="20" width="23.857142857142858" style="1" customWidth="1"/>
    <col min="21" max="21" width="51.83245753391176" style="1" customWidth="1"/>
    <col min="22" max="22" width="42.142857142857146" style="1" customWidth="1"/>
    <col min="23" max="23" width="33.85064773870253" style="1" customWidth="1"/>
    <col min="24" max="24" width="26.683237774095687" style="1" customWidth="1"/>
    <col min="25" max="25" width="15.142857142857142" style="1" customWidth="1"/>
    <col min="26" max="26" width="21.142857142857142" style="1" customWidth="1"/>
    <col min="27" max="27" width="19.142857142857142" style="1" customWidth="1"/>
    <col min="28" max="28" width="15" style="1" customWidth="1"/>
  </cols>
  <sheetData>
    <row r="1" spans="1:27">
      <c r="A1" s="6" t="str">
        <v>域</v>
      </c>
      <c r="B1" s="7" t="str">
        <v>二级</v>
      </c>
      <c r="C1" s="7" t="str">
        <v>三级</v>
      </c>
      <c r="D1" s="7" t="str">
        <v>信号名称</v>
      </c>
      <c r="E1" s="7" t="str">
        <v>信号范围（研发有差异的找需求提出人）</v>
      </c>
      <c r="F1" s="7" t="str">
        <v>接口开发类型
1)即时单次查询：采用 GET 接口按需实时拉取端状态；
2)订阅回调上报（多少s）：预先完成注册绑定，端侧状态变更后主动通过回调接口推送至豆包。</v>
      </c>
      <c r="G1" s="8" t="str">
        <v>编号</v>
      </c>
      <c r="H1" s="8" t="inlineStr">
        <is>
          <r>
            <t>架构校对</t>
          </r>
          <r>
            <t>@张洪剑</t>
          </r>
        </is>
      </c>
      <c r="I1" s="9" t="str">
        <v>服务名称（基于AI CTS）</v>
      </c>
      <c r="J1" s="9" t="str">
        <v>接口名称（（基于AI CTS））</v>
      </c>
      <c r="K1" s="9" t="str">
        <v>关联需求</v>
      </c>
      <c r="L1" s="8" t="str">
        <v>状态更新日期</v>
      </c>
      <c r="M1" s="8" t="str">
        <v>接口校对情况</v>
      </c>
      <c r="N1" s="8" t="str">
        <v>指示灯样式</v>
      </c>
      <c r="O1" s="8" t="str">
        <v>备注</v>
      </c>
      <c r="P1" s="10" t="str">
        <v>优先级</v>
      </c>
      <c r="Q1" s="8" t="str">
        <v>需求下发批次</v>
      </c>
      <c r="R1" s="8" t="str">
        <v>架构接口状态
（0613）</v>
      </c>
      <c r="S1" s="8" t="str">
        <v>整车版本对应</v>
      </c>
      <c r="T1" s="8" t="str">
        <v>接口文档链接
（sdk开发文档链接）</v>
      </c>
      <c r="U1" s="8" t="str">
        <v>接口名称
（API名称）</v>
      </c>
      <c r="V1" s="8" t="str">
        <v>可调时间
（赛力斯研发填写可用于联调的daily版本的时间）</v>
      </c>
      <c r="W1" s="8" t="str">
        <v>实际编辑研发-SLS</v>
      </c>
      <c r="X1" s="8" t="str">
        <v>对应ACS</v>
      </c>
      <c r="Y1" s="11" t="str">
        <v>需求提出人</v>
      </c>
      <c r="Z1" s="8" t="inlineStr">
        <is>
          <r>
            <t>信息安全核验</t>
          </r>
          <r>
            <t>@李云</t>
          </r>
        </is>
      </c>
      <c r="AA1" s="8" t="str">
        <v>风险信息功能场景</v>
      </c>
    </row>
    <row r="2" spans="1:25">
      <c r="A2" s="12" t="str">
        <v>一、车辆运动与底盘域</v>
      </c>
      <c r="B2" s="12" t="str">
        <v>1.1 基础驾驶状态</v>
      </c>
      <c r="C2" s="13" t="str">
        <v>驾驶模式实际状态</v>
      </c>
      <c r="D2" s="12" t="str">
        <v>整车_驾驶模式实际状态</v>
      </c>
      <c r="E2" s="12" t="str">
        <v>节能/舒适/运动/个性化</v>
      </c>
      <c r="G2" s="14" t="str">
        <v>DZT0001</v>
      </c>
      <c r="H2" s="14" t="str">
        <v>已透传cdc</v>
      </c>
      <c r="I2" s="15" t="str">
        <v>VCS_CFG 车辆运动控制相关模式配置服务</v>
      </c>
      <c r="J2" s="15" t="str">
        <v>pwtWorkPara DriveMode</v>
      </c>
      <c r="K2" s="15" t="str">
        <v>天气路况保护</v>
      </c>
      <c r="P2" s="15" t="str">
        <v>P0</v>
      </c>
      <c r="Q2" s="16">
        <v>6.6</v>
      </c>
      <c r="R2" s="17" t="str">
        <v>✅ 架构已提供</v>
      </c>
      <c r="S2" s="14" t="str">
        <v>Pre-OTS版本-0804座舱转测</v>
      </c>
      <c r="T2" s="18" t="str">
        <v>车服务原子能力清单 </v>
      </c>
      <c r="U2" s="14" t="str">
        <v>ACTION_VEHICLE_DRIVE_MODE</v>
      </c>
      <c r="V2" s="19">
        <v>46218</v>
      </c>
      <c r="W2" s="14" t="str">
        <v>吕鹏程</v>
      </c>
      <c r="X2" s="14" t="str">
        <v>ACS301Adapter</v>
      </c>
      <c r="Y2" s="20" t="inlineStr">
        <is>
          <r>
            <t>@张景波</t>
          </r>
        </is>
      </c>
    </row>
    <row r="3" spans="3:25">
      <c r="C3" s="21" t="str">
        <v>加速模式实际状态</v>
      </c>
      <c r="D3" s="22" t="str">
        <v>整车_加速模式实际状态</v>
      </c>
      <c r="E3" s="22" t="str">
        <v>经济/舒适/运动/弹射</v>
      </c>
      <c r="G3" s="23" t="str">
        <v>DZT0267</v>
      </c>
      <c r="H3" s="14" t="str">
        <v>已透传cdc</v>
      </c>
      <c r="P3" s="15" t="str">
        <v>P0</v>
      </c>
      <c r="Q3" s="16">
        <v>6.13</v>
      </c>
      <c r="R3" s="17" t="str">
        <v>✅ 架构已提供</v>
      </c>
      <c r="S3" s="14" t="str">
        <v>Pre-OTS版本-0804座舱转测</v>
      </c>
      <c r="X3" s="14" t="str">
        <v>ACS301Adapter</v>
      </c>
      <c r="Y3" s="20" t="inlineStr">
        <is>
          <r>
            <t>@陈杰</t>
          </r>
        </is>
      </c>
    </row>
    <row r="4" spans="3:25">
      <c r="C4" s="21" t="str">
        <v>能量回收等级实际状态</v>
      </c>
      <c r="D4" s="22" t="str">
        <v>整车_能量回收等级实际状态</v>
      </c>
      <c r="E4" s="22" t="str">
        <v>标准/舒适/强</v>
      </c>
      <c r="G4" s="23" t="str">
        <v>DZT0268</v>
      </c>
      <c r="H4" s="14" t="str">
        <v>已透传cdc</v>
      </c>
      <c r="K4" s="15" t="str">
        <v>情感空间</v>
      </c>
      <c r="P4" s="15" t="str">
        <v>P0</v>
      </c>
      <c r="Q4" s="16">
        <v>6.13</v>
      </c>
      <c r="R4" s="17" t="str">
        <v>✅ 架构已提供</v>
      </c>
      <c r="S4" s="14" t="str">
        <v>Pre-OTS版本-0804座舱转测</v>
      </c>
      <c r="T4" s="18" t="str">
        <v>Adapter_SD_keys </v>
      </c>
      <c r="U4" s="14" t="str">
        <v>ID_VCH_REGENERATE_LEVEL</v>
      </c>
      <c r="V4" s="16">
        <v>716</v>
      </c>
      <c r="W4" s="14" t="str">
        <v>高杨</v>
      </c>
      <c r="X4" s="14" t="str">
        <v>ACS301Adapter</v>
      </c>
      <c r="Y4" s="20" t="inlineStr">
        <is>
          <r>
            <t>@朱婧雯</t>
          </r>
        </is>
      </c>
    </row>
    <row r="5" spans="3:25">
      <c r="C5" s="21" t="str">
        <v>晕车舒缓模式状态</v>
      </c>
      <c r="D5" s="22" t="str">
        <v>整车_晕车舒缓模式状态</v>
      </c>
      <c r="E5" s="22" t="str">
        <v>0=未激活, 1=激活</v>
      </c>
      <c r="G5" s="24" t="str">
        <v>DZT0402</v>
      </c>
      <c r="H5" s="14" t="str">
        <v>已透传cdc</v>
      </c>
      <c r="P5" s="15" t="str">
        <v>P0</v>
      </c>
      <c r="Q5" s="16">
        <v>6.13</v>
      </c>
      <c r="R5" s="25" t="str">
        <v>🟡架构待新增</v>
      </c>
      <c r="X5" s="24" t="str">
        <v>ACS301Adapter</v>
      </c>
      <c r="Y5" s="20" t="inlineStr">
        <is>
          <r>
            <t>@陈杰</t>
          </r>
        </is>
      </c>
    </row>
    <row r="6" spans="3:25">
      <c r="C6" s="21" t="str">
        <v>雪地模式状态</v>
      </c>
      <c r="D6" s="22" t="str">
        <v>整车_雪地模式状态</v>
      </c>
      <c r="E6" s="22" t="str">
        <v>0=未激活, 1=激活</v>
      </c>
      <c r="G6" s="24" t="str">
        <v>DZT0403</v>
      </c>
      <c r="H6" s="14" t="str">
        <v>已透传cdc</v>
      </c>
      <c r="I6" s="15" t="str">
        <v>VCS_CFG 车辆运动控制相关模式配置服务</v>
      </c>
      <c r="J6" s="15" t="str">
        <v>pwtWorkPara DriveMode</v>
      </c>
      <c r="K6" s="15" t="str">
        <v>天气路况保护</v>
      </c>
      <c r="P6" s="15" t="str">
        <v>P0</v>
      </c>
      <c r="Q6" s="16">
        <v>6.13</v>
      </c>
      <c r="R6" s="25" t="str">
        <v>🟡架构待新增</v>
      </c>
      <c r="X6" s="24" t="str">
        <v>ACS301Adapter</v>
      </c>
      <c r="Y6" s="20" t="inlineStr">
        <is>
          <r>
            <t>@张景波</t>
          </r>
        </is>
      </c>
    </row>
    <row r="7" spans="3:25">
      <c r="C7" s="21" t="str">
        <v>湿滑模式状态</v>
      </c>
      <c r="D7" s="22" t="str">
        <v>整车_湿滑模式状态</v>
      </c>
      <c r="E7" s="22" t="str">
        <v>0=未激活, 1=激活</v>
      </c>
      <c r="G7" s="24" t="str">
        <v>DZT0404</v>
      </c>
      <c r="H7" s="14" t="str">
        <v>已透传cdc</v>
      </c>
      <c r="I7" s="15" t="str">
        <v>VCS_CFG 车辆运动控制相关模式配置服务</v>
      </c>
      <c r="J7" s="15" t="str">
        <v>pwtWorkPara DriveMode</v>
      </c>
      <c r="K7" s="15" t="str">
        <v>天气路况保护</v>
      </c>
      <c r="P7" s="15" t="str">
        <v>P0</v>
      </c>
      <c r="Q7" s="16">
        <v>6.13</v>
      </c>
      <c r="R7" s="17" t="str">
        <v>✅ 架构已提供</v>
      </c>
      <c r="X7" s="24" t="str">
        <v>ACS301Adapter</v>
      </c>
      <c r="Y7" s="20" t="inlineStr">
        <is>
          <r>
            <t>@张景波</t>
          </r>
        </is>
      </c>
    </row>
    <row r="8" spans="3:25">
      <c r="C8" s="21" t="str">
        <v>越野脱困模式</v>
      </c>
      <c r="D8" s="22" t="str">
        <v>整车_脱困模式状态</v>
      </c>
      <c r="E8" s="22" t="str">
        <v>0=未激活, 1=激活</v>
      </c>
      <c r="G8" s="24" t="str">
        <v>DZT0405</v>
      </c>
      <c r="H8" s="14" t="str">
        <v>已透传cdc</v>
      </c>
      <c r="P8" s="15" t="str">
        <v>P0</v>
      </c>
      <c r="Q8" s="16">
        <v>6.13</v>
      </c>
      <c r="R8" s="25" t="str">
        <v>🟡架构待新增</v>
      </c>
      <c r="X8" s="24" t="str">
        <v>ACS301Adapter</v>
      </c>
      <c r="Y8" s="20" t="inlineStr">
        <is>
          <r>
            <t>@陈杰</t>
          </r>
        </is>
      </c>
    </row>
    <row r="9" spans="3:25">
      <c r="C9" s="21" t="str">
        <v>减速缓行状态</v>
      </c>
      <c r="D9" s="22" t="str">
        <v>整车_减速缓行状态</v>
      </c>
      <c r="E9" s="22" t="str">
        <v>0=关闭, 1=开启</v>
      </c>
      <c r="G9" s="24" t="str">
        <v>DZT0406</v>
      </c>
      <c r="H9" s="14" t="str">
        <v>已透传cdc</v>
      </c>
      <c r="P9" s="15" t="str">
        <v>P0</v>
      </c>
      <c r="Q9" s="16">
        <v>6.13</v>
      </c>
      <c r="R9" s="25" t="str">
        <v>🟡架构待新增</v>
      </c>
      <c r="X9" s="24" t="str">
        <v>ACS301Adapter</v>
      </c>
      <c r="Y9" s="20" t="inlineStr">
        <is>
          <r>
            <t>@陈杰</t>
          </r>
        </is>
      </c>
    </row>
    <row r="10" spans="3:25">
      <c r="C10" s="21" t="str">
        <v>舒适制动设置状态</v>
      </c>
      <c r="D10" s="22" t="str">
        <v>制动_舒适制动状态</v>
      </c>
      <c r="E10" s="22" t="str">
        <v>0=关闭, 1=开启</v>
      </c>
      <c r="G10" s="24" t="str">
        <v>DZT0407</v>
      </c>
      <c r="H10" s="14" t="str">
        <v>已透传cdc</v>
      </c>
      <c r="P10" s="15" t="str">
        <v>P0</v>
      </c>
      <c r="Q10" s="16">
        <v>6.13</v>
      </c>
      <c r="R10" s="25" t="str">
        <v>🟡架构待新增</v>
      </c>
      <c r="X10" s="24" t="str">
        <v>ACS301Adapter</v>
      </c>
      <c r="Y10" s="20" t="inlineStr">
        <is>
          <r>
            <t>@陈杰</t>
          </r>
        </is>
      </c>
    </row>
    <row r="11" spans="3:25">
      <c r="C11" s="21" t="str">
        <v>AVH自动驻车设置状态</v>
      </c>
      <c r="D11" s="22" t="str">
        <v>制动_AVH自动驻车状态</v>
      </c>
      <c r="E11" s="22" t="str">
        <v>0=关闭, 1=开启</v>
      </c>
      <c r="G11" s="24" t="str">
        <v>DZT0408</v>
      </c>
      <c r="H11" s="14" t="str">
        <v>已透传cdc</v>
      </c>
      <c r="P11" s="15" t="str">
        <v>P0</v>
      </c>
      <c r="Q11" s="16">
        <v>6.13</v>
      </c>
      <c r="R11" s="25" t="str">
        <v>🟡架构待新增</v>
      </c>
      <c r="X11" s="24" t="str">
        <v>ACS301Adapter</v>
      </c>
      <c r="Y11" s="20" t="inlineStr">
        <is>
          <r>
            <t>@陈杰</t>
          </r>
        </is>
      </c>
    </row>
    <row r="12" spans="3:25">
      <c r="C12" s="21" t="str">
        <v>电子手刹（EPB）控制设置状态</v>
      </c>
      <c r="D12" s="22" t="str">
        <v>电子手刹（EPB）控制设置状态</v>
      </c>
      <c r="E12" s="22" t="str">
        <v>0=关闭, 1=开启</v>
      </c>
      <c r="G12" s="24" t="str">
        <v>DZT0409</v>
      </c>
      <c r="H12" s="14" t="str">
        <v>已透传cdc</v>
      </c>
      <c r="P12" s="15" t="str">
        <v>P0</v>
      </c>
      <c r="Q12" s="16">
        <v>6.13</v>
      </c>
      <c r="R12" s="25" t="str">
        <v>🟡架构待新增</v>
      </c>
      <c r="X12" s="24" t="str">
        <v>ACS301Adapter</v>
      </c>
      <c r="Y12" s="20" t="inlineStr">
        <is>
          <r>
            <t>@陈杰</t>
          </r>
        </is>
      </c>
    </row>
    <row r="13" spans="3:25">
      <c r="C13" s="21" t="str">
        <v>HDC陡坡缓降设置状态</v>
      </c>
      <c r="D13" s="22" t="str">
        <v>制动_HDC陡坡缓降状态</v>
      </c>
      <c r="E13" s="22" t="str">
        <v>0=关闭, 1=开启</v>
      </c>
      <c r="G13" s="24" t="str">
        <v>DZT0410</v>
      </c>
      <c r="H13" s="14" t="str">
        <v>已透传cdc</v>
      </c>
      <c r="P13" s="15" t="str">
        <v>P0</v>
      </c>
      <c r="Q13" s="16">
        <v>6.13</v>
      </c>
      <c r="R13" s="25" t="str">
        <v>🟡架构待新增</v>
      </c>
      <c r="X13" s="24" t="str">
        <v>ACS301Adapter</v>
      </c>
      <c r="Y13" s="20" t="inlineStr">
        <is>
          <r>
            <t>@陈杰</t>
          </r>
        </is>
      </c>
    </row>
    <row r="14" spans="3:25">
      <c r="C14" s="21" t="str">
        <v>拖挂模式设置状态</v>
      </c>
      <c r="D14" s="22" t="str">
        <v>整车_拖挂模式状态</v>
      </c>
      <c r="E14" s="22" t="str">
        <v>0=关闭, 1=开启</v>
      </c>
      <c r="G14" s="24" t="str">
        <v>DZT0411</v>
      </c>
      <c r="H14" s="14" t="str">
        <v>已透传cdc</v>
      </c>
      <c r="P14" s="15" t="str">
        <v>P0</v>
      </c>
      <c r="Q14" s="16">
        <v>6.13</v>
      </c>
      <c r="R14" s="25" t="str">
        <v>🟡架构待新增</v>
      </c>
      <c r="X14" s="24" t="str">
        <v>ACS301Adapter</v>
      </c>
      <c r="Y14" s="20" t="inlineStr">
        <is>
          <r>
            <t>@陈杰</t>
          </r>
        </is>
      </c>
    </row>
    <row r="15" spans="2:25">
      <c r="B15" s="22" t="str">
        <v>1.2 车辆基础驾驶信息</v>
      </c>
      <c r="C15" s="21" t="str">
        <v>车速</v>
      </c>
      <c r="D15" s="22" t="str">
        <v>整车_车速实际值</v>
      </c>
      <c r="E15" s="22" t="str">
        <v>0~655.35 km/h (0.01 km/bit)</v>
      </c>
      <c r="G15" s="14" t="str">
        <v>DZT0002</v>
      </c>
      <c r="H15" s="14" t="str">
        <v>已透传cdc</v>
      </c>
      <c r="I15" s="15" t="str">
        <v>VCS_CFG 车辆运动控制相关模式配置服务</v>
      </c>
      <c r="J15" s="15" t="str">
        <v>VehBaseDriveInfo.VehSpeed</v>
      </c>
      <c r="K15" s="15" t="str">
        <v>充电管家; 出行主动服务; 情感空间</v>
      </c>
      <c r="P15" s="15" t="str">
        <v>P0</v>
      </c>
      <c r="Q15" s="16">
        <v>6.6</v>
      </c>
      <c r="R15" s="17" t="str">
        <v>✅ 架构已提供</v>
      </c>
      <c r="S15" s="14" t="str">
        <v>Pre-OTS版本-0804座舱转测</v>
      </c>
      <c r="T15" s="18" t="str">
        <v>Adapter_SD_keys 
E68 Adapter方案:https://sai-seres.feishu.cn/wiki/S2H1wC6vAiAYYEkvt7Wcif57nQg </v>
      </c>
      <c r="U15" s="14" t="str">
        <v>SeresPlatformSDK.getSeresAdapter().registerCallback
SeresPlatformSDK.getSeresAdapter().getValue</v>
      </c>
      <c r="V15" s="16">
        <v>701</v>
      </c>
      <c r="W15" s="14" t="str">
        <v>冯鑫林</v>
      </c>
      <c r="X15" s="14" t="str">
        <v>ACS301Adapter</v>
      </c>
      <c r="Y15" s="20" t="inlineStr">
        <is>
          <r>
            <t>@刘多</t>
          </r>
        </is>
      </c>
    </row>
    <row r="16" spans="3:25">
      <c r="C16" s="21" t="str">
        <v>纵向加速度</v>
      </c>
      <c r="D16" s="22" t="str">
        <v>纵向加速度</v>
      </c>
      <c r="E16" s="22" t="str">
        <v>-256~255.9921875m/s²； 分辨率待绑定</v>
      </c>
      <c r="G16" s="14" t="str">
        <v>DZT0003</v>
      </c>
      <c r="H16" s="14" t="str">
        <v>已透传cdc</v>
      </c>
      <c r="I16" s="15" t="str">
        <v>VCS_Motion车辆运动状态</v>
      </c>
      <c r="J16" s="15" t="str">
        <v>notifyAx</v>
      </c>
      <c r="K16" s="15" t="str">
        <v>情感空间</v>
      </c>
      <c r="P16" s="15" t="str">
        <v>P0</v>
      </c>
      <c r="Q16" s="16">
        <v>6.6</v>
      </c>
      <c r="R16" s="17" t="str">
        <v>✅ 架构已提供</v>
      </c>
      <c r="S16" s="14" t="str">
        <v>Pre-OTS版本-0804座舱转测</v>
      </c>
      <c r="T16" s="18" t="str">
        <v>Adapter_SD_keys 
E68 Adapter方案:https://sai-seres.feishu.cn/wiki/S2H1wC6vAiAYYEkvt7Wcif57nQg </v>
      </c>
      <c r="U16" s="14" t="str">
        <v>SeresPlatformSDK.getSeresAdapter().registerCallback
SeresPlatformSDK.getSeresAdapter().getValue</v>
      </c>
      <c r="V16" s="16">
        <v>701</v>
      </c>
      <c r="W16" s="14" t="str">
        <v>冯鑫林</v>
      </c>
      <c r="X16" s="14" t="str">
        <v>ACS301Adapter</v>
      </c>
      <c r="Y16" s="20" t="inlineStr">
        <is>
          <r>
            <t>@朱婧雯</t>
          </r>
        </is>
      </c>
    </row>
    <row r="17" spans="3:25">
      <c r="C17" s="21" t="str">
        <v>档位</v>
      </c>
      <c r="D17" s="22" t="str">
        <v>整车_档位状态</v>
      </c>
      <c r="E17" s="22" t="str">
        <v>P/R/N/D</v>
      </c>
      <c r="G17" s="14" t="str">
        <v>DZT0004</v>
      </c>
      <c r="H17" s="14" t="str">
        <v>已透传cdc</v>
      </c>
      <c r="I17" s="15" t="str">
        <v>VCS_CFG 车辆运动控制相关模式配置服务</v>
      </c>
      <c r="J17" s="15" t="str">
        <v>VehBaseDriveInfo.VehGear</v>
      </c>
      <c r="K17" s="15" t="str">
        <v>充电管家; 松弛模式（AI）; 全环境感知; 情感空间</v>
      </c>
      <c r="P17" s="15" t="str">
        <v>P0</v>
      </c>
      <c r="Q17" s="16">
        <v>6.6</v>
      </c>
      <c r="R17" s="17" t="str">
        <v>✅ 架构已提供</v>
      </c>
      <c r="S17" s="14" t="str">
        <v>Pre-OTS版本-0804座舱转测</v>
      </c>
      <c r="T17" s="18" t="str">
        <v>Adapter_SD_keys 
E68 Adapter方案:https://sai-seres.feishu.cn/wiki/S2H1wC6vAiAYYEkvt7Wcif57nQg </v>
      </c>
      <c r="U17" s="26" t="str">
        <v>ID_GEAR</v>
      </c>
      <c r="V17" s="19">
        <v>46216</v>
      </c>
      <c r="W17" s="14" t="str">
        <v>冯鑫林</v>
      </c>
      <c r="X17" s="14" t="str">
        <v>ACS301Adapter</v>
      </c>
      <c r="Y17" s="20" t="inlineStr">
        <is>
          <r>
            <t>@刘多</t>
          </r>
        </is>
      </c>
    </row>
    <row r="18" spans="3:25">
      <c r="C18" s="21" t="str">
        <v>制动踏板状态</v>
      </c>
      <c r="D18" s="22" t="str">
        <v>制动_踏板状态</v>
      </c>
      <c r="E18" s="22" t="str">
        <v>0=释放, 1=踩下, 2=无效; 或开度0~100%</v>
      </c>
      <c r="G18" s="14" t="str">
        <v>DZT0005</v>
      </c>
      <c r="H18" s="14" t="str">
        <v>？</v>
      </c>
      <c r="I18" s="15" t="str">
        <v>VCS_CFG 车辆运动控制相关模式配置服务</v>
      </c>
      <c r="J18" s="15" t="str">
        <v>VehBaseDriveInfo车辆基础状态信息上报</v>
      </c>
      <c r="K18" s="15" t="str">
        <v>情感空间</v>
      </c>
      <c r="P18" s="15" t="str">
        <v>P1</v>
      </c>
      <c r="Q18" s="16">
        <v>6.6</v>
      </c>
      <c r="R18" s="17" t="str">
        <v>✅ 架构已提供</v>
      </c>
      <c r="S18" s="14" t="str">
        <v>Pre-OTS版本-0804座舱转测</v>
      </c>
      <c r="T18" s="18" t="str">
        <v>Adapter_SD_keys 
E68 Adapter方案:https://sai-seres.feishu.cn/wiki/S2H1wC6vAiAYYEkvt7Wcif57nQg </v>
      </c>
      <c r="U18" s="14" t="str">
        <v>ID_BRAKE_PADEL_STATUS
SeresPlatformSDK.getSeresAdapter().registerCallback
SeresPlatformSDK.getSeresAdapter().getValue</v>
      </c>
      <c r="V18" s="16">
        <v>701</v>
      </c>
      <c r="W18" s="14" t="str">
        <v>冯鑫林</v>
      </c>
      <c r="X18" s="14" t="str">
        <v>ACS301Adapter</v>
      </c>
      <c r="Y18" s="20" t="inlineStr">
        <is>
          <r>
            <t>@朱婧雯</t>
          </r>
        </is>
      </c>
    </row>
    <row r="19" spans="3:25">
      <c r="C19" s="21" t="str">
        <v>加速踏板状态</v>
      </c>
      <c r="D19" s="22" t="str">
        <v>整车_加速踏板状态</v>
      </c>
      <c r="E19" s="22" t="str">
        <v>0=释放, 1=踩下, 2=Kickdown, 3=无效; 或开度0~100%</v>
      </c>
      <c r="G19" s="14" t="str">
        <v>DZT0006</v>
      </c>
      <c r="H19" s="14" t="str">
        <v>？</v>
      </c>
      <c r="I19" s="15" t="str">
        <v>VCS_CFG 车辆运动控制相关模式配置服务</v>
      </c>
      <c r="J19" s="15" t="str">
        <v>VehBaseDriveInfo车辆基础状态信息上报</v>
      </c>
      <c r="K19" s="15" t="str">
        <v>情感空间</v>
      </c>
      <c r="P19" s="15" t="str">
        <v>P1</v>
      </c>
      <c r="Q19" s="16">
        <v>6.6</v>
      </c>
      <c r="R19" s="17" t="str">
        <v>✅ 架构已提供</v>
      </c>
      <c r="S19" s="14" t="str">
        <v>Pre-OTS版本-0804座舱转测</v>
      </c>
      <c r="T19" s="18" t="str">
        <v>Adapter_SD_keys 
E68 Adapter方案:https://sai-seres.feishu.cn/wiki/S2H1wC6vAiAYYEkvt7Wcif57nQg </v>
      </c>
      <c r="U19" s="14" t="str">
        <v>ID_ACC_PEDAL_STATUS
SeresPlatformSDK.getSeresAdapter().registerCallback
SeresPlatformSDK.getSeresAdapter().getValue</v>
      </c>
      <c r="V19" s="16">
        <v>701</v>
      </c>
      <c r="W19" s="14" t="str">
        <v>冯鑫林</v>
      </c>
      <c r="X19" s="14" t="str">
        <v>ACS301Adapter</v>
      </c>
      <c r="Y19" s="20" t="inlineStr">
        <is>
          <r>
            <t>@朱婧雯</t>
          </r>
        </is>
      </c>
    </row>
    <row r="20" spans="3:25">
      <c r="C20" s="21" t="str">
        <v>方向盘转角</v>
      </c>
      <c r="D20" s="22" t="str">
        <v>转向_方向盘转角实际值</v>
      </c>
      <c r="E20" s="22" t="str">
        <v>-780~+779.9 deg (0.1 deg/bit);</v>
      </c>
      <c r="G20" s="14" t="str">
        <v>DZT0007</v>
      </c>
      <c r="H20" s="14" t="str">
        <v>已透传cdc</v>
      </c>
      <c r="I20" s="15" t="str">
        <v>VCS_CFG 车辆运动控制相关模式配置服务</v>
      </c>
      <c r="J20" s="15" t="str">
        <v>VehBaseDriveInfo车辆基础状态信息上报</v>
      </c>
      <c r="K20" s="15" t="str">
        <v>情感空间</v>
      </c>
      <c r="P20" s="15" t="str">
        <v>P0</v>
      </c>
      <c r="Q20" s="16">
        <v>6.6</v>
      </c>
      <c r="R20" s="17" t="str">
        <v>✅ 架构已提供</v>
      </c>
      <c r="S20" s="14" t="str">
        <v>Pre-OTS版本-0804座舱转测</v>
      </c>
      <c r="X20" s="14" t="str">
        <v>ACS301Adapter</v>
      </c>
      <c r="Y20" s="20" t="inlineStr">
        <is>
          <r>
            <t>@朱婧雯</t>
          </r>
        </is>
      </c>
    </row>
    <row r="21" spans="3:25">
      <c r="C21" s="21" t="str">
        <v>方向盘角速度</v>
      </c>
      <c r="D21" s="22" t="str">
        <v>转向_方向盘角速度实际值</v>
      </c>
      <c r="E21" s="22" t="str">
        <v>-3276.8~+3276.7 deg/s (0.1 deg/s/bit);</v>
      </c>
      <c r="G21" s="23" t="str">
        <v>DZT0269</v>
      </c>
      <c r="H21" s="14" t="str">
        <v>已透传cdc</v>
      </c>
      <c r="K21" s="15" t="str">
        <v>情感空间</v>
      </c>
      <c r="P21" s="15" t="str">
        <v>P0</v>
      </c>
      <c r="Q21" s="16">
        <v>6.13</v>
      </c>
      <c r="R21" s="17" t="str">
        <v>✅ 架构已提供</v>
      </c>
      <c r="S21" s="14" t="str">
        <v>Pre-OTS版本-0804座舱转测</v>
      </c>
      <c r="X21" s="14" t="str">
        <v>ACS301Adapter</v>
      </c>
      <c r="Y21" s="20" t="inlineStr">
        <is>
          <r>
            <t>@朱婧雯</t>
          </r>
        </is>
      </c>
    </row>
    <row r="22" spans="2:25">
      <c r="B22" s="22" t="str">
        <v>1.3 碰撞与制动状态</v>
      </c>
      <c r="C22" s="21" t="str">
        <v>电子手刹EPB状态</v>
      </c>
      <c r="D22" s="22" t="str">
        <v>制动_EPB状态</v>
      </c>
      <c r="E22" s="22" t="str">
        <v>0=释放, 1=施加, 2=过渡中, 3=故障; GB/T 32960</v>
      </c>
      <c r="G22" s="24" t="str">
        <v>DZT0412</v>
      </c>
      <c r="H22" s="14" t="str">
        <v>？</v>
      </c>
      <c r="P22" s="15" t="str">
        <v>P1</v>
      </c>
      <c r="Q22" s="16">
        <v>6.13</v>
      </c>
      <c r="R22" s="25" t="str">
        <v>🟡架构待新增</v>
      </c>
      <c r="X22" s="24" t="str">
        <v>ACS301Adapter</v>
      </c>
      <c r="Y22" s="20" t="inlineStr">
        <is>
          <r>
            <t>@陈杰</t>
          </r>
        </is>
      </c>
    </row>
    <row r="23" spans="3:25">
      <c r="C23" s="21" t="str">
        <v>自动紧急制动AEB激活状态</v>
      </c>
      <c r="D23" s="22" t="str">
        <v>制动_AEB激活状态</v>
      </c>
      <c r="E23" s="22" t="str">
        <v>0=未激活, 1=触发</v>
      </c>
      <c r="G23" s="23" t="str">
        <v>DZT0270</v>
      </c>
      <c r="H23" s="14" t="str">
        <v>已透传cdc</v>
      </c>
      <c r="K23" s="15" t="str">
        <v>情感空间</v>
      </c>
      <c r="P23" s="15" t="str">
        <v>P0</v>
      </c>
      <c r="Q23" s="16">
        <v>6.13</v>
      </c>
      <c r="R23" s="17" t="str">
        <v>✅ 架构已提供</v>
      </c>
      <c r="S23" s="14" t="str">
        <v>Pre-OTS版本-0804座舱转测</v>
      </c>
      <c r="X23" s="14" t="str">
        <v>ACS301Adapter</v>
      </c>
      <c r="Y23" s="20" t="inlineStr">
        <is>
          <r>
            <t>@朱婧雯</t>
          </r>
        </is>
      </c>
    </row>
    <row r="24" spans="3:25">
      <c r="C24" s="21" t="str">
        <v>舒适制动状态</v>
      </c>
      <c r="D24" s="22" t="str">
        <v>制动_舒适制动状态</v>
      </c>
      <c r="E24" s="22" t="str">
        <v>0=未激活, 1=激活, 2=故障</v>
      </c>
      <c r="G24" s="24" t="str">
        <v>DZT0413</v>
      </c>
      <c r="H24" s="14" t="str">
        <v>已透传cdc</v>
      </c>
      <c r="P24" s="15" t="str">
        <v>P0</v>
      </c>
      <c r="Q24" s="16">
        <v>6.13</v>
      </c>
      <c r="R24" s="25" t="str">
        <v>🟡架构待新增</v>
      </c>
      <c r="X24" s="24" t="str">
        <v>ACS301Adapter</v>
      </c>
      <c r="Y24" s="20" t="inlineStr">
        <is>
          <r>
            <t>@陈杰</t>
          </r>
        </is>
      </c>
    </row>
    <row r="25" spans="3:25">
      <c r="C25" s="21" t="str">
        <v>电子稳定控制系统ESC激活状态</v>
      </c>
      <c r="D25" s="22" t="str">
        <v>制动_ESC激活状态</v>
      </c>
      <c r="E25" s="22" t="str">
        <v>0=未激活, 1=不足转向, 2=过度转向, 3=横摆控制, 4=扭矩矢量, 5=稳定控制</v>
      </c>
      <c r="G25" s="24" t="str">
        <v>DZT0414</v>
      </c>
      <c r="H25" s="14" t="str">
        <v>已透传cdc</v>
      </c>
      <c r="I25" s="15" t="str">
        <v>VCS_CFG 车辆运动控制相关模式配置服务</v>
      </c>
      <c r="J25" s="15" t="str">
        <v>pwtWorkPara DriveMode</v>
      </c>
      <c r="K25" s="15" t="str">
        <v>天气路况保护</v>
      </c>
      <c r="P25" s="15" t="str">
        <v>P0</v>
      </c>
      <c r="Q25" s="16">
        <v>6.13</v>
      </c>
      <c r="R25" s="25" t="str">
        <v>🟡架构待新增</v>
      </c>
      <c r="X25" s="24" t="str">
        <v>ACS301Adapter</v>
      </c>
      <c r="Y25" s="20" t="inlineStr">
        <is>
          <r>
            <t>@张景波</t>
          </r>
        </is>
      </c>
    </row>
    <row r="26" spans="3:25">
      <c r="C26" s="21" t="str">
        <v>AVH自动驻车状态</v>
      </c>
      <c r="D26" s="22" t="str">
        <v>制动_AVH自动驻车状态</v>
      </c>
      <c r="E26" s="22" t="str">
        <v>0=关闭, 1=待机, 2=保持中, 3=释放中, 4=故障, 5=暂时不可用</v>
      </c>
      <c r="G26" s="24" t="str">
        <v>DZT0415</v>
      </c>
      <c r="H26" s="14" t="str">
        <v>已透传cdc</v>
      </c>
      <c r="P26" s="15" t="str">
        <v>P0</v>
      </c>
      <c r="Q26" s="16">
        <v>6.13</v>
      </c>
      <c r="R26" s="25" t="str">
        <v>🟡架构待新增</v>
      </c>
      <c r="X26" s="24" t="str">
        <v>ACS301Adapter</v>
      </c>
      <c r="Y26" s="20" t="inlineStr">
        <is>
          <r>
            <t>@陈杰</t>
          </r>
        </is>
      </c>
    </row>
    <row r="27" spans="3:25">
      <c r="C27" s="21" t="str">
        <v>HDC陡坡缓降状态</v>
      </c>
      <c r="D27" s="22" t="str">
        <v>制动_HDC陡坡缓降状态</v>
      </c>
      <c r="E27" s="22" t="str">
        <v>0=关闭, 1=待机, 2=激活, 3=被覆盖, 4=故障, 5=暂时不可用</v>
      </c>
      <c r="G27" s="24" t="str">
        <v>DZT0416</v>
      </c>
      <c r="H27" s="14" t="str">
        <v>已透传cdc</v>
      </c>
      <c r="P27" s="15" t="str">
        <v>P0</v>
      </c>
      <c r="Q27" s="16">
        <v>6.13</v>
      </c>
      <c r="R27" s="25" t="str">
        <v>🟡架构待新增</v>
      </c>
      <c r="X27" s="24" t="str">
        <v>ACS301Adapter</v>
      </c>
      <c r="Y27" s="20" t="inlineStr">
        <is>
          <r>
            <t>@陈杰</t>
          </r>
        </is>
      </c>
    </row>
    <row r="28" spans="2:25">
      <c r="B28" s="22" t="str">
        <v>1.4 智慧迎宾设置状态</v>
      </c>
      <c r="C28" s="21" t="str">
        <v>无感开车门设置状态</v>
      </c>
      <c r="D28" s="22" t="str">
        <v>整车_智慧迎宾无感开车门状态</v>
      </c>
      <c r="E28" s="22" t="str">
        <v>0=关闭, 1=多门无感开启(视觉), 2=UWB无感开主驾门</v>
      </c>
      <c r="G28" s="24" t="str">
        <v>DZT0417</v>
      </c>
      <c r="H28" s="14" t="str">
        <v>已透传cdc</v>
      </c>
      <c r="K28" s="15" t="str">
        <v>迎宾空间</v>
      </c>
      <c r="P28" s="15" t="str">
        <v>P0</v>
      </c>
      <c r="Q28" s="16">
        <v>6.13</v>
      </c>
      <c r="R28" s="17" t="str">
        <v>✅ 架构已提供</v>
      </c>
      <c r="X28" s="24" t="str">
        <v>ACS301Adapter</v>
      </c>
      <c r="Y28" s="20" t="inlineStr">
        <is>
          <r>
            <t>@宋章仪</t>
          </r>
        </is>
      </c>
    </row>
    <row r="29" spans="3:25">
      <c r="C29" s="21" t="str">
        <v>无感开备箱设置状态</v>
      </c>
      <c r="D29" s="22" t="str">
        <v>整车_智慧迎宾无感开备箱状态</v>
      </c>
      <c r="E29" s="22" t="str">
        <v>0=关闭, 1=开启</v>
      </c>
      <c r="G29" s="24" t="str">
        <v>DZT0418</v>
      </c>
      <c r="H29" s="14" t="str">
        <v>已透传cdc</v>
      </c>
      <c r="K29" s="15" t="str">
        <v>迎宾空间</v>
      </c>
      <c r="P29" s="15" t="str">
        <v>P0</v>
      </c>
      <c r="Q29" s="16">
        <v>6.13</v>
      </c>
      <c r="R29" s="25" t="str">
        <v>🟡架构待新增</v>
      </c>
      <c r="X29" s="24" t="str">
        <v>ACS301Adapter</v>
      </c>
      <c r="Y29" s="20" t="inlineStr">
        <is>
          <r>
            <t>@宋章仪</t>
          </r>
        </is>
      </c>
    </row>
    <row r="30" spans="3:25">
      <c r="C30" s="21" t="str">
        <v>窄道泊出迎宾设置状态</v>
      </c>
      <c r="D30" s="22" t="str">
        <v>整车_智慧迎宾窄道泊出状态</v>
      </c>
      <c r="E30" s="22" t="str">
        <v>0=关闭, 1=开启</v>
      </c>
      <c r="G30" s="24" t="str">
        <v>DZT0419</v>
      </c>
      <c r="H30" s="14" t="str">
        <v>已透传cdc</v>
      </c>
      <c r="K30" s="15" t="str">
        <v>迎宾空间</v>
      </c>
      <c r="P30" s="15" t="str">
        <v>P0</v>
      </c>
      <c r="Q30" s="16">
        <v>6.13</v>
      </c>
      <c r="R30" s="25" t="str">
        <v>🟡架构待新增</v>
      </c>
      <c r="X30" s="24" t="str">
        <v>ACS301Adapter</v>
      </c>
      <c r="Y30" s="20" t="inlineStr">
        <is>
          <r>
            <t>@宋章仪</t>
          </r>
        </is>
      </c>
    </row>
    <row r="31" spans="3:25">
      <c r="C31" s="21" t="str">
        <v>主驾便捷进出设置状态</v>
      </c>
      <c r="D31" s="22" t="str">
        <v>整车_智慧迎宾主驾便捷进出状态</v>
      </c>
      <c r="E31" s="22" t="str">
        <v>0=关闭, 1=开启</v>
      </c>
      <c r="G31" s="23" t="str">
        <v>DZT0271</v>
      </c>
      <c r="H31" s="14" t="str">
        <v>已透传cdc</v>
      </c>
      <c r="K31" s="15" t="str">
        <v>迎宾空间</v>
      </c>
      <c r="P31" s="15" t="str">
        <v>P0</v>
      </c>
      <c r="Q31" s="16">
        <v>6.13</v>
      </c>
      <c r="R31" s="17" t="str">
        <v>✅ 架构已提供</v>
      </c>
      <c r="S31" s="14" t="str">
        <v>Pre-OTS版本-0804座舱转测</v>
      </c>
      <c r="X31" s="14" t="str">
        <v>ACS301Adapter</v>
      </c>
      <c r="Y31" s="20" t="inlineStr">
        <is>
          <r>
            <t>@宋章仪</t>
          </r>
        </is>
      </c>
    </row>
    <row r="32" spans="2:25">
      <c r="B32" s="22" t="str">
        <v>1.5体感控车状态</v>
      </c>
      <c r="C32" s="21" t="str">
        <v>手势开车门设置状态</v>
      </c>
      <c r="D32" s="22" t="str">
        <v>整车_手势开车门状态</v>
      </c>
      <c r="E32" s="22" t="str">
        <v>0=关闭, 1=开启</v>
      </c>
      <c r="G32" s="24" t="str">
        <v>DZT0420</v>
      </c>
      <c r="H32" s="14" t="str">
        <v>已透传cdc</v>
      </c>
      <c r="K32" s="15" t="str">
        <v>迎宾空间</v>
      </c>
      <c r="P32" s="15" t="str">
        <v>P0</v>
      </c>
      <c r="Q32" s="16">
        <v>6.13</v>
      </c>
      <c r="R32" s="17" t="str">
        <v>✅ 架构已提供</v>
      </c>
      <c r="X32" s="24" t="str">
        <v>ACS301Adapter</v>
      </c>
      <c r="Y32" s="20" t="inlineStr">
        <is>
          <r>
            <t>@宋章仪</t>
          </r>
        </is>
      </c>
    </row>
    <row r="33" spans="3:25">
      <c r="C33" s="21" t="str">
        <v>手势开前/后备箱设置状态</v>
      </c>
      <c r="D33" s="22" t="str">
        <v>整车_手势开前后备箱状态</v>
      </c>
      <c r="E33" s="22" t="str">
        <v>0=关闭, 1=开启</v>
      </c>
      <c r="G33" s="24" t="str">
        <v>DZT0421</v>
      </c>
      <c r="H33" s="14" t="str">
        <v>已透传cdc</v>
      </c>
      <c r="K33" s="15" t="str">
        <v>迎宾空间</v>
      </c>
      <c r="P33" s="15" t="str">
        <v>P0</v>
      </c>
      <c r="Q33" s="16">
        <v>6.13</v>
      </c>
      <c r="R33" s="25" t="str">
        <v>🟡架构待新增</v>
      </c>
      <c r="X33" s="24" t="str">
        <v>ACS301Adapter</v>
      </c>
      <c r="Y33" s="20" t="inlineStr">
        <is>
          <r>
            <t>@宋章仪</t>
          </r>
        </is>
      </c>
    </row>
    <row r="34" spans="3:25">
      <c r="C34" s="21" t="str">
        <v>脚踢控制前/后备箱设置状态</v>
      </c>
      <c r="D34" s="22" t="str">
        <v>整车_脚踢控制前后备箱状态</v>
      </c>
      <c r="E34" s="22" t="str">
        <v>0=关闭, 1=开启</v>
      </c>
      <c r="G34" s="24" t="str">
        <v>DZT0422</v>
      </c>
      <c r="H34" s="14" t="str">
        <v>已透传cdc</v>
      </c>
      <c r="K34" s="15" t="str">
        <v>迎宾空间</v>
      </c>
      <c r="P34" s="15" t="str">
        <v>P0</v>
      </c>
      <c r="Q34" s="16">
        <v>6.13</v>
      </c>
      <c r="R34" s="25" t="str">
        <v>🟡架构待新增</v>
      </c>
      <c r="X34" s="24" t="str">
        <v>ACS301Adapter</v>
      </c>
      <c r="Y34" s="20" t="inlineStr">
        <is>
          <r>
            <t>@宋章仪</t>
          </r>
        </is>
      </c>
    </row>
    <row r="35" spans="3:25">
      <c r="C35" s="21" t="str">
        <v>手势泊出设置状态</v>
      </c>
      <c r="D35" s="22" t="str">
        <v>手势泊出设置状态</v>
      </c>
      <c r="E35" s="22" t="str">
        <v>0=关闭, 1=开启</v>
      </c>
      <c r="G35" s="24" t="str">
        <v>DZT0423</v>
      </c>
      <c r="H35" s="14" t="str">
        <v>已透传cdc</v>
      </c>
      <c r="K35" s="15" t="str">
        <v>迎宾空间</v>
      </c>
      <c r="P35" s="15" t="str">
        <v>P0</v>
      </c>
      <c r="Q35" s="16">
        <v>6.13</v>
      </c>
      <c r="R35" s="25" t="str">
        <v>🟡架构待新增</v>
      </c>
      <c r="X35" s="24" t="str">
        <v>ACS301Adapter</v>
      </c>
      <c r="Y35" s="20" t="inlineStr">
        <is>
          <r>
            <t>@宋章仪</t>
          </r>
        </is>
      </c>
    </row>
    <row r="36" spans="2:25">
      <c r="B36" s="22" t="str">
        <v>1.6 极限特性状态</v>
      </c>
      <c r="C36" s="21" t="str">
        <v>极致转弯设置状态</v>
      </c>
      <c r="D36" s="22" t="str">
        <v>底盘_iTurn工作状态</v>
      </c>
      <c r="E36" s="22" t="str">
        <v>0=关闭, 1=开启</v>
      </c>
      <c r="G36" s="24" t="str">
        <v>DZT0424</v>
      </c>
      <c r="H36" s="14" t="str">
        <v>没有</v>
      </c>
      <c r="P36" s="15" t="str">
        <v>P1</v>
      </c>
      <c r="Q36" s="16">
        <v>6.13</v>
      </c>
      <c r="R36" s="25" t="str">
        <v>🟡架构待新增</v>
      </c>
      <c r="X36" s="24" t="str">
        <v>ACS301Adapter</v>
      </c>
      <c r="Y36" s="20" t="inlineStr">
        <is>
          <r>
            <t>@陈杰</t>
          </r>
        </is>
      </c>
    </row>
    <row r="37" spans="3:25">
      <c r="C37" s="21" t="str">
        <v>圆规掉头工作状态</v>
      </c>
      <c r="D37" s="22" t="str">
        <v>底盘_圆规掉头工作状态</v>
      </c>
      <c r="E37" s="22" t="str">
        <v>0=未激活, 1=待机, 2=执行中, 3=已完成, 4=中止, 5=故障</v>
      </c>
      <c r="G37" s="24" t="str">
        <v>DZT0425</v>
      </c>
      <c r="H37" s="14" t="str">
        <v>没有</v>
      </c>
      <c r="P37" s="15" t="str">
        <v>P1</v>
      </c>
      <c r="Q37" s="16">
        <v>6.13</v>
      </c>
      <c r="R37" s="25" t="str">
        <v>🟡架构待新增</v>
      </c>
      <c r="X37" s="24" t="str">
        <v>ACS301Adapter</v>
      </c>
      <c r="Y37" s="20" t="inlineStr">
        <is>
          <r>
            <t>@陈杰</t>
          </r>
        </is>
      </c>
    </row>
    <row r="38" spans="2:25">
      <c r="B38" s="22" t="str">
        <v>1.7 空气悬架状态</v>
      </c>
      <c r="C38" s="21" t="str">
        <v>空气悬架维修模式状态</v>
      </c>
      <c r="D38" s="22" t="str">
        <v>悬架_维修模式状态</v>
      </c>
      <c r="E38" s="22" t="str">
        <v>0=未激活, 1=激活</v>
      </c>
      <c r="G38" s="23" t="str">
        <v>DZT0272</v>
      </c>
      <c r="H38" s="14" t="str">
        <v>已透传cdc</v>
      </c>
      <c r="P38" s="15" t="str">
        <v>P0</v>
      </c>
      <c r="Q38" s="16">
        <v>6.13</v>
      </c>
      <c r="R38" s="17" t="str">
        <v>✅ 架构已提供</v>
      </c>
      <c r="S38" s="14" t="str">
        <v>Pre-OTS版本-0804座舱转测</v>
      </c>
      <c r="T38" s="18" t="str">
        <v>Adapter_SD_keys </v>
      </c>
      <c r="U38" s="14" t="str">
        <v>ID_SUSPEN_MAINTENANCE_SWITCH</v>
      </c>
      <c r="V38" s="16">
        <v>716</v>
      </c>
      <c r="W38" s="14" t="str">
        <v>高扬</v>
      </c>
      <c r="X38" s="14" t="str">
        <v>ACS301Adapter</v>
      </c>
      <c r="Y38" s="20" t="inlineStr">
        <is>
          <r>
            <t>@陈杰</t>
          </r>
        </is>
      </c>
    </row>
    <row r="39" spans="3:25">
      <c r="C39" s="21" t="str">
        <v>轻松载物状态</v>
      </c>
      <c r="D39" s="22" t="str">
        <v>悬架_轻松载物状态</v>
      </c>
      <c r="E39" s="22" t="str">
        <v>0=未激活, 1=激活</v>
      </c>
      <c r="G39" s="24" t="str">
        <v>DZT0426</v>
      </c>
      <c r="H39" s="14" t="str">
        <v>？</v>
      </c>
      <c r="P39" s="15" t="str">
        <v>P1</v>
      </c>
      <c r="Q39" s="16">
        <v>6.13</v>
      </c>
      <c r="R39" s="25" t="str">
        <v>🟡架构待新增</v>
      </c>
      <c r="X39" s="24" t="str">
        <v>ACS301Adapter</v>
      </c>
      <c r="Y39" s="20" t="inlineStr">
        <is>
          <r>
            <t>@陈杰</t>
          </r>
        </is>
      </c>
    </row>
    <row r="40" spans="2:25">
      <c r="B40" s="22" t="str">
        <v>1.8 转向状态</v>
      </c>
      <c r="C40" s="21" t="str">
        <v>转向助力状态</v>
      </c>
      <c r="D40" s="22" t="str">
        <v>转向_助力状态</v>
      </c>
      <c r="E40" s="21" t="str">
        <v>舒适/标准/运动</v>
      </c>
      <c r="G40" s="23" t="str">
        <v>DZT0273</v>
      </c>
      <c r="H40" s="14" t="str">
        <v>已透传cdc</v>
      </c>
      <c r="I40" s="15" t="str">
        <v>VCS_CFG</v>
      </c>
      <c r="J40" s="15" t="str">
        <v>chsWorkPara</v>
      </c>
      <c r="P40" s="15" t="str">
        <v>P0</v>
      </c>
      <c r="Q40" s="16">
        <v>6.13</v>
      </c>
      <c r="R40" s="17" t="str">
        <v>✅ 架构已提供</v>
      </c>
      <c r="S40" s="14" t="str">
        <v>Pre-OTS版本-0804座舱转测</v>
      </c>
      <c r="T40" s="18" t="str">
        <v>Adapter_SD_keys </v>
      </c>
      <c r="U40" s="14" t="str">
        <v>ID_VCH_EPS_MODE</v>
      </c>
      <c r="V40" s="16">
        <v>716</v>
      </c>
      <c r="W40" s="14" t="str">
        <v>高扬</v>
      </c>
      <c r="X40" s="14" t="str">
        <v>ACS301Adapter</v>
      </c>
      <c r="Y40" s="20" t="inlineStr">
        <is>
          <r>
            <t>@陈杰</t>
          </r>
        </is>
      </c>
    </row>
    <row r="41" spans="1:25">
      <c r="A41" s="22" t="str">
        <v>二、动力/能量管理域</v>
      </c>
      <c r="B41" s="22" t="str">
        <v>2.1 充放电状态</v>
      </c>
      <c r="C41" s="27" t="str">
        <v>高压上下电状态</v>
      </c>
      <c r="D41" s="3" t="str">
        <v>高压上下电状态</v>
      </c>
      <c r="E41" s="3" t="str">
        <v>0x0:高压下电状态
0x1:高压上电状态
0xFF:无效值</v>
      </c>
      <c r="G41" s="23" t="str">
        <v>DZT0274</v>
      </c>
      <c r="H41" s="14" t="str">
        <v>没有</v>
      </c>
      <c r="I41" s="15" t="str">
        <v>EMS_HighVolt_CS</v>
      </c>
      <c r="J41" s="15" t="str">
        <v>HighVoltStatus</v>
      </c>
      <c r="K41" s="15" t="str">
        <v>松弛模式（AI）; 全环境感知</v>
      </c>
      <c r="P41" s="15" t="str">
        <v>P0</v>
      </c>
      <c r="Q41" s="16">
        <v>6.13</v>
      </c>
      <c r="R41" s="17" t="str">
        <v>✅ 架构已提供</v>
      </c>
      <c r="S41" s="14" t="str">
        <v>Pre-OTS版本-0804座舱转测</v>
      </c>
      <c r="T41" s="18" t="str">
        <v>车服务原子能力清单 </v>
      </c>
      <c r="U41" s="14" t="str">
        <v>ID_HV_POWER_DOWN_SWITCH</v>
      </c>
      <c r="V41" s="16">
        <v>716</v>
      </c>
      <c r="W41" s="14" t="str">
        <v>高扬</v>
      </c>
      <c r="X41" s="14" t="str">
        <v>ACS301Adapter</v>
      </c>
      <c r="Y41" s="20" t="inlineStr">
        <is>
          <r>
            <t>@许圣义</t>
          </r>
        </is>
      </c>
    </row>
    <row r="42" spans="3:25">
      <c r="C42" s="21" t="str">
        <v>充电枪连接状态</v>
      </c>
      <c r="D42" s="22" t="str">
        <v>电池_充电枪连接状态</v>
      </c>
      <c r="E42" s="22" t="str">
        <v>0=未连接, 1=连接, 2=连接中(未锁止)</v>
      </c>
      <c r="G42" s="24" t="str">
        <v>DZT0427</v>
      </c>
      <c r="H42" s="14" t="str">
        <v>没有</v>
      </c>
      <c r="K42" s="15" t="str">
        <v>增强哨兵</v>
      </c>
      <c r="P42" s="15" t="str">
        <v>P1</v>
      </c>
      <c r="Q42" s="16">
        <v>6.13</v>
      </c>
      <c r="R42" s="25" t="str">
        <v>🟡架构待新增</v>
      </c>
      <c r="X42" s="24" t="str">
        <v>ACS301Adapter</v>
      </c>
      <c r="Y42" s="20" t="inlineStr">
        <is>
          <r>
            <t>@张姝娴</t>
          </r>
        </is>
      </c>
    </row>
    <row r="43" spans="3:25">
      <c r="C43" s="21" t="str">
        <v>充电状态</v>
      </c>
      <c r="D43" s="22" t="str">
        <v>电池_充电状态</v>
      </c>
      <c r="E43" s="22" t="str">
        <v>0=未充电, 1=充电中, 2=充电完成, 3=充电故障, 4=充电暂停, 5=预充中, 6=均衡充</v>
      </c>
      <c r="G43" s="14" t="str">
        <v>DZT0008</v>
      </c>
      <c r="H43" s="14" t="str">
        <v>已透传cdc</v>
      </c>
      <c r="I43" s="15" t="str">
        <v>EMS_ChrgDchrg_CS充放电功能</v>
      </c>
      <c r="J43" s="15" t="str">
        <v>ChrgDchrgStatus.ChargeStatus.CS_ChargeStatus</v>
      </c>
      <c r="K43" s="15" t="str">
        <v>充电管家</v>
      </c>
      <c r="P43" s="15" t="str">
        <v>P1</v>
      </c>
      <c r="Q43" s="16">
        <v>6.6</v>
      </c>
      <c r="R43" s="17" t="str">
        <v>✅ 架构已提供</v>
      </c>
      <c r="S43" s="14" t="str">
        <v>Pre-OTS版本-0804座舱转测</v>
      </c>
      <c r="T43" s="18" t="str">
        <v>车服务原子能力清单 </v>
      </c>
      <c r="U43" s="26" t="str">
        <v>ACTION_VEHICLE_CHARGE_STATUS</v>
      </c>
      <c r="V43" s="16">
        <v>629</v>
      </c>
      <c r="W43" s="14" t="str">
        <v>陈海军</v>
      </c>
      <c r="X43" s="14" t="str">
        <v>ACS301Adapter</v>
      </c>
      <c r="Y43" s="20" t="inlineStr">
        <is>
          <r>
            <t>@刘多</t>
          </r>
        </is>
      </c>
    </row>
    <row r="44" spans="3:25">
      <c r="C44" s="21" t="str">
        <v>充电剩余时长</v>
      </c>
      <c r="D44" s="22" t="str">
        <v>电池_充电剩余时长值</v>
      </c>
      <c r="E44" s="22" t="str">
        <v>0~65535 min, 分辨率1 min</v>
      </c>
      <c r="G44" s="24" t="str">
        <v>DZT0428</v>
      </c>
      <c r="H44" s="14" t="str">
        <v>没有</v>
      </c>
      <c r="K44" s="15" t="str">
        <v>充电管家</v>
      </c>
      <c r="P44" s="15" t="str">
        <v>P1</v>
      </c>
      <c r="Q44" s="16">
        <v>6.13</v>
      </c>
      <c r="R44" s="25" t="str">
        <v>🟡架构待新增</v>
      </c>
      <c r="X44" s="24" t="str">
        <v>ACS31车辆设置</v>
      </c>
      <c r="Y44" s="20" t="inlineStr">
        <is>
          <r>
            <t>@刘多</t>
          </r>
        </is>
      </c>
    </row>
    <row r="45" spans="3:25">
      <c r="C45" s="21" t="str">
        <v>放电限值设置信息</v>
      </c>
      <c r="D45" s="22" t="str">
        <v>电池_放电功能设置</v>
      </c>
      <c r="E45" s="22" t="str">
        <v>15%-80%</v>
      </c>
      <c r="G45" s="23" t="str">
        <v>DZT0275</v>
      </c>
      <c r="H45" s="14" t="str">
        <v>没有</v>
      </c>
      <c r="I45" s="15" t="str">
        <v>EMS_ChrgDchrg_CS充放电功能</v>
      </c>
      <c r="J45" s="15" t="str">
        <v>ChrgDchrgPara.ChargePara.ChargeEndSOC</v>
      </c>
      <c r="K45" s="15" t="str">
        <v>充电管家</v>
      </c>
      <c r="P45" s="15" t="str">
        <v>P0</v>
      </c>
      <c r="Q45" s="16">
        <v>6.13</v>
      </c>
      <c r="R45" s="17" t="str">
        <v>✅ 架构已提供</v>
      </c>
      <c r="S45" s="14" t="str">
        <v>Pre-OTS版本-0804座舱转测</v>
      </c>
      <c r="T45" s="18" t="str">
        <v>车服务原子能力清单 </v>
      </c>
      <c r="U45" s="14" t="str">
        <v>ACTION_VEHICLE_DISCHARGE_SOC_LIMIT</v>
      </c>
      <c r="V45" s="16">
        <v>629</v>
      </c>
      <c r="W45" s="14" t="str">
        <v>肖奇</v>
      </c>
      <c r="X45" s="14" t="str">
        <v>ACS31车辆设置</v>
      </c>
      <c r="Y45" s="20" t="inlineStr">
        <is>
          <r>
            <t>@刘多</t>
          </r>
        </is>
      </c>
    </row>
    <row r="46" spans="3:25">
      <c r="C46" s="21" t="str">
        <v>充电上限设置状态</v>
      </c>
      <c r="D46" s="22" t="str">
        <v>电池_充电上限设置值</v>
      </c>
      <c r="E46" s="22" t="str">
        <v>50%~100%</v>
      </c>
      <c r="G46" s="14" t="str">
        <v>DZT0009</v>
      </c>
      <c r="H46" s="14" t="str">
        <v>已透传cdc</v>
      </c>
      <c r="I46" s="15" t="str">
        <v>EMS_ChrgDchrg_CS充放电功能</v>
      </c>
      <c r="J46" s="15" t="str">
        <v>ChrgDchrgPara.ChargePara.ChargeEndSOC</v>
      </c>
      <c r="K46" s="15" t="str">
        <v>充电管家</v>
      </c>
      <c r="P46" s="15" t="str">
        <v>P1</v>
      </c>
      <c r="Q46" s="16">
        <v>6.6</v>
      </c>
      <c r="R46" s="17" t="str">
        <v>✅ 架构已提供</v>
      </c>
      <c r="S46" s="14" t="str">
        <v>Pre-OTS版本-0804座舱转测</v>
      </c>
      <c r="T46" s="18" t="str">
        <v>车服务原子能力清单 </v>
      </c>
      <c r="U46" s="14" t="str">
        <v>ACTION_VEHICLE_CHARGE_SOC_LIMIT</v>
      </c>
      <c r="V46" s="16">
        <v>629</v>
      </c>
      <c r="W46" s="14" t="str">
        <v>陈海军</v>
      </c>
      <c r="X46" s="14" t="str">
        <v>ACS301Adapter</v>
      </c>
      <c r="Y46" s="20" t="inlineStr">
        <is>
          <r>
            <t>@刘多</t>
          </r>
        </is>
      </c>
    </row>
    <row r="47" spans="3:25">
      <c r="C47" s="21" t="str">
        <v>预约充电功能状态</v>
      </c>
      <c r="D47" s="22" t="str">
        <v>预约充电开闭按钮</v>
      </c>
      <c r="E47" s="22" t="str">
        <v>开启/关闭</v>
      </c>
      <c r="G47" s="24" t="str">
        <v>DZT0429</v>
      </c>
      <c r="H47" s="14" t="str">
        <v>没有</v>
      </c>
      <c r="K47" s="15" t="str">
        <v>充电管家</v>
      </c>
      <c r="P47" s="15" t="str">
        <v>P1</v>
      </c>
      <c r="Q47" s="16">
        <v>6.13</v>
      </c>
      <c r="R47" s="25" t="str">
        <v>🟡架构待新增</v>
      </c>
      <c r="X47" s="24" t="str">
        <v>ACS31车辆设置</v>
      </c>
      <c r="Y47" s="20" t="inlineStr">
        <is>
          <r>
            <t>@刘多</t>
          </r>
        </is>
      </c>
    </row>
    <row r="48" spans="3:25">
      <c r="C48" s="21" t="str">
        <v>预约充电设置时间设置</v>
      </c>
      <c r="D48" s="22" t="str">
        <v>时间设置</v>
      </c>
      <c r="E48" s="22" t="str">
        <v>设置时间戳</v>
      </c>
      <c r="G48" s="24" t="str">
        <v>DZT0430</v>
      </c>
      <c r="H48" s="14" t="str">
        <v>没有</v>
      </c>
      <c r="K48" s="15" t="str">
        <v>充电管家</v>
      </c>
      <c r="P48" s="15" t="str">
        <v>P1</v>
      </c>
      <c r="Q48" s="16">
        <v>6.13</v>
      </c>
      <c r="R48" s="17" t="str">
        <v>🔄座舱内闭环</v>
      </c>
      <c r="X48" s="24" t="str">
        <v>ACS31车辆设置</v>
      </c>
      <c r="Y48" s="20" t="inlineStr">
        <is>
          <r>
            <t>@刘多</t>
          </r>
        </is>
      </c>
    </row>
    <row r="49" spans="3:25">
      <c r="C49" s="21" t="str">
        <v>固定地点预约充电设置状态</v>
      </c>
      <c r="D49" s="22" t="str">
        <v>固定地点预约充电设置状态</v>
      </c>
      <c r="E49" s="22" t="str">
        <v>打开/关闭</v>
      </c>
      <c r="G49" s="24" t="str">
        <v>DZT0431</v>
      </c>
      <c r="H49" s="14" t="str">
        <v>没有</v>
      </c>
      <c r="K49" s="15" t="str">
        <v>充电管家</v>
      </c>
      <c r="P49" s="15" t="str">
        <v>P1</v>
      </c>
      <c r="Q49" s="16">
        <v>6.13</v>
      </c>
      <c r="R49" s="17" t="str">
        <v>🔄座舱内闭环</v>
      </c>
      <c r="X49" s="24" t="str">
        <v>ACS31车辆设置</v>
      </c>
      <c r="Y49" s="20" t="inlineStr">
        <is>
          <r>
            <t>@刘多</t>
          </r>
        </is>
      </c>
    </row>
    <row r="50" spans="3:25">
      <c r="C50" s="21" t="str">
        <v>固定地点预约充电设置地点</v>
      </c>
      <c r="D50" s="22" t="str">
        <v>固定地点预约充电设置地点</v>
      </c>
      <c r="E50" s="22" t="str">
        <v>-</v>
      </c>
      <c r="G50" s="24" t="str">
        <v>DZT0432</v>
      </c>
      <c r="H50" s="14" t="str">
        <v>没有</v>
      </c>
      <c r="K50" s="15" t="str">
        <v>充电管家</v>
      </c>
      <c r="P50" s="15" t="str">
        <v>P1</v>
      </c>
      <c r="Q50" s="16">
        <v>6.13</v>
      </c>
      <c r="R50" s="17" t="str">
        <v>🔄座舱内闭环</v>
      </c>
      <c r="X50" s="24" t="str">
        <v>ACS31车辆设置</v>
      </c>
      <c r="Y50" s="20" t="inlineStr">
        <is>
          <r>
            <t>@刘多</t>
          </r>
        </is>
      </c>
    </row>
    <row r="51" spans="3:25">
      <c r="C51" s="21" t="str">
        <v>固定地点预约充电设置时间</v>
      </c>
      <c r="D51" s="22" t="str">
        <v>固定地点预约充电设置时间</v>
      </c>
      <c r="E51" s="22" t="str">
        <v>设置时间戳</v>
      </c>
      <c r="G51" s="24" t="str">
        <v>DZT0433</v>
      </c>
      <c r="H51" s="14" t="str">
        <v>没有</v>
      </c>
      <c r="K51" s="15" t="str">
        <v>充电管家</v>
      </c>
      <c r="P51" s="15" t="str">
        <v>P1</v>
      </c>
      <c r="Q51" s="16">
        <v>6.13</v>
      </c>
      <c r="R51" s="17" t="str">
        <v>🔄座舱内闭环</v>
      </c>
      <c r="X51" s="24" t="str">
        <v>ACS31车辆设置</v>
      </c>
      <c r="Y51" s="20" t="inlineStr">
        <is>
          <r>
            <t>@刘多</t>
          </r>
        </is>
      </c>
    </row>
    <row r="52" spans="3:25">
      <c r="C52" s="21" t="str">
        <v>离车不下电模式状态</v>
      </c>
      <c r="D52" s="22" t="str">
        <v>电池_离车不下电模式状态</v>
      </c>
      <c r="E52" s="22" t="str">
        <v>0=关闭, 1=开启</v>
      </c>
      <c r="G52" s="24" t="str">
        <v>DZT0434</v>
      </c>
      <c r="H52" s="14" t="str">
        <v>没有</v>
      </c>
      <c r="P52" s="15" t="str">
        <v>P1</v>
      </c>
      <c r="Q52" s="16">
        <v>6.13</v>
      </c>
      <c r="R52" s="25" t="str">
        <v>🟡架构待新增</v>
      </c>
      <c r="X52" s="24" t="str">
        <v>ACS31车辆设置</v>
      </c>
      <c r="Y52" s="20" t="inlineStr">
        <is>
          <r>
            <t>@陈杰</t>
          </r>
        </is>
      </c>
    </row>
    <row r="53" spans="3:25">
      <c r="C53" s="21" t="str">
        <v>220V电源开关状态</v>
      </c>
      <c r="D53" s="22" t="str">
        <v>电池_220V电源开关状态</v>
      </c>
      <c r="E53" s="22" t="str">
        <v>0=关闭, 1=开启</v>
      </c>
      <c r="G53" s="24" t="str">
        <v>DZT0435</v>
      </c>
      <c r="H53" s="14" t="str">
        <v>没有</v>
      </c>
      <c r="P53" s="15" t="str">
        <v>P1</v>
      </c>
      <c r="Q53" s="16">
        <v>6.13</v>
      </c>
      <c r="R53" s="25" t="str">
        <v>🟡架构待新增</v>
      </c>
      <c r="X53" s="24" t="str">
        <v>ACS31车辆设置</v>
      </c>
      <c r="Y53" s="20" t="inlineStr">
        <is>
          <r>
            <t>@陈杰</t>
          </r>
        </is>
      </c>
    </row>
    <row r="54" spans="2:25">
      <c r="B54" s="22" t="str">
        <v>2.2 增程器</v>
      </c>
      <c r="C54" s="21" t="str">
        <v>增程器状态</v>
      </c>
      <c r="D54" s="22" t="str">
        <v>增程器状态</v>
      </c>
      <c r="E54" s="22" t="str">
        <v>运行中/停止</v>
      </c>
      <c r="H54" s="14" t="str">
        <v>没有</v>
      </c>
      <c r="O54" s="14" t="str">
        <v>平台化预留，E68无配置</v>
      </c>
      <c r="P54" s="15" t="str">
        <v>P2</v>
      </c>
      <c r="Q54" s="16">
        <v>6.13</v>
      </c>
      <c r="R54" s="25" t="str">
        <v>🟡架构待新增</v>
      </c>
      <c r="Y54" s="20" t="inlineStr">
        <is>
          <r>
            <t>@陈杰</t>
          </r>
        </is>
      </c>
    </row>
    <row r="55" spans="3:25">
      <c r="C55" s="21" t="str">
        <v>能源模式</v>
      </c>
      <c r="D55" s="21" t="str">
        <v>能源模式</v>
      </c>
      <c r="E55" s="13" t="str">
        <v>AI增程/纯电优先/强制纯电/燃油优先/强制发电</v>
      </c>
      <c r="G55" s="28" t="str">
        <v>DZT0436</v>
      </c>
      <c r="K55" s="26" t="str">
        <v>充电管家</v>
      </c>
      <c r="L55" s="29">
        <v>46203</v>
      </c>
      <c r="Q55" s="30">
        <v>7.15</v>
      </c>
      <c r="X55" s="28" t="str">
        <v>ACS31车辆设置</v>
      </c>
      <c r="Y55" s="28" t="inlineStr">
        <is>
          <r>
            <t>@刘多</t>
          </r>
        </is>
      </c>
    </row>
    <row r="56" spans="2:25">
      <c r="B56" s="22" t="str">
        <v>2.3 电池包状态</v>
      </c>
      <c r="C56" s="21" t="str">
        <v>电池SOC值</v>
      </c>
      <c r="D56" s="22" t="str">
        <v>电池_SOC值</v>
      </c>
      <c r="E56" s="22" t="str">
        <v>0~100%, 分辨率0.1%, 0~1000; GB/T 32960.3</v>
      </c>
      <c r="G56" s="14" t="str">
        <v>DZT0010</v>
      </c>
      <c r="H56" s="14" t="str">
        <v>已透传cdc</v>
      </c>
      <c r="I56" s="15" t="str">
        <v>EMS_Battery_CS电池包服务</v>
      </c>
      <c r="J56" s="15" t="str">
        <v>BatteryWorkStatus.HvBatterySOC</v>
      </c>
      <c r="K56" s="15" t="str">
        <v>充电管家</v>
      </c>
      <c r="P56" s="15" t="str">
        <v>P0</v>
      </c>
      <c r="Q56" s="16">
        <v>6.6</v>
      </c>
      <c r="R56" s="17" t="str">
        <v>✅ 架构已提供</v>
      </c>
      <c r="S56" s="14" t="str">
        <v>Pre-OTS版本-0804座舱转测</v>
      </c>
      <c r="T56" s="18" t="str">
        <v>车服务原子能力清单 </v>
      </c>
      <c r="U56" s="14" t="str">
        <v>ACTION_VEHICLE_SOC</v>
      </c>
      <c r="V56" s="16">
        <v>629</v>
      </c>
      <c r="W56" s="14" t="str">
        <v>陈海军</v>
      </c>
      <c r="X56" s="14" t="str">
        <v>ACS301Adapter</v>
      </c>
      <c r="Y56" s="20" t="inlineStr">
        <is>
          <r>
            <t>@刘多</t>
          </r>
        </is>
      </c>
    </row>
    <row r="57" spans="3:25">
      <c r="C57" s="21" t="str">
        <v>电池温度</v>
      </c>
      <c r="D57" s="22" t="str">
        <v>电池_温度值</v>
      </c>
      <c r="E57" s="22" t="str">
        <v>-40~85 degC, 分辨率1 degC, 偏移量-40</v>
      </c>
      <c r="G57" s="24" t="str">
        <v>DZT0437</v>
      </c>
      <c r="H57" s="14" t="str">
        <v>？</v>
      </c>
      <c r="P57" s="15" t="str">
        <v>P1</v>
      </c>
      <c r="Q57" s="16">
        <v>6.13</v>
      </c>
      <c r="R57" s="25" t="str">
        <v>🟡架构待新增</v>
      </c>
      <c r="X57" s="24" t="str">
        <v>ACS301Adapter</v>
      </c>
      <c r="Y57" s="20" t="inlineStr">
        <is>
          <r>
            <t>@陈杰</t>
          </r>
        </is>
      </c>
    </row>
    <row r="58" spans="2:25">
      <c r="B58" s="22" t="str">
        <v>2.4 里程状态</v>
      </c>
      <c r="C58" s="21" t="str">
        <v>累计里程统计信息</v>
      </c>
      <c r="D58" s="22" t="str">
        <v>累计里程统计值</v>
      </c>
      <c r="E58" s="22" t="str">
        <v>0~999999.9 km, 分辨率0.1 km</v>
      </c>
      <c r="G58" s="24" t="str">
        <v>DZT0438</v>
      </c>
      <c r="H58" s="14" t="str">
        <v>已透传cdc</v>
      </c>
      <c r="I58" s="15" t="str">
        <v>EMS_MILEAGE里程相关服务接口</v>
      </c>
      <c r="J58" s="15" t="str">
        <v>statsMileage.StatsMileageInfo</v>
      </c>
      <c r="K58" s="15" t="str">
        <v>充电管家</v>
      </c>
      <c r="P58" s="15" t="str">
        <v>P0</v>
      </c>
      <c r="Q58" s="16">
        <v>6.13</v>
      </c>
      <c r="R58" s="17" t="str">
        <v>✅ 架构已提供</v>
      </c>
      <c r="X58" s="24" t="str">
        <v>ACS301Adapter</v>
      </c>
      <c r="Y58" s="20" t="inlineStr">
        <is>
          <r>
            <t>@刘多</t>
          </r>
        </is>
      </c>
    </row>
    <row r="59" spans="3:25">
      <c r="C59" s="21" t="str">
        <v>纯电累计里程信息</v>
      </c>
      <c r="D59" s="22" t="str">
        <v>纯电累计里程值</v>
      </c>
      <c r="E59" s="22" t="str">
        <v>0~999999.9 km, 分辨率0.1 km</v>
      </c>
      <c r="G59" s="24" t="str">
        <v>DZT0439</v>
      </c>
      <c r="H59" s="14" t="str">
        <v>?</v>
      </c>
      <c r="I59" s="15" t="str">
        <v>EMS_MILEAGE里程相关服务接口</v>
      </c>
      <c r="J59" s="15" t="str">
        <v>statsMileage.StatsMileageInfo</v>
      </c>
      <c r="K59" s="15" t="str">
        <v>充电管家</v>
      </c>
      <c r="P59" s="15" t="str">
        <v>P1</v>
      </c>
      <c r="Q59" s="16">
        <v>6.13</v>
      </c>
      <c r="R59" s="17" t="str">
        <v>✅ 架构已提供</v>
      </c>
      <c r="X59" s="24" t="str">
        <v>ACS301Adapter</v>
      </c>
      <c r="Y59" s="20" t="inlineStr">
        <is>
          <r>
            <t>@刘多</t>
          </r>
        </is>
      </c>
    </row>
    <row r="60" spans="3:25">
      <c r="C60" s="21" t="str">
        <v>燃油累计里程信息</v>
      </c>
      <c r="D60" s="22" t="str">
        <v>燃油累计里程值</v>
      </c>
      <c r="E60" s="22" t="str">
        <v>0~999999.9 km, 分辨率0.1 km</v>
      </c>
      <c r="H60" s="14" t="str">
        <v>/</v>
      </c>
      <c r="I60" s="15" t="str">
        <v>EMS_MILEAGE里程相关服务接口</v>
      </c>
      <c r="J60" s="15" t="str">
        <v>statsMileage.StatsMileageInfo</v>
      </c>
      <c r="O60" s="14" t="str">
        <v>平台化预留，E68无配置</v>
      </c>
      <c r="P60" s="15" t="str">
        <v>P2</v>
      </c>
      <c r="Q60" s="16">
        <v>6.13</v>
      </c>
      <c r="R60" s="25" t="str">
        <v>🟡架构待新增</v>
      </c>
      <c r="Y60" s="20" t="inlineStr">
        <is>
          <r>
            <t>@陈杰</t>
          </r>
        </is>
      </c>
    </row>
    <row r="61" spans="3:25">
      <c r="C61" s="21" t="str">
        <v>综合续航里程信息</v>
      </c>
      <c r="D61" s="22" t="str">
        <v>综合续航里程值</v>
      </c>
      <c r="E61" s="22" t="str">
        <v>0~999999.9 km, 分辨率0.1 km</v>
      </c>
      <c r="G61" s="14" t="str">
        <v>DZT0011</v>
      </c>
      <c r="H61" s="14" t="str">
        <v>已透传cdc</v>
      </c>
      <c r="I61" s="15" t="str">
        <v>EMS_MILEAGE里程相关服务接口</v>
      </c>
      <c r="J61" s="15" t="str">
        <v>edrMileage.EdrMileageInstance</v>
      </c>
      <c r="K61" s="15" t="str">
        <v>充电管家</v>
      </c>
      <c r="P61" s="15" t="str">
        <v>P0</v>
      </c>
      <c r="Q61" s="16">
        <v>6.6</v>
      </c>
      <c r="R61" s="17" t="str">
        <v>✅ 架构已提供</v>
      </c>
      <c r="S61" s="14" t="str">
        <v>Pre-OTS版本-0804座舱转测</v>
      </c>
      <c r="T61" s="18" t="str">
        <v>车服务原子能力清单 </v>
      </c>
      <c r="U61" s="14" t="str">
        <v>ACTION_VEHICLE_THIS_TYPE_TOTAL_DISTANCE</v>
      </c>
      <c r="V61" s="16">
        <v>713</v>
      </c>
      <c r="W61" s="14" t="str">
        <v>陈海军</v>
      </c>
      <c r="X61" s="14" t="str">
        <v>ACS301Adapter</v>
      </c>
      <c r="Y61" s="20" t="inlineStr">
        <is>
          <r>
            <t>@刘多</t>
          </r>
        </is>
      </c>
    </row>
    <row r="62" spans="3:25">
      <c r="C62" s="21" t="str">
        <v>燃油续航里程信息</v>
      </c>
      <c r="D62" s="22" t="str">
        <v>燃油续航里程值</v>
      </c>
      <c r="E62" s="22" t="str">
        <v>0~999999.9 km, 分辨率0.1 km</v>
      </c>
      <c r="H62" s="14" t="str">
        <v>/</v>
      </c>
      <c r="O62" s="14" t="str">
        <v>平台化预留，E68无配置</v>
      </c>
      <c r="P62" s="15" t="str">
        <v>P2</v>
      </c>
      <c r="Q62" s="16">
        <v>6.13</v>
      </c>
      <c r="R62" s="25" t="str">
        <v>🟡架构待新增</v>
      </c>
      <c r="Y62" s="20" t="inlineStr">
        <is>
          <r>
            <t>@陈杰</t>
          </r>
        </is>
      </c>
    </row>
    <row r="63" spans="3:25">
      <c r="C63" s="21" t="str">
        <v>纯电续航里程信息</v>
      </c>
      <c r="D63" s="22" t="str">
        <v>纯电续航里程值</v>
      </c>
      <c r="E63" s="22" t="str">
        <v>0~999999.9 km, 分辨率0.1 km</v>
      </c>
      <c r="G63" s="14" t="str">
        <v>DZT0012</v>
      </c>
      <c r="H63" s="14" t="str">
        <v>已透传cdc</v>
      </c>
      <c r="I63" s="15" t="str">
        <v>EMS_MILEAGE里程相关服务接口</v>
      </c>
      <c r="J63" s="15" t="str">
        <v>edrMileage.EdrMileageInstance</v>
      </c>
      <c r="K63" s="15" t="str">
        <v>充电管家</v>
      </c>
      <c r="P63" s="15" t="str">
        <v>P0</v>
      </c>
      <c r="Q63" s="16">
        <v>6.6</v>
      </c>
      <c r="R63" s="17" t="str">
        <v>✅ 架构已提供</v>
      </c>
      <c r="S63" s="14" t="str">
        <v>Pre-OTS版本-0804座舱转测</v>
      </c>
      <c r="T63" s="18" t="str">
        <v>车服务原子能力清单 </v>
      </c>
      <c r="U63" s="14" t="str">
        <v>ACTION_VEHICLE_THIS_TYPE_ELE_DISTANCE</v>
      </c>
      <c r="V63" s="16">
        <v>713</v>
      </c>
      <c r="W63" s="14" t="str">
        <v>陈海军</v>
      </c>
      <c r="X63" s="14" t="str">
        <v>ACS301Adapter</v>
      </c>
      <c r="Y63" s="20" t="inlineStr">
        <is>
          <r>
            <t>@刘多</t>
          </r>
        </is>
      </c>
    </row>
    <row r="64" spans="3:25">
      <c r="C64" s="21" t="str">
        <v>续航里程类型</v>
      </c>
      <c r="D64" s="22" t="str">
        <v>车辆模式_续航里程类型</v>
      </c>
      <c r="E64" s="22" t="str">
        <v>0=CLTC续航, 1=WLTC续航, 2=NEDC续航, 3=实际续航(动态估算)</v>
      </c>
      <c r="G64" s="24" t="str">
        <v>DZT0440</v>
      </c>
      <c r="H64" s="14" t="str">
        <v>已透传cdc</v>
      </c>
      <c r="P64" s="15" t="str">
        <v>P0</v>
      </c>
      <c r="Q64" s="16">
        <v>6.13</v>
      </c>
      <c r="R64" s="25" t="str">
        <v>🟡架构待新增</v>
      </c>
      <c r="X64" s="24" t="str">
        <v>ACS301Adapter</v>
      </c>
      <c r="Y64" s="20" t="inlineStr">
        <is>
          <r>
            <t>@陈杰</t>
          </r>
        </is>
      </c>
    </row>
    <row r="65" spans="3:25">
      <c r="C65" s="21" t="str">
        <v>行驶里程(单次行程)</v>
      </c>
      <c r="D65" s="22" t="str">
        <v>车辆模式_单次行程里程值</v>
      </c>
      <c r="E65" s="22" t="str">
        <v>0~6553.5 km, 分辨率0.1 km</v>
      </c>
      <c r="G65" s="23" t="str">
        <v>DZT0276</v>
      </c>
      <c r="H65" s="14" t="str">
        <v>已透传cdc</v>
      </c>
      <c r="I65" s="15" t="str">
        <v>EMS_MILEAGE里程相关服务接口</v>
      </c>
      <c r="J65" s="15" t="str">
        <v>statsMileage.StatsMileageInfo</v>
      </c>
      <c r="K65" s="15" t="str">
        <v>充电管家</v>
      </c>
      <c r="P65" s="15" t="str">
        <v>P0</v>
      </c>
      <c r="Q65" s="16">
        <v>6.13</v>
      </c>
      <c r="R65" s="17" t="str">
        <v>✅ 架构已提供</v>
      </c>
      <c r="S65" s="14" t="str">
        <v>Pre-OTS版本-0804座舱转测</v>
      </c>
      <c r="T65" s="18" t="str">
        <v>车服务原子能力清单 </v>
      </c>
      <c r="U65" s="14" t="str">
        <v>ACTION_VEHICLE_CURRENT_DISTANCE</v>
      </c>
      <c r="V65" s="16">
        <v>713</v>
      </c>
      <c r="W65" s="14" t="str">
        <v>翟思敏</v>
      </c>
      <c r="X65" s="14" t="str">
        <v>ACS31车辆设置</v>
      </c>
      <c r="Y65" s="20" t="inlineStr">
        <is>
          <r>
            <t>@刘多</t>
          </r>
        </is>
      </c>
    </row>
    <row r="66" spans="3:25">
      <c r="C66" s="21" t="str">
        <v>持续驾驶时长</v>
      </c>
      <c r="D66" s="22" t="str">
        <v>车辆模式_持续驾驶时长值</v>
      </c>
      <c r="E66" s="22" t="str">
        <v>0~65535 min, 分辨率1 min</v>
      </c>
      <c r="G66" s="14" t="str">
        <v>DZT0013</v>
      </c>
      <c r="H66" s="14" t="str">
        <v>已透传cdc</v>
      </c>
      <c r="I66" s="15" t="str">
        <v>EMS_MILEAGE里程相关服务接口</v>
      </c>
      <c r="J66" s="15" t="str">
        <v>statsMileage.StatsMileageInfo</v>
      </c>
      <c r="K66" s="15" t="str">
        <v>充电管家</v>
      </c>
      <c r="P66" s="15" t="str">
        <v>P0</v>
      </c>
      <c r="Q66" s="16">
        <v>6.6</v>
      </c>
      <c r="R66" s="17" t="str">
        <v>✅ 架构已提供</v>
      </c>
      <c r="S66" s="14" t="str">
        <v>Pre-OTS版本-0804座舱转测</v>
      </c>
      <c r="T66" s="18" t="str">
        <v>Adapter_SD_keys 
E68 Adapter方案:https://sai-seres.feishu.cn/wiki/S2H1wC6vAiAYYEkvt7Wcif57nQg </v>
      </c>
      <c r="U66" s="26" t="str">
        <v>ID_TIME_THIS_TIME</v>
      </c>
      <c r="V66" s="16">
        <v>713</v>
      </c>
      <c r="W66" s="14" t="str">
        <v>冯鑫林</v>
      </c>
      <c r="X66" s="14" t="str">
        <v>ACS301Adapter</v>
      </c>
      <c r="Y66" s="20" t="inlineStr">
        <is>
          <r>
            <t>@刘多</t>
          </r>
        </is>
      </c>
    </row>
    <row r="67" spans="2:25">
      <c r="B67" s="22" t="str">
        <v>2.5 能耗状态</v>
      </c>
      <c r="C67" s="21" t="str">
        <v>当前驾驶循环里程平均电耗</v>
      </c>
      <c r="D67" s="22" t="str">
        <v>平均电耗值</v>
      </c>
      <c r="E67" s="22" t="str">
        <v>0~655.35 kWh/100km, 分辨率0.01 kWh/100km</v>
      </c>
      <c r="G67" s="14" t="str">
        <v>DZT0014</v>
      </c>
      <c r="H67" s="14" t="str">
        <v>只有小计里程</v>
      </c>
      <c r="I67" s="15" t="str">
        <v>EMS_MILEAGE里程相关服务接口</v>
      </c>
      <c r="J67" s="15" t="str">
        <v>statsMileage.StatsMileageInfo.ElecTripInfo.CS_AveElecConsumption</v>
      </c>
      <c r="K67" s="15" t="str">
        <v>充电管家</v>
      </c>
      <c r="P67" s="15" t="str">
        <v>P1</v>
      </c>
      <c r="Q67" s="16">
        <v>6.6</v>
      </c>
      <c r="R67" s="17" t="str">
        <v>✅ 架构已提供</v>
      </c>
      <c r="S67" s="14" t="str">
        <v>Pre-OTS版本-0804座舱转测</v>
      </c>
      <c r="X67" s="14" t="str">
        <v>ACS301Adapter</v>
      </c>
      <c r="Y67" s="20" t="inlineStr">
        <is>
          <r>
            <t>@刘多</t>
          </r>
        </is>
      </c>
    </row>
    <row r="68" spans="3:25">
      <c r="C68" s="21" t="str">
        <v>总里程信息平均电耗</v>
      </c>
      <c r="D68" s="22" t="str">
        <v>平均电耗值</v>
      </c>
      <c r="E68" s="22" t="str">
        <v>0~655.35 kWh/100km, 分辨率0.01 kWh/101km</v>
      </c>
      <c r="G68" s="14" t="str">
        <v>DZT0015</v>
      </c>
      <c r="H68" s="14" t="str">
        <v>没有</v>
      </c>
      <c r="I68" s="15" t="str">
        <v>EMS_MILEAGE里程相关服务接口</v>
      </c>
      <c r="J68" s="15" t="str">
        <v>statsMileage.StatsMileageInfo.ElecTripInfo.CS_AveElecConsumption</v>
      </c>
      <c r="K68" s="15" t="str">
        <v>充电管家</v>
      </c>
      <c r="P68" s="15" t="str">
        <v>P1</v>
      </c>
      <c r="Q68" s="16">
        <v>6.6</v>
      </c>
      <c r="R68" s="17" t="str">
        <v>✅ 架构已提供</v>
      </c>
      <c r="S68" s="14" t="str">
        <v>Pre-OTS版本-0804座舱转测</v>
      </c>
      <c r="X68" s="14" t="str">
        <v>ACS301Adapter</v>
      </c>
      <c r="Y68" s="20" t="inlineStr">
        <is>
          <r>
            <t>@刘多</t>
          </r>
        </is>
      </c>
    </row>
    <row r="69" spans="3:25">
      <c r="C69" s="21" t="str">
        <v>平均油耗</v>
      </c>
      <c r="D69" s="22" t="str">
        <v>平均油耗值</v>
      </c>
      <c r="E69" s="22" t="str">
        <v>L/100km</v>
      </c>
      <c r="G69" s="14" t="str">
        <v>DZT0016</v>
      </c>
      <c r="H69" s="14" t="str">
        <v>具体哪块油耗</v>
      </c>
      <c r="O69" s="14" t="str">
        <v>平台化预留，E68无配置</v>
      </c>
      <c r="P69" s="15" t="str">
        <v>P2</v>
      </c>
      <c r="Q69" s="16">
        <v>6.6</v>
      </c>
      <c r="R69" s="17" t="str">
        <v>✅ 架构已提供</v>
      </c>
      <c r="S69" s="14" t="str">
        <v>原定Pre-OTS版本-0804座舱转测—后延</v>
      </c>
      <c r="X69" s="14" t="str">
        <v>ACS301Adapter</v>
      </c>
      <c r="Y69" s="20" t="inlineStr">
        <is>
          <r>
            <t>@陈杰</t>
          </r>
        </is>
      </c>
    </row>
    <row r="70" spans="3:25">
      <c r="C70" s="21" t="str">
        <v>当前还有多少电量</v>
      </c>
      <c r="D70" s="22" t="str">
        <v>目前电量</v>
      </c>
      <c r="E70" s="22" t="str">
        <v>0~655.35 kWh/100km, 分辨率0.01 kWh/101km</v>
      </c>
      <c r="G70" s="14" t="str">
        <v>DZT0017</v>
      </c>
      <c r="H70" s="14" t="str">
        <v>已透传cdc</v>
      </c>
      <c r="I70" s="15" t="str">
        <v>EMS_Battery_CS电池包服务</v>
      </c>
      <c r="J70" s="15" t="str">
        <v>BatteryWorkStatus.
HvBatterySOC高压电池包SOC值</v>
      </c>
      <c r="K70" s="15" t="str">
        <v>充电管家</v>
      </c>
      <c r="P70" s="15" t="str">
        <v>P1</v>
      </c>
      <c r="Q70" s="16">
        <v>6.6</v>
      </c>
      <c r="R70" s="17" t="str">
        <v>✅ 架构已提供</v>
      </c>
      <c r="S70" s="14" t="str">
        <v>Pre-OTS版本-0804座舱转测</v>
      </c>
      <c r="T70" s="18" t="str">
        <v>车服务原子能力清单 </v>
      </c>
      <c r="U70" s="14" t="str">
        <v>ACTION_VEHICLE_SOC</v>
      </c>
      <c r="V70" s="16">
        <v>629</v>
      </c>
      <c r="W70" s="14" t="str">
        <v>陈海军</v>
      </c>
      <c r="X70" s="14" t="str">
        <v>ACS301Adapter</v>
      </c>
      <c r="Y70" s="20" t="inlineStr">
        <is>
          <r>
            <t>@刘多</t>
          </r>
        </is>
      </c>
    </row>
    <row r="71" spans="3:25">
      <c r="C71" s="21" t="str">
        <v>当前还可以行驶多少里程</v>
      </c>
      <c r="D71" s="22" t="str">
        <v>可行驶里程</v>
      </c>
      <c r="E71" s="22" t="str">
        <v>0~999999.9 km, 分辨率0.1 km</v>
      </c>
      <c r="G71" s="14" t="str">
        <v>DZT0018</v>
      </c>
      <c r="H71" s="14" t="str">
        <v>已透传cdc【CLTC//综合】</v>
      </c>
      <c r="I71" s="15" t="str">
        <v>EMS_MILEAGE里程相关服务接口</v>
      </c>
      <c r="J71" s="15" t="str">
        <v>edrMileage.EdrMileageInstance</v>
      </c>
      <c r="K71" s="15" t="str">
        <v>充电管家</v>
      </c>
      <c r="P71" s="15" t="str">
        <v>P1</v>
      </c>
      <c r="Q71" s="16">
        <v>6.6</v>
      </c>
      <c r="R71" s="17" t="str">
        <v>✅ 架构已提供</v>
      </c>
      <c r="S71" s="14" t="str">
        <v>Pre-OTS版本-0804座舱转测</v>
      </c>
      <c r="T71" s="18" t="str">
        <v>车服务原子能力清单 </v>
      </c>
      <c r="U71" s="26" t="str">
        <v>ACTION_VEHICLE_THIS_TYPE_TOTAL_DISTANCE</v>
      </c>
      <c r="V71" s="16">
        <v>715</v>
      </c>
      <c r="W71" s="14" t="str">
        <v>陈海军</v>
      </c>
      <c r="X71" s="14" t="str">
        <v>ACS301Adapter</v>
      </c>
      <c r="Y71" s="20" t="inlineStr">
        <is>
          <r>
            <t>@刘多</t>
          </r>
        </is>
      </c>
    </row>
    <row r="72" spans="1:25">
      <c r="A72" s="22" t="str">
        <v>三、车身域</v>
      </c>
      <c r="B72" s="22" t="str">
        <v>3.1 车门状态</v>
      </c>
      <c r="C72" s="21" t="str">
        <v>主驾车门状态</v>
      </c>
      <c r="D72" s="22" t="str">
        <v>车身_主驾车门状态</v>
      </c>
      <c r="E72" s="22" t="str">
        <v>0=关闭, 1=开启, 2=微开(0×5:WelcomeOpen), 3=运动中, 4=防夹触发，6=终止开启（Stopped）</v>
      </c>
      <c r="G72" s="14" t="str">
        <v>DZT0019</v>
      </c>
      <c r="H72" s="14" t="str">
        <v>已透传cdc</v>
      </c>
      <c r="I72" s="15" t="str">
        <v>BCM_Door_CS 车门控制服务</v>
      </c>
      <c r="J72" s="15" t="str">
        <v>DoorStatusInfo 上报车门状态</v>
      </c>
      <c r="K72" s="15" t="str">
        <v>全车人员识别; 情感空间</v>
      </c>
      <c r="P72" s="15" t="str">
        <v>P0</v>
      </c>
      <c r="Q72" s="16">
        <v>6.6</v>
      </c>
      <c r="R72" s="17" t="str">
        <v>✅ 架构已提供</v>
      </c>
      <c r="S72" s="14" t="str">
        <v>Pre-OTS版本-0804座舱转测</v>
      </c>
      <c r="T72" s="18" t="str">
        <v>车服务原子能力清单 </v>
      </c>
      <c r="U72" s="14" t="str">
        <v>ACTION_VEHICLE_CAR_DOOR_FL</v>
      </c>
      <c r="V72" s="16">
        <v>715</v>
      </c>
      <c r="W72" s="15" t="str">
        <v>吕鹏程</v>
      </c>
      <c r="X72" s="14" t="str">
        <v>ACS301Adapter</v>
      </c>
      <c r="Y72" s="20" t="inlineStr">
        <is>
          <r>
            <t>@朱婧雯</t>
          </r>
        </is>
      </c>
    </row>
    <row r="73" spans="3:25">
      <c r="C73" s="21" t="str">
        <v>副驾车门状态</v>
      </c>
      <c r="D73" s="22" t="str">
        <v>副驾车门状态</v>
      </c>
      <c r="E73" s="22" t="str">
        <v>0=关闭, 1=开启, 2=微开(0×5:WelcomeOpen), 3=运动中, 4=防夹触发，6=终止开启（Stopped）</v>
      </c>
      <c r="G73" s="14" t="str">
        <v>DZT0020</v>
      </c>
      <c r="H73" s="14" t="str">
        <v>已透传cdc</v>
      </c>
      <c r="I73" s="15" t="str">
        <v>BCM_Door_CS 车门控制服务</v>
      </c>
      <c r="J73" s="15" t="str">
        <v>DoorStatusInfo 上报车门状态</v>
      </c>
      <c r="K73" s="15" t="str">
        <v>全车人员识别; 情感空间</v>
      </c>
      <c r="P73" s="15" t="str">
        <v>P0</v>
      </c>
      <c r="Q73" s="16">
        <v>6.6</v>
      </c>
      <c r="R73" s="17" t="str">
        <v>✅ 架构已提供</v>
      </c>
      <c r="S73" s="14" t="str">
        <v>Pre-OTS版本-0804座舱转测</v>
      </c>
      <c r="T73" s="18" t="str">
        <v>车服务原子能力清单 </v>
      </c>
      <c r="U73" s="14" t="str">
        <v>ACTION_VEHICLE_CAR_DOOR_FR</v>
      </c>
      <c r="V73" s="16">
        <v>715</v>
      </c>
      <c r="W73" s="15" t="str">
        <v>吕鹏程</v>
      </c>
      <c r="X73" s="14" t="str">
        <v>ACS301Adapter</v>
      </c>
      <c r="Y73" s="20" t="inlineStr">
        <is>
          <r>
            <t>@朱婧雯</t>
          </r>
        </is>
      </c>
    </row>
    <row r="74" spans="3:25">
      <c r="C74" s="21" t="str">
        <v>左后车门状态</v>
      </c>
      <c r="D74" s="22" t="str">
        <v>左后车门状态</v>
      </c>
      <c r="E74" s="22" t="str">
        <v>0=关闭, 1=开启, 2=微开(0×5:WelcomeOpen), 3=运动中, 4=防夹触发，6=终止开启（Stopped）</v>
      </c>
      <c r="G74" s="14" t="str">
        <v>DZT0021</v>
      </c>
      <c r="H74" s="14" t="str">
        <v>已透传cdc</v>
      </c>
      <c r="I74" s="15" t="str">
        <v>BCM_Door_CS 车门控制服务</v>
      </c>
      <c r="J74" s="15" t="str">
        <v>DoorStatusInfo 上报车门状态</v>
      </c>
      <c r="K74" s="15" t="str">
        <v>全车人员识别; 情感空间</v>
      </c>
      <c r="P74" s="15" t="str">
        <v>P0</v>
      </c>
      <c r="Q74" s="16">
        <v>6.6</v>
      </c>
      <c r="R74" s="17" t="str">
        <v>✅ 架构已提供</v>
      </c>
      <c r="S74" s="14" t="str">
        <v>Pre-OTS版本-0804座舱转测</v>
      </c>
      <c r="T74" s="18" t="str">
        <v>车服务原子能力清单 </v>
      </c>
      <c r="U74" s="14" t="str">
        <v>ACTION_VEHICLE_CAR_DOOR_RL</v>
      </c>
      <c r="V74" s="16">
        <v>715</v>
      </c>
      <c r="W74" s="15" t="str">
        <v>吕鹏程</v>
      </c>
      <c r="X74" s="14" t="str">
        <v>ACS301Adapter</v>
      </c>
      <c r="Y74" s="20" t="inlineStr">
        <is>
          <r>
            <t>@朱婧雯</t>
          </r>
        </is>
      </c>
    </row>
    <row r="75" spans="3:25">
      <c r="C75" s="21" t="str">
        <v>右后车门状态</v>
      </c>
      <c r="D75" s="22" t="str">
        <v>右后车门状态</v>
      </c>
      <c r="E75" s="22" t="str">
        <v>0=关闭, 1=开启, 2=微开(0×5:WelcomeOpen), 3=运动中, 4=防夹触发，6=终止开启（Stopped）</v>
      </c>
      <c r="G75" s="14" t="str">
        <v>DZT0022</v>
      </c>
      <c r="H75" s="14" t="str">
        <v>已透传cdc</v>
      </c>
      <c r="I75" s="15" t="str">
        <v>BCM_Door_CS 车门控制服务</v>
      </c>
      <c r="J75" s="15" t="str">
        <v>DoorStatusInfo 上报车门状态</v>
      </c>
      <c r="K75" s="15" t="str">
        <v>全车人员识别; 情感空间</v>
      </c>
      <c r="P75" s="15" t="str">
        <v>P0</v>
      </c>
      <c r="Q75" s="16">
        <v>6.6</v>
      </c>
      <c r="R75" s="17" t="str">
        <v>✅ 架构已提供</v>
      </c>
      <c r="S75" s="14" t="str">
        <v>Pre-OTS版本-0804座舱转测</v>
      </c>
      <c r="T75" s="18" t="str">
        <v>车服务原子能力清单 </v>
      </c>
      <c r="U75" s="14" t="str">
        <v>ACTION_VEHICLE_CAR_DOOR_RR</v>
      </c>
      <c r="V75" s="16">
        <v>715</v>
      </c>
      <c r="W75" s="15" t="str">
        <v>吕鹏程</v>
      </c>
      <c r="X75" s="14" t="str">
        <v>ACS301Adapter</v>
      </c>
      <c r="Y75" s="20" t="inlineStr">
        <is>
          <r>
            <t>@朱婧雯</t>
          </r>
        </is>
      </c>
    </row>
    <row r="76" spans="3:25">
      <c r="C76" s="21" t="str">
        <v>车身_充电口盖状态</v>
      </c>
      <c r="D76" s="22" t="str">
        <v>车身_充电口盖状态</v>
      </c>
      <c r="E76" s="22" t="str">
        <v>0=关闭, 1=开启, 2=运动中</v>
      </c>
      <c r="G76" s="24" t="str">
        <v>DZT0441</v>
      </c>
      <c r="H76" s="14" t="str">
        <v>已透传cdc</v>
      </c>
      <c r="I76" s="15" t="str">
        <v>BCM_Door_CS 车门控制服务</v>
      </c>
      <c r="J76" s="15" t="str">
        <v>DoorStatusInfo 上报车门状态</v>
      </c>
      <c r="K76" s="15" t="str">
        <v>充电管家</v>
      </c>
      <c r="P76" s="15" t="str">
        <v>P0</v>
      </c>
      <c r="Q76" s="16">
        <v>6.13</v>
      </c>
      <c r="R76" s="25" t="str">
        <v>🟡架构待新增</v>
      </c>
      <c r="X76" s="24" t="str">
        <v>ACS301Adapter</v>
      </c>
      <c r="Y76" s="20" t="inlineStr">
        <is>
          <r>
            <t>@刘多</t>
          </r>
        </is>
      </c>
    </row>
    <row r="77" spans="3:25">
      <c r="C77" s="21" t="str">
        <v>车身_加油口盖状态</v>
      </c>
      <c r="D77" s="22" t="str">
        <v>车身_加油口盖状态</v>
      </c>
      <c r="E77" s="22" t="str">
        <v>0=关闭, 1=开启, 2=运动中</v>
      </c>
      <c r="H77" s="14" t="str">
        <v>已透传cdc</v>
      </c>
      <c r="O77" s="14" t="str">
        <v>平台化预留，E68无配置</v>
      </c>
      <c r="P77" s="15" t="str">
        <v>P2</v>
      </c>
      <c r="Q77" s="16">
        <v>6.13</v>
      </c>
      <c r="R77" s="25" t="str">
        <v>🟡架构待新增</v>
      </c>
      <c r="Y77" s="20" t="inlineStr">
        <is>
          <r>
            <t>@陈杰</t>
          </r>
        </is>
      </c>
    </row>
    <row r="78" spans="3:25">
      <c r="C78" s="21" t="str">
        <v>车身_前备箱状态</v>
      </c>
      <c r="D78" s="22" t="str">
        <v>车身_前备箱状态</v>
      </c>
      <c r="E78" s="22" t="str">
        <v>0=关闭中，1=开启中，2=已关闭，3=已开启</v>
      </c>
      <c r="G78" s="23" t="str">
        <v>DZT0277</v>
      </c>
      <c r="H78" s="14" t="str">
        <v>已透传cdc</v>
      </c>
      <c r="I78" s="15" t="str">
        <v>BCM_Door_CS 车门控制服务</v>
      </c>
      <c r="J78" s="15" t="str">
        <v>DoorStatusInfo 上报车门状态</v>
      </c>
      <c r="K78" s="15" t="str">
        <v>迎宾空间</v>
      </c>
      <c r="P78" s="15" t="str">
        <v>P0</v>
      </c>
      <c r="Q78" s="16">
        <v>6.13</v>
      </c>
      <c r="R78" s="17" t="str">
        <v>✅ 架构已提供</v>
      </c>
      <c r="S78" s="14" t="str">
        <v>Pre-OTS版本-0804座舱转测</v>
      </c>
      <c r="T78" s="18" t="str">
        <v>车服务原子能力清单 </v>
      </c>
      <c r="U78" s="14" t="str">
        <v>ACTION_VEHICLE_HOOD_OPEN_STATE</v>
      </c>
      <c r="V78" s="16">
        <v>715</v>
      </c>
      <c r="W78" s="26" t="str">
        <v>吕鹏程</v>
      </c>
      <c r="X78" s="14" t="str">
        <v>ACS31车辆设置</v>
      </c>
      <c r="Y78" s="20" t="inlineStr">
        <is>
          <r>
            <t>@宋章仪</t>
          </r>
        </is>
      </c>
    </row>
    <row r="79" spans="3:25">
      <c r="C79" s="21" t="str">
        <v>车身_后备箱状态</v>
      </c>
      <c r="D79" s="22" t="str">
        <v>车身_后备箱状态</v>
      </c>
      <c r="E79" s="22" t="str">
        <v>0=关闭中，1=开启中，2=已关闭，3=已开启</v>
      </c>
      <c r="G79" s="23" t="str">
        <v>DZT0278</v>
      </c>
      <c r="H79" s="14" t="str">
        <v>已透传cdc</v>
      </c>
      <c r="I79" s="15" t="str">
        <v>BCM_Door_CS 车门控制服务</v>
      </c>
      <c r="J79" s="15" t="str">
        <v>DoorStatusInfo 上报车门状态</v>
      </c>
      <c r="K79" s="15" t="str">
        <v>迎宾空间</v>
      </c>
      <c r="P79" s="15" t="str">
        <v>P0</v>
      </c>
      <c r="Q79" s="16">
        <v>6.13</v>
      </c>
      <c r="R79" s="17" t="str">
        <v>✅ 架构已提供</v>
      </c>
      <c r="S79" s="14" t="str">
        <v>Pre-OTS版本-0804座舱转测</v>
      </c>
      <c r="T79" s="18" t="str">
        <v>VehicleService_keys_Release版 </v>
      </c>
      <c r="U79" s="14" t="str">
        <v>ACTION_VEHICLE_TRUNK_STATE</v>
      </c>
      <c r="V79" s="16">
        <v>713</v>
      </c>
      <c r="W79" s="14" t="str">
        <v>郑伯川</v>
      </c>
      <c r="X79" s="14" t="str">
        <v>ACS31车辆设置</v>
      </c>
      <c r="Y79" s="20" t="inlineStr">
        <is>
          <r>
            <t>@宋章仪</t>
          </r>
        </is>
      </c>
    </row>
    <row r="80" spans="3:25">
      <c r="C80" s="13" t="str">
        <v>车身_后备箱开度设置高度</v>
      </c>
      <c r="D80" s="12" t="str">
        <v>车身_后备箱开度设置高度</v>
      </c>
      <c r="E80" s="12" t="str">
        <v>50%-100%</v>
      </c>
      <c r="G80" s="23" t="str">
        <v>DZT0279</v>
      </c>
      <c r="H80" s="14" t="str">
        <v>没有</v>
      </c>
      <c r="K80" s="15" t="str">
        <v>基础语音控制</v>
      </c>
      <c r="L80" s="19">
        <v>46184</v>
      </c>
      <c r="Q80" s="16">
        <v>6.13</v>
      </c>
      <c r="R80" s="17" t="str">
        <v>✅ 架构已提供</v>
      </c>
      <c r="S80" s="14" t="str">
        <v>Pre-OTS版本-0804座舱转测</v>
      </c>
      <c r="T80" s="18" t="str">
        <v>车服务原子能力清单 </v>
      </c>
      <c r="U80" s="14" t="str">
        <v>ACTION_VEHICLE_TRUNK_MAX_HEIGHT</v>
      </c>
      <c r="V80" s="16">
        <v>713</v>
      </c>
      <c r="W80" s="14" t="str">
        <v>郑伯川</v>
      </c>
      <c r="X80" s="14" t="str">
        <v>ACS31车辆设置</v>
      </c>
      <c r="Y80" s="20" t="inlineStr">
        <is>
          <r>
            <t>@赵益乐</t>
          </r>
        </is>
      </c>
    </row>
    <row r="81" spans="2:25">
      <c r="B81" s="22" t="str">
        <v>3.2 车窗状态</v>
      </c>
      <c r="C81" s="21" t="str">
        <v>车身_主驾车窗</v>
      </c>
      <c r="D81" s="22" t="str">
        <v>车身_主驾车窗状态</v>
      </c>
      <c r="E81" s="22" t="str">
        <v>0=全关, 1=全开, 2=中间位置, 3=运动中, 4=防夹触发; 位置: 0~100%</v>
      </c>
      <c r="G81" s="14" t="str">
        <v>DZT0023</v>
      </c>
      <c r="H81" s="14" t="str">
        <v>已透传cdc</v>
      </c>
      <c r="I81" s="15" t="str">
        <v>BCM_Window_CS 车窗控制服务</v>
      </c>
      <c r="J81" s="15" t="str">
        <v>WindowStatus</v>
      </c>
      <c r="K81" s="15" t="str">
        <v>AI温感控制</v>
      </c>
      <c r="P81" s="15" t="str">
        <v>P0</v>
      </c>
      <c r="Q81" s="16">
        <v>6.6</v>
      </c>
      <c r="R81" s="17" t="str">
        <v>✅ 架构已提供</v>
      </c>
      <c r="S81" s="14" t="str">
        <v>Pre-OTS版本-0804座舱转测</v>
      </c>
      <c r="T81" s="18" t="str">
        <v>车服务原子能力清单 </v>
      </c>
      <c r="U81" s="26" t="str">
        <v>ACTION_VEHICLE_WINDOW_POSITION_CONTROL</v>
      </c>
      <c r="V81" s="19">
        <v>46218</v>
      </c>
      <c r="W81" s="14" t="str">
        <v>刘鑫</v>
      </c>
      <c r="X81" s="14" t="str">
        <v>ACS301Adapter</v>
      </c>
      <c r="Y81" s="20" t="inlineStr">
        <is>
          <r>
            <t>@陈杰</t>
          </r>
        </is>
      </c>
    </row>
    <row r="82" spans="3:25">
      <c r="C82" s="21" t="str">
        <v>车身_副驾车窗</v>
      </c>
      <c r="D82" s="22" t="str">
        <v>车身_副驾车窗状态</v>
      </c>
      <c r="E82" s="22" t="str">
        <v>0=全关, 1=全开, 2=中间位置, 3=运动中, 4=防夹触发; 位置: 0~100%</v>
      </c>
      <c r="G82" s="14" t="str">
        <v>DZT0024</v>
      </c>
      <c r="H82" s="14" t="str">
        <v>已透传cdc</v>
      </c>
      <c r="I82" s="15" t="str">
        <v>BCM_Window_CS 车窗控制服务</v>
      </c>
      <c r="J82" s="15" t="str">
        <v>WindowStatus</v>
      </c>
      <c r="K82" s="15" t="str">
        <v>AI温感控制</v>
      </c>
      <c r="P82" s="15" t="str">
        <v>P0</v>
      </c>
      <c r="Q82" s="16">
        <v>6.6</v>
      </c>
      <c r="R82" s="17" t="str">
        <v>✅ 架构已提供</v>
      </c>
      <c r="S82" s="14" t="str">
        <v>Pre-OTS版本-0804座舱转测</v>
      </c>
      <c r="T82" s="18" t="str">
        <v>车服务原子能力清单 </v>
      </c>
      <c r="U82" s="26" t="str">
        <v>ACTION_VEHICLE_WINDOW_POSITION_CONTROL</v>
      </c>
      <c r="V82" s="19">
        <v>46218</v>
      </c>
      <c r="W82" s="14" t="str">
        <v>刘鑫</v>
      </c>
      <c r="X82" s="14" t="str">
        <v>ACS301Adapter</v>
      </c>
      <c r="Y82" s="20" t="inlineStr">
        <is>
          <r>
            <t>@陈杰</t>
          </r>
        </is>
      </c>
    </row>
    <row r="83" spans="3:25">
      <c r="C83" s="21" t="str">
        <v>车身_左后车窗</v>
      </c>
      <c r="D83" s="22" t="str">
        <v>车身_左后车窗状态</v>
      </c>
      <c r="E83" s="22" t="str">
        <v>0=全关, 1=全开, 2=中间位置, 3=运动中, 4=防夹触发; 位置: 0~100%</v>
      </c>
      <c r="G83" s="14" t="str">
        <v>DZT0025</v>
      </c>
      <c r="H83" s="14" t="str">
        <v>已透传cdc</v>
      </c>
      <c r="I83" s="15" t="str">
        <v>BCM_Window_CS 车窗控制服务</v>
      </c>
      <c r="J83" s="15" t="str">
        <v>WindowStatus</v>
      </c>
      <c r="K83" s="15" t="str">
        <v>AI温感控制</v>
      </c>
      <c r="P83" s="15" t="str">
        <v>P0</v>
      </c>
      <c r="Q83" s="16">
        <v>6.6</v>
      </c>
      <c r="R83" s="17" t="str">
        <v>✅ 架构已提供</v>
      </c>
      <c r="S83" s="14" t="str">
        <v>Pre-OTS版本-0804座舱转测</v>
      </c>
      <c r="T83" s="18" t="str">
        <v>车服务原子能力清单 </v>
      </c>
      <c r="U83" s="26" t="str">
        <v>ACTION_VEHICLE_WINDOW_POSITION_CONTROL</v>
      </c>
      <c r="V83" s="19">
        <v>46218</v>
      </c>
      <c r="W83" s="14" t="str">
        <v>刘鑫</v>
      </c>
      <c r="X83" s="14" t="str">
        <v>ACS301Adapter</v>
      </c>
      <c r="Y83" s="20" t="inlineStr">
        <is>
          <r>
            <t>@陈杰</t>
          </r>
        </is>
      </c>
    </row>
    <row r="84" spans="3:25">
      <c r="C84" s="21" t="str">
        <v>车身_右后车窗</v>
      </c>
      <c r="D84" s="22" t="str">
        <v>车身_右后车窗状态</v>
      </c>
      <c r="E84" s="22" t="str">
        <v>0=全关, 1=全开, 2=中间位置, 3=运动中, 4=防夹触发; 位置: 0~100%</v>
      </c>
      <c r="G84" s="14" t="str">
        <v>DZT0026</v>
      </c>
      <c r="H84" s="14" t="str">
        <v>已透传cdc</v>
      </c>
      <c r="I84" s="15" t="str">
        <v>BCM_Window_CS 车窗控制服务</v>
      </c>
      <c r="J84" s="15" t="str">
        <v>WindowStatus</v>
      </c>
      <c r="K84" s="15" t="str">
        <v>AI温感控制</v>
      </c>
      <c r="P84" s="15" t="str">
        <v>P0</v>
      </c>
      <c r="Q84" s="16">
        <v>6.6</v>
      </c>
      <c r="R84" s="17" t="str">
        <v>✅ 架构已提供</v>
      </c>
      <c r="S84" s="14" t="str">
        <v>Pre-OTS版本-0804座舱转测</v>
      </c>
      <c r="T84" s="18" t="str">
        <v>车服务原子能力清单 </v>
      </c>
      <c r="U84" s="26" t="str">
        <v>ACTION_VEHICLE_WINDOW_POSITION_CONTROL</v>
      </c>
      <c r="V84" s="19">
        <v>46218</v>
      </c>
      <c r="W84" s="14" t="str">
        <v>刘鑫</v>
      </c>
      <c r="X84" s="14" t="str">
        <v>ACS301Adapter</v>
      </c>
      <c r="Y84" s="20" t="inlineStr">
        <is>
          <r>
            <t>@陈杰</t>
          </r>
        </is>
      </c>
    </row>
    <row r="85" spans="3:25">
      <c r="C85" s="21" t="str">
        <v>车身_下雨自动关窗设置</v>
      </c>
      <c r="D85" s="22" t="str">
        <v>车身_下雨自动关窗设置状态</v>
      </c>
      <c r="E85" s="22" t="str">
        <v>0=关闭, 1=开启</v>
      </c>
      <c r="G85" s="24" t="str">
        <v>DZT0442</v>
      </c>
      <c r="H85" s="14" t="str">
        <v>已透传cdc</v>
      </c>
      <c r="P85" s="15" t="str">
        <v>P0</v>
      </c>
      <c r="Q85" s="16">
        <v>6.13</v>
      </c>
      <c r="R85" s="25" t="str">
        <v>🟡架构待新增</v>
      </c>
      <c r="X85" s="24" t="str">
        <v>ACS31车辆设置</v>
      </c>
      <c r="Y85" s="20" t="inlineStr">
        <is>
          <r>
            <t>@陈杰</t>
          </r>
        </is>
      </c>
    </row>
    <row r="86" spans="2:25">
      <c r="B86" s="22" t="str">
        <v>3.3 车灯状态</v>
      </c>
      <c r="C86" s="28" t="str">
        <v>车身_大灯设置</v>
      </c>
      <c r="D86" s="22" t="str">
        <v>车身_大灯设置状态</v>
      </c>
      <c r="E86" s="22" t="str">
        <v>0=关闭, 1=位置灯(示廓灯), 2=近光灯, 3=自动</v>
      </c>
      <c r="G86" s="23" t="str">
        <v>DZT0280</v>
      </c>
      <c r="H86" s="14" t="str">
        <v>已透传cdc</v>
      </c>
      <c r="I86" s="15" t="str">
        <v>BCM_Light_CS 车灯控制服务</v>
      </c>
      <c r="J86" s="15" t="str">
        <v>lightStatus 上报车灯状态</v>
      </c>
      <c r="K86" s="15" t="str">
        <v>情感空间</v>
      </c>
      <c r="P86" s="15" t="str">
        <v>P0</v>
      </c>
      <c r="Q86" s="16">
        <v>6.13</v>
      </c>
      <c r="R86" s="17" t="str">
        <v>✅ 架构已提供</v>
      </c>
      <c r="S86" s="14" t="str">
        <v>Pre-OTS版本-0804座舱转测</v>
      </c>
      <c r="T86" s="18" t="str">
        <v>车服务原子能力清单 </v>
      </c>
      <c r="U86" s="26" t="str">
        <v>ACTION_VEHICLE_EXTERNAL_LIGHT_TYPE</v>
      </c>
      <c r="V86" s="19">
        <v>46218</v>
      </c>
      <c r="W86" s="26" t="str">
        <v>吕鹏程</v>
      </c>
      <c r="X86" s="14" t="str">
        <v>ACS31车辆设置</v>
      </c>
      <c r="Y86" s="20" t="inlineStr">
        <is>
          <r>
            <t>@朱婧雯</t>
          </r>
        </is>
      </c>
    </row>
    <row r="87" spans="3:25">
      <c r="C87" s="21" t="str">
        <v>车身_远光灯</v>
      </c>
      <c r="D87" s="22" t="str">
        <v>车身_远光灯状态</v>
      </c>
      <c r="E87" s="22" t="str">
        <v>打开/关闭</v>
      </c>
      <c r="G87" s="14" t="str">
        <v>DZT0027</v>
      </c>
      <c r="H87" s="14" t="str">
        <v>已透传cdc</v>
      </c>
      <c r="I87" s="15" t="str">
        <v>BCM_Light_CS 车灯控制服务</v>
      </c>
      <c r="J87" s="15" t="str">
        <v>lightStatus 上报车灯状态</v>
      </c>
      <c r="K87" s="15" t="str">
        <v>情感空间</v>
      </c>
      <c r="P87" s="15" t="str">
        <v>P0</v>
      </c>
      <c r="Q87" s="16">
        <v>6.6</v>
      </c>
      <c r="R87" s="17" t="str">
        <v>✅ 架构已提供</v>
      </c>
      <c r="S87" s="14" t="str">
        <v>Pre-OTS版本-0804座舱转测</v>
      </c>
      <c r="T87" s="18" t="str">
        <v>Adapter_SD_keys 
E68 Adapter方案:https://sai-seres.feishu.cn/wiki/S2H1wC6vAiAYYEkvt7Wcif57nQg </v>
      </c>
      <c r="U87" s="26" t="str">
        <v>ID_LIGHT_HIGH_BEAM_STS</v>
      </c>
      <c r="V87" s="19">
        <v>46216</v>
      </c>
      <c r="W87" s="14" t="str">
        <v>冯鑫林</v>
      </c>
      <c r="X87" s="14" t="str">
        <v>ACS301Adapter</v>
      </c>
      <c r="Y87" s="20" t="inlineStr">
        <is>
          <r>
            <t>@朱婧雯</t>
          </r>
        </is>
      </c>
    </row>
    <row r="88" spans="3:25">
      <c r="C88" s="21" t="str">
        <v>车身_近光灯</v>
      </c>
      <c r="D88" s="22" t="str">
        <v>车身_近光灯状态</v>
      </c>
      <c r="E88" s="22" t="str">
        <v>打开/关闭</v>
      </c>
      <c r="G88" s="14" t="str">
        <v>DZT0028</v>
      </c>
      <c r="H88" s="14" t="str">
        <v>已透传cdc</v>
      </c>
      <c r="I88" s="15" t="str">
        <v>BCM_Light_CS 车灯控制服务</v>
      </c>
      <c r="J88" s="15" t="str">
        <v>lightStatus 上报车灯状态</v>
      </c>
      <c r="K88" s="15" t="str">
        <v>情感空间</v>
      </c>
      <c r="P88" s="15" t="str">
        <v>P0</v>
      </c>
      <c r="Q88" s="16">
        <v>6.6</v>
      </c>
      <c r="R88" s="17" t="str">
        <v>✅ 架构已提供</v>
      </c>
      <c r="S88" s="14" t="str">
        <v>Pre-OTS版本-0804座舱转测</v>
      </c>
      <c r="T88" s="18" t="str">
        <v>车服务原子能力清单 </v>
      </c>
      <c r="U88" s="14" t="str">
        <v>ACTION_VEHICLE_LOW_BEAN_STATUS</v>
      </c>
      <c r="V88" s="16">
        <v>727</v>
      </c>
      <c r="W88" s="14" t="str">
        <v>吕鹏程</v>
      </c>
      <c r="X88" s="14" t="str">
        <v>ACS301Adapter</v>
      </c>
      <c r="Y88" s="20" t="inlineStr">
        <is>
          <r>
            <t>@朱婧雯</t>
          </r>
        </is>
      </c>
    </row>
    <row r="89" spans="3:25">
      <c r="C89" s="21" t="str">
        <v>车身_转向灯</v>
      </c>
      <c r="D89" s="22" t="str">
        <v>车身_转向灯状态</v>
      </c>
      <c r="E89" s="22" t="str">
        <v>打开/关闭</v>
      </c>
      <c r="G89" s="14" t="str">
        <v>DZT0029</v>
      </c>
      <c r="H89" s="14" t="str">
        <v>已透传cdc</v>
      </c>
      <c r="I89" s="15" t="str">
        <v>BCM_Light_CS 车灯控制服务</v>
      </c>
      <c r="J89" s="15" t="str">
        <v>lightStatus 上报车灯状态</v>
      </c>
      <c r="K89" s="15" t="str">
        <v>情感空间</v>
      </c>
      <c r="P89" s="15" t="str">
        <v>P0</v>
      </c>
      <c r="Q89" s="16">
        <v>6.6</v>
      </c>
      <c r="R89" s="17" t="str">
        <v>✅ 架构已提供</v>
      </c>
      <c r="S89" s="14" t="str">
        <v>Pre-OTS版本-0804座舱转测</v>
      </c>
      <c r="T89" s="18" t="str">
        <v>Adapter_SD_keys 
E68 Adapter方案:https://sai-seres.feishu.cn/wiki/S2H1wC6vAiAYYEkvt7Wcif57nQg </v>
      </c>
      <c r="U89" s="14" t="str">
        <v>ID_BCM_LEFT_STEER_LIGHT_STS 左转向灯状态
ID_BCM_RIGHT_STEER_LIGHT_STS 右转向灯状态</v>
      </c>
      <c r="V89" s="31">
        <v>46195</v>
      </c>
      <c r="W89" s="32" t="str">
        <v>高杨</v>
      </c>
      <c r="X89" s="14" t="str">
        <v>ACS301Adapter</v>
      </c>
      <c r="Y89" s="20" t="inlineStr">
        <is>
          <r>
            <t>@朱婧雯</t>
          </r>
        </is>
      </c>
    </row>
    <row r="90" spans="3:25">
      <c r="C90" s="21" t="str">
        <v>后雾灯</v>
      </c>
      <c r="D90" s="22" t="str">
        <v>后雾灯状态</v>
      </c>
      <c r="E90" s="22" t="str">
        <v>打开/关闭</v>
      </c>
      <c r="G90" s="14" t="str">
        <v>DZT0030</v>
      </c>
      <c r="H90" s="14" t="str">
        <v>已透传cdc</v>
      </c>
      <c r="I90" s="15" t="str">
        <v>BCM_Light_CS 车灯控制服务</v>
      </c>
      <c r="J90" s="15" t="str">
        <v>lightStatus.LightOnOffSts.ReartFogLightSts</v>
      </c>
      <c r="K90" s="15" t="str">
        <v>天气路况保护</v>
      </c>
      <c r="P90" s="15" t="str">
        <v>P0</v>
      </c>
      <c r="Q90" s="16">
        <v>6.6</v>
      </c>
      <c r="R90" s="17" t="str">
        <v>✅ 架构已提供</v>
      </c>
      <c r="S90" s="14" t="str">
        <v>Pre-OTS版本-0804座舱转测</v>
      </c>
      <c r="T90" s="18" t="str">
        <v>车服务原子能力清单 </v>
      </c>
      <c r="U90" s="14" t="str">
        <v>ACTION_VEHICLE_REAR_FOG_LIGHT_SWITCH</v>
      </c>
      <c r="V90" s="16">
        <v>715</v>
      </c>
      <c r="W90" s="14" t="str">
        <v>吕鹏程</v>
      </c>
      <c r="X90" s="14" t="str">
        <v>ACS301Adapter</v>
      </c>
      <c r="Y90" s="20" t="inlineStr">
        <is>
          <r>
            <t>@张景波</t>
          </r>
        </is>
      </c>
    </row>
    <row r="91" spans="3:25">
      <c r="C91" s="21" t="str">
        <v>自适应远光灯开关设置</v>
      </c>
      <c r="D91" s="22" t="str">
        <v>自适应远光灯开关设置状态</v>
      </c>
      <c r="E91" s="22" t="str">
        <v>打开/关闭</v>
      </c>
      <c r="G91" s="23" t="str">
        <v>DZT0281</v>
      </c>
      <c r="H91" s="14" t="str">
        <v>已透传cdc</v>
      </c>
      <c r="P91" s="15" t="str">
        <v>P0</v>
      </c>
      <c r="Q91" s="16">
        <v>6.13</v>
      </c>
      <c r="R91" s="17" t="str">
        <v>✅ 架构已提供</v>
      </c>
      <c r="S91" s="14" t="str">
        <v>Pre-OTS版本-0804座舱转测</v>
      </c>
      <c r="T91" s="18" t="str">
        <v>车服务原子能力清单 </v>
      </c>
      <c r="U91" s="14" t="str">
        <v>ACTION_VEHICLE_AUTO_BEAM</v>
      </c>
      <c r="V91" s="16">
        <v>715</v>
      </c>
      <c r="W91" s="14" t="str">
        <v>吕鹏程</v>
      </c>
      <c r="X91" s="14" t="str">
        <v>ACS31车辆设置</v>
      </c>
      <c r="Y91" s="20" t="inlineStr">
        <is>
          <r>
            <t>@陈杰</t>
          </r>
        </is>
      </c>
    </row>
    <row r="92" spans="3:25">
      <c r="C92" s="21" t="str">
        <v>车身_伴我回家设置</v>
      </c>
      <c r="D92" s="22" t="str">
        <v>车身_伴我回家设置状态</v>
      </c>
      <c r="E92" s="22" t="str">
        <v>0=关闭, 1=15秒, 2=30秒, 3=60秒</v>
      </c>
      <c r="G92" s="23" t="str">
        <v>DZT0282</v>
      </c>
      <c r="H92" s="14" t="str">
        <v>已透传cdc</v>
      </c>
      <c r="K92" s="15" t="str">
        <v>迎宾空间</v>
      </c>
      <c r="P92" s="15" t="str">
        <v>P0</v>
      </c>
      <c r="Q92" s="16">
        <v>6.13</v>
      </c>
      <c r="R92" s="17" t="str">
        <v>✅ 架构已提供</v>
      </c>
      <c r="S92" s="14" t="str">
        <v>Pre-OTS版本-0804座舱转测</v>
      </c>
      <c r="T92" s="18" t="str">
        <v>车服务原子能力清单 </v>
      </c>
      <c r="U92" s="14" t="str">
        <v>ACTION_VEHICLE_DELAY_LIGHT_TIME</v>
      </c>
      <c r="V92" s="16">
        <v>715</v>
      </c>
      <c r="W92" s="14" t="str">
        <v>吕鹏程</v>
      </c>
      <c r="X92" s="14" t="str">
        <v>ACS31车辆设置</v>
      </c>
      <c r="Y92" s="20" t="inlineStr">
        <is>
          <r>
            <t>@宋章仪</t>
          </r>
        </is>
      </c>
    </row>
    <row r="93" spans="3:25">
      <c r="C93" s="21" t="str">
        <v>车身_ADS灯开关设置</v>
      </c>
      <c r="D93" s="22" t="str">
        <v>车身_ADS灯开关设置状态</v>
      </c>
      <c r="E93" s="22" t="str">
        <v>0=关闭, 1=开启</v>
      </c>
      <c r="G93" s="24" t="str">
        <v>DZT0443</v>
      </c>
      <c r="H93" s="14" t="str">
        <v>已透传cdc</v>
      </c>
      <c r="P93" s="15" t="str">
        <v>P0</v>
      </c>
      <c r="Q93" s="16">
        <v>6.13</v>
      </c>
      <c r="R93" s="25" t="str">
        <v>🟡架构待新增</v>
      </c>
      <c r="X93" s="24" t="str">
        <v>ACS31车辆设置</v>
      </c>
      <c r="Y93" s="20" t="inlineStr">
        <is>
          <r>
            <t>@陈杰</t>
          </r>
        </is>
      </c>
    </row>
    <row r="94" spans="3:25">
      <c r="C94" s="21" t="str">
        <v>车身_ADS灯</v>
      </c>
      <c r="D94" s="22" t="str">
        <v>车身_ADS灯状态</v>
      </c>
      <c r="E94" s="22" t="str">
        <v>0=关闭, 1=开启</v>
      </c>
      <c r="G94" s="24" t="str">
        <v>DZT0444</v>
      </c>
      <c r="H94" s="14" t="str">
        <v>已透传cdc</v>
      </c>
      <c r="P94" s="15" t="str">
        <v>P0</v>
      </c>
      <c r="Q94" s="16">
        <v>6.13</v>
      </c>
      <c r="R94" s="25" t="str">
        <v>🟡架构待新增</v>
      </c>
      <c r="X94" s="24" t="str">
        <v>ACS31车辆设置</v>
      </c>
      <c r="Y94" s="20" t="inlineStr">
        <is>
          <r>
            <t>@陈杰</t>
          </r>
        </is>
      </c>
    </row>
    <row r="95" spans="3:25">
      <c r="C95" s="33" t="str">
        <v>车身_后视镜迎宾Logo灯设置</v>
      </c>
      <c r="D95" s="34" t="str">
        <v>车身_后视镜迎宾Logo灯设置状态</v>
      </c>
      <c r="E95" s="34" t="str">
        <v>0=关闭, 1=开启</v>
      </c>
      <c r="H95" s="35" t="str">
        <v>新需求需取消</v>
      </c>
      <c r="P95" s="36" t="str">
        <v>P2</v>
      </c>
      <c r="Q95" s="16">
        <v>6.13</v>
      </c>
      <c r="R95" s="25" t="str">
        <v>🟡架构待新增</v>
      </c>
      <c r="Y95" s="20" t="inlineStr">
        <is>
          <r>
            <t>@陈杰</t>
          </r>
        </is>
      </c>
    </row>
    <row r="96" spans="3:25">
      <c r="C96" s="21" t="str">
        <v>车身_氛围灯开关</v>
      </c>
      <c r="D96" s="22" t="str">
        <v>车身_氛围灯开关状态</v>
      </c>
      <c r="E96" s="22" t="str">
        <v>0=关闭, 1=开启</v>
      </c>
      <c r="G96" s="14" t="str">
        <v>DZT0031</v>
      </c>
      <c r="H96" s="14" t="str">
        <v>已透传cdc</v>
      </c>
      <c r="I96" s="15" t="str">
        <v>BCM_AmbientLight_AppSrv氛围灯控制服务</v>
      </c>
      <c r="J96" s="15" t="str">
        <v>RitualSenseAmbLiEffect</v>
      </c>
      <c r="K96" s="15" t="str">
        <v>AI温感控制; 情感空间</v>
      </c>
      <c r="P96" s="15" t="str">
        <v>P0</v>
      </c>
      <c r="Q96" s="16">
        <v>6.6</v>
      </c>
      <c r="R96" s="17" t="str">
        <v>✅ 架构已提供</v>
      </c>
      <c r="S96" s="14" t="str">
        <v>Pre-OTS版本-0804座舱转测</v>
      </c>
      <c r="T96" s="18" t="str">
        <v>车服务原子能力清单 </v>
      </c>
      <c r="U96" s="26" t="str">
        <v>ACTION_VEHICLE_AMB_LIGHT_SWITCH</v>
      </c>
      <c r="V96" s="31">
        <v>46218</v>
      </c>
      <c r="W96" s="26" t="str">
        <v>吕鹏程</v>
      </c>
      <c r="X96" s="14" t="str">
        <v>ACS301Adapter</v>
      </c>
      <c r="Y96" s="20" t="inlineStr">
        <is>
          <r>
            <t>@朱婧雯</t>
          </r>
        </is>
      </c>
    </row>
    <row r="97" spans="3:25">
      <c r="C97" s="21" t="str">
        <v>车身_氛围灯亮度</v>
      </c>
      <c r="D97" s="22" t="str">
        <v>车身_氛围灯亮度</v>
      </c>
      <c r="E97" s="22" t="str">
        <v>亮度: 0~100%</v>
      </c>
      <c r="G97" s="14" t="str">
        <v>DZT0032</v>
      </c>
      <c r="H97" s="14" t="str">
        <v>已透传cdc</v>
      </c>
      <c r="I97" s="15" t="str">
        <v>BCM_AmbientLight_AppSrv氛围灯控制服务</v>
      </c>
      <c r="J97" s="15" t="str">
        <v>RitualSenseAmbLiEffect</v>
      </c>
      <c r="K97" s="15" t="str">
        <v>AI温感控制; 情感空间</v>
      </c>
      <c r="P97" s="15" t="str">
        <v>P0</v>
      </c>
      <c r="Q97" s="16">
        <v>6.6</v>
      </c>
      <c r="R97" s="17" t="str">
        <v>✅ 架构已提供</v>
      </c>
      <c r="S97" s="14" t="str">
        <v>Pre-OTS版本-0804座舱转测</v>
      </c>
      <c r="T97" s="18" t="str">
        <v>车服务原子能力清单 </v>
      </c>
      <c r="U97" s="26" t="str">
        <v>四门区域亮度：ACTION_VEHICLE_AMB_LIGHT_BRIGHTNESS_NEUT 仪表区域亮度：ACTION_VEHICLE_AMB_LIGHT_BRIGHTNESS_HIGH</v>
      </c>
      <c r="V97" s="31">
        <v>46218</v>
      </c>
      <c r="W97" s="26" t="str">
        <v>吕鹏程</v>
      </c>
      <c r="X97" s="14" t="str">
        <v>ACS301Adapter</v>
      </c>
      <c r="Y97" s="20" t="inlineStr">
        <is>
          <r>
            <t>@朱婧雯</t>
          </r>
        </is>
      </c>
    </row>
    <row r="98" spans="3:25">
      <c r="C98" s="21" t="str">
        <v>氛围灯颜色</v>
      </c>
      <c r="D98" s="22" t="str">
        <v>氛围灯颜色</v>
      </c>
      <c r="E98" s="22" t="str">
        <v>RGB: 0~255;</v>
      </c>
      <c r="G98" s="14" t="str">
        <v>DZT0033</v>
      </c>
      <c r="H98" s="14" t="str">
        <v>已透传cdc</v>
      </c>
      <c r="I98" s="15" t="str">
        <v>BCM_AmbientLight_AppSrv氛围灯控制服务</v>
      </c>
      <c r="J98" s="15" t="str">
        <v>RitualSenseAmbLiEffect</v>
      </c>
      <c r="K98" s="15" t="str">
        <v>AI温感控制; 情感空间</v>
      </c>
      <c r="P98" s="15" t="str">
        <v>P0</v>
      </c>
      <c r="Q98" s="16">
        <v>6.6</v>
      </c>
      <c r="R98" s="17" t="str">
        <v>✅ 架构已提供</v>
      </c>
      <c r="S98" s="14" t="str">
        <v>Pre-OTS版本-0804座舱转测</v>
      </c>
      <c r="X98" s="14" t="str">
        <v>ACS301Adapter</v>
      </c>
      <c r="Y98" s="20" t="inlineStr">
        <is>
          <r>
            <t>@朱婧雯</t>
          </r>
        </is>
      </c>
    </row>
    <row r="99" spans="3:25">
      <c r="C99" s="21" t="str">
        <v>氛围灯灯效设置状态</v>
      </c>
      <c r="D99" s="22" t="str">
        <v>氛围灯灯效设置状态</v>
      </c>
      <c r="E99" s="22" t="str">
        <v>静态/呼吸闪烁/流水动效/音乐律动</v>
      </c>
      <c r="G99" s="14" t="str">
        <v>DZT0034</v>
      </c>
      <c r="H99" s="14" t="str">
        <v>已透传cdc</v>
      </c>
      <c r="I99" s="15" t="str">
        <v>BCM_AmbientLight_AppSrv氛围灯控制服务</v>
      </c>
      <c r="J99" s="15" t="str">
        <v>RitualSenseAmbLiEffect</v>
      </c>
      <c r="K99" s="15" t="str">
        <v>AI温感控制; 情感空间</v>
      </c>
      <c r="P99" s="15" t="str">
        <v>P0</v>
      </c>
      <c r="Q99" s="16">
        <v>6.6</v>
      </c>
      <c r="R99" s="17" t="str">
        <v>✅ 架构已提供</v>
      </c>
      <c r="S99" s="14" t="str">
        <v>Pre-OTS版本-0804座舱转测</v>
      </c>
      <c r="T99" s="18" t="str">
        <v>车服务原子能力清单 </v>
      </c>
      <c r="U99" s="26" t="str">
        <v>ACTION_VEHICLE_AMB_LIGHT_EFFECT</v>
      </c>
      <c r="V99" s="31">
        <v>46218</v>
      </c>
      <c r="W99" s="26" t="str">
        <v>吕鹏程</v>
      </c>
      <c r="X99" s="14" t="str">
        <v>ACS301Adapter</v>
      </c>
      <c r="Y99" s="20" t="inlineStr">
        <is>
          <r>
            <t>@朱婧雯</t>
          </r>
        </is>
      </c>
    </row>
    <row r="100" spans="3:25">
      <c r="C100" s="21" t="str">
        <v>车身_氛围灯呼吸频率</v>
      </c>
      <c r="D100" s="22" t="str">
        <v>车身_氛围灯呼吸频率</v>
      </c>
      <c r="E100" s="22" t="str">
        <v>0=快, 1=中, 2=慢</v>
      </c>
      <c r="G100" s="14" t="str">
        <v>DZT0035</v>
      </c>
      <c r="H100" s="14" t="str">
        <v>已透传cdc</v>
      </c>
      <c r="I100" s="15" t="str">
        <v>BCM_AmbientLight_AppSrv氛围灯控制服务</v>
      </c>
      <c r="J100" s="15" t="str">
        <v>RitualSenseAmbLiEffect</v>
      </c>
      <c r="K100" s="15" t="str">
        <v>AI温感控制; 情感空间</v>
      </c>
      <c r="P100" s="15" t="str">
        <v>P0</v>
      </c>
      <c r="Q100" s="16">
        <v>6.6</v>
      </c>
      <c r="R100" s="17" t="str">
        <v>✅ 架构已提供</v>
      </c>
      <c r="S100" s="14" t="str">
        <v>Pre-OTS版本-0804座舱转测</v>
      </c>
      <c r="X100" s="14" t="str">
        <v>ACS301Adapter</v>
      </c>
      <c r="Y100" s="20" t="inlineStr">
        <is>
          <r>
            <t>@朱婧雯</t>
          </r>
        </is>
      </c>
    </row>
    <row r="101" spans="3:25">
      <c r="C101" s="21" t="str">
        <v>氛围灯主题模式</v>
      </c>
      <c r="D101" s="22" t="str">
        <v>氛围灯主题模式</v>
      </c>
      <c r="E101" s="22" t="str">
        <v>0，1，2，3</v>
      </c>
      <c r="G101" s="14" t="str">
        <v>DZT0036</v>
      </c>
      <c r="H101" s="14" t="str">
        <v>已透传cdc</v>
      </c>
      <c r="I101" s="15" t="str">
        <v>BCM_AmbientLight_AppSrv氛围灯控制服务</v>
      </c>
      <c r="J101" s="15" t="str">
        <v>RitualSenseAmbLiEffect</v>
      </c>
      <c r="K101" s="15" t="str">
        <v>AI温感控制; 情感空间</v>
      </c>
      <c r="P101" s="15" t="str">
        <v>P0</v>
      </c>
      <c r="Q101" s="16">
        <v>6.6</v>
      </c>
      <c r="R101" s="17" t="str">
        <v>✅ 架构已提供</v>
      </c>
      <c r="S101" s="14" t="str">
        <v>Pre-OTS版本-0804座舱转测</v>
      </c>
      <c r="T101" s="18" t="str">
        <v>车服务原子能力清单 </v>
      </c>
      <c r="U101" s="26" t="str">
        <v>ACTION_VEHICLE_AMB_LIGHT_THEME</v>
      </c>
      <c r="V101" s="31">
        <v>46218</v>
      </c>
      <c r="W101" s="26" t="str">
        <v>吕鹏程</v>
      </c>
      <c r="X101" s="14" t="str">
        <v>ACS301Adapter</v>
      </c>
      <c r="Y101" s="20" t="inlineStr">
        <is>
          <r>
            <t>@朱婧雯</t>
          </r>
        </is>
      </c>
    </row>
    <row r="102" spans="3:25">
      <c r="C102" s="21" t="str">
        <v>氛围灯场景灯效联动状态</v>
      </c>
      <c r="D102" s="22" t="str">
        <v>氛围灯场景灯效联动状态</v>
      </c>
      <c r="E102" s="22" t="str">
        <v>开门预警/后向来车预警/充电特效/驾驶模式切换/迎宾灯语/语音交互/小憩模式/电竞模式/影院模式/全民K歌/想唱就唱/纪念日打招呼/温感空间（极速制冷/极速制热）/行车主动服务</v>
      </c>
      <c r="G102" s="14" t="str">
        <v>DZT0037</v>
      </c>
      <c r="H102" s="14" t="str">
        <v>已透传cdc</v>
      </c>
      <c r="I102" s="15" t="str">
        <v>BCM_AmbientLight_AppSrv氛围灯控制服务</v>
      </c>
      <c r="J102" s="15" t="str">
        <v>RitualSenseAmbLiEffect</v>
      </c>
      <c r="K102" s="15" t="str">
        <v>AI温感控制; 情感空间</v>
      </c>
      <c r="P102" s="15" t="str">
        <v>P0</v>
      </c>
      <c r="Q102" s="16">
        <v>6.6</v>
      </c>
      <c r="R102" s="17" t="str">
        <v>✅ 架构已提供</v>
      </c>
      <c r="S102" s="14" t="str">
        <v>Pre-OTS版本-0804座舱转测</v>
      </c>
      <c r="X102" s="14" t="str">
        <v>ACS301Adapter</v>
      </c>
      <c r="Y102" s="20" t="inlineStr">
        <is>
          <r>
            <t>@朱婧雯</t>
          </r>
        </is>
      </c>
    </row>
    <row r="103" spans="3:25">
      <c r="C103" s="21" t="str">
        <v>车身_ISD交互灯主题设置状态</v>
      </c>
      <c r="D103" s="22" t="str">
        <v>车身_ISD交互灯主题设置状态</v>
      </c>
      <c r="E103" s="22" t="str">
        <v>0，1，2，3，4</v>
      </c>
      <c r="G103" s="24" t="str">
        <v>DZT0446</v>
      </c>
      <c r="H103" s="14" t="str">
        <v>已透传cdc</v>
      </c>
      <c r="P103" s="15" t="str">
        <v>P0</v>
      </c>
      <c r="Q103" s="16">
        <v>6.13</v>
      </c>
      <c r="R103" s="25" t="str">
        <v>🟡架构待新增</v>
      </c>
      <c r="X103" s="24" t="str">
        <v>ACS31车辆设置</v>
      </c>
      <c r="Y103" s="20" t="inlineStr">
        <is>
          <r>
            <t>@陈杰</t>
          </r>
        </is>
      </c>
    </row>
    <row r="104" spans="3:25">
      <c r="C104" s="21" t="str">
        <v>车身_ISD交互灯联动场景状态</v>
      </c>
      <c r="D104" s="22" t="str">
        <v>车身_ISD交互灯联动场景状态</v>
      </c>
      <c r="E104" s="22" t="str">
        <v>迎宾空间/充电联动/语音交互/哨兵模式/AI展销（TBD）</v>
      </c>
      <c r="G104" s="24" t="str">
        <v>DZT0447</v>
      </c>
      <c r="H104" s="14" t="str">
        <v>已透传cdc</v>
      </c>
      <c r="P104" s="15" t="str">
        <v>P2</v>
      </c>
      <c r="Q104" s="16">
        <v>6.13</v>
      </c>
      <c r="R104" s="25" t="str">
        <v>🟡架构待新增</v>
      </c>
      <c r="X104" s="24" t="str">
        <v>ACS31车辆设置</v>
      </c>
      <c r="Y104" s="20" t="inlineStr">
        <is>
          <r>
            <t>@陈杰</t>
          </r>
        </is>
      </c>
    </row>
    <row r="105" spans="3:25">
      <c r="C105" s="21" t="str">
        <v>ISD交互灯迎宾联动设置</v>
      </c>
      <c r="D105" s="22" t="str">
        <v>ISD交互灯迎宾联动设置</v>
      </c>
      <c r="E105" s="22" t="str">
        <v>打开/关闭</v>
      </c>
      <c r="G105" s="24" t="str">
        <v>DZT0448</v>
      </c>
      <c r="H105" s="14" t="str">
        <v>已透传cdc</v>
      </c>
      <c r="P105" s="15" t="str">
        <v>P0</v>
      </c>
      <c r="Q105" s="16">
        <v>6.13</v>
      </c>
      <c r="R105" s="25" t="str">
        <v>🟡架构待新增</v>
      </c>
      <c r="X105" s="24" t="str">
        <v>ACS31车辆设置</v>
      </c>
      <c r="Y105" s="20" t="inlineStr">
        <is>
          <r>
            <t>@陈杰</t>
          </r>
        </is>
      </c>
    </row>
    <row r="106" spans="3:25">
      <c r="C106" s="21" t="str">
        <v>ISD交互灯充电联动设置</v>
      </c>
      <c r="D106" s="22" t="str">
        <v>ISD交互灯充电联动设置</v>
      </c>
      <c r="E106" s="22" t="str">
        <v>打开/关闭</v>
      </c>
      <c r="G106" s="24" t="str">
        <v>DZT0449</v>
      </c>
      <c r="H106" s="14" t="str">
        <v>已透传cdc</v>
      </c>
      <c r="P106" s="15" t="str">
        <v>P0</v>
      </c>
      <c r="Q106" s="16">
        <v>6.13</v>
      </c>
      <c r="R106" s="25" t="str">
        <v>🟡架构待新增</v>
      </c>
      <c r="X106" s="24" t="str">
        <v>ACS31车辆设置</v>
      </c>
      <c r="Y106" s="20" t="inlineStr">
        <is>
          <r>
            <t>@陈杰</t>
          </r>
        </is>
      </c>
    </row>
    <row r="107" spans="3:25">
      <c r="C107" s="21" t="str">
        <v>ISD交互灯语音交互设置</v>
      </c>
      <c r="D107" s="22" t="str">
        <v>ISD交互灯语音交互设置</v>
      </c>
      <c r="E107" s="22" t="str">
        <v>打开/关闭</v>
      </c>
      <c r="G107" s="24" t="str">
        <v>DZT0450</v>
      </c>
      <c r="H107" s="14" t="str">
        <v>已透传cdc</v>
      </c>
      <c r="P107" s="15" t="str">
        <v>P0</v>
      </c>
      <c r="Q107" s="16">
        <v>6.13</v>
      </c>
      <c r="R107" s="25" t="str">
        <v>🟡架构待新增</v>
      </c>
      <c r="X107" s="24" t="str">
        <v>ACS31车辆设置</v>
      </c>
      <c r="Y107" s="20" t="inlineStr">
        <is>
          <r>
            <t>@陈杰</t>
          </r>
        </is>
      </c>
    </row>
    <row r="108" spans="3:25">
      <c r="C108" s="21" t="str">
        <v>后尾logo灯开关设置</v>
      </c>
      <c r="D108" s="22" t="str">
        <v>后尾logo灯开关设置</v>
      </c>
      <c r="E108" s="22" t="str">
        <v>开启/关闭/跟随位置灯</v>
      </c>
      <c r="G108" s="23" t="str">
        <v>DZT0283</v>
      </c>
      <c r="H108" s="14" t="str">
        <v>已透传cdc</v>
      </c>
      <c r="P108" s="15" t="str">
        <v>P0</v>
      </c>
      <c r="Q108" s="16">
        <v>6.13</v>
      </c>
      <c r="R108" s="17" t="str">
        <v>✅ 架构已提供</v>
      </c>
      <c r="S108" s="14" t="str">
        <v>Pre-OTS版本-0804座舱转测</v>
      </c>
      <c r="T108" s="18" t="str">
        <v>车服务原子能力清单 </v>
      </c>
      <c r="U108" s="37" t="str">
        <v>ACTION_VEHICLE_LOGO_LIGHT_SWITCH</v>
      </c>
      <c r="V108" s="19">
        <v>46218</v>
      </c>
      <c r="W108" s="26" t="str">
        <v>吕鹏程</v>
      </c>
      <c r="X108" s="14" t="str">
        <v>ACS31车辆设置</v>
      </c>
      <c r="Y108" s="20" t="inlineStr">
        <is>
          <r>
            <t>@陈杰</t>
          </r>
        </is>
      </c>
    </row>
    <row r="109" spans="3:25">
      <c r="C109" s="21" t="str">
        <v>车身_logo灯状态</v>
      </c>
      <c r="D109" s="22" t="str">
        <v>车身_logo灯状态</v>
      </c>
      <c r="E109" s="22" t="str">
        <v>0=关闭, 1=开启</v>
      </c>
      <c r="G109" s="23" t="str">
        <v>DZT0284</v>
      </c>
      <c r="H109" s="14" t="str">
        <v>已透传cdc</v>
      </c>
      <c r="P109" s="15" t="str">
        <v>P0</v>
      </c>
      <c r="Q109" s="16">
        <v>6.13</v>
      </c>
      <c r="R109" s="17" t="str">
        <v>✅ 架构已提供</v>
      </c>
      <c r="S109" s="14" t="str">
        <v>Pre-OTS版本-0804座舱转测</v>
      </c>
      <c r="T109" s="18" t="str">
        <v>车服务原子能力清单 </v>
      </c>
      <c r="U109" s="14" t="str">
        <v>ACTION_VEHICLE_LOGO_LIGHT_SWITCH</v>
      </c>
      <c r="V109" s="19">
        <v>46218</v>
      </c>
      <c r="W109" s="26" t="str">
        <v>吕鹏程</v>
      </c>
      <c r="X109" s="14" t="str">
        <v>ACS31车辆设置</v>
      </c>
      <c r="Y109" s="20" t="inlineStr">
        <is>
          <r>
            <t>@陈杰</t>
          </r>
        </is>
      </c>
    </row>
    <row r="110" spans="2:25">
      <c r="B110" s="22" t="str">
        <v>3.4DVR状态</v>
      </c>
      <c r="C110" s="21" t="str">
        <v>车身_DVR应用状态</v>
      </c>
      <c r="D110" s="22" t="str">
        <v>车身_DVR应用状态</v>
      </c>
      <c r="E110" s="22" t="str">
        <v>0=关闭, 1=开启</v>
      </c>
      <c r="G110" s="23" t="str">
        <v>DZT0285</v>
      </c>
      <c r="H110" s="14" t="str">
        <v>座舱内部</v>
      </c>
      <c r="P110" s="15" t="str">
        <v>P0</v>
      </c>
      <c r="Q110" s="16">
        <v>6.13</v>
      </c>
      <c r="R110" s="17" t="str">
        <v>✅ 架构已提供</v>
      </c>
      <c r="S110" s="14" t="str">
        <v>Pre-OTS版本-0804座舱转测</v>
      </c>
      <c r="X110" s="14" t="str">
        <v>SWR11影像系统</v>
      </c>
      <c r="Y110" s="20" t="inlineStr">
        <is>
          <r>
            <t>@陈杰</t>
          </r>
        </is>
      </c>
    </row>
    <row r="111" spans="3:25">
      <c r="C111" s="21" t="str">
        <v>车身_DVR循环录像状态</v>
      </c>
      <c r="D111" s="22" t="str">
        <v>车身_DVR循环录像状态</v>
      </c>
      <c r="E111" s="22" t="str">
        <v>0=关闭, 1=开启</v>
      </c>
      <c r="G111" s="23" t="str">
        <v>DZT0286</v>
      </c>
      <c r="H111" s="14" t="str">
        <v>座舱内部</v>
      </c>
      <c r="P111" s="15" t="str">
        <v>P0</v>
      </c>
      <c r="Q111" s="16">
        <v>6.13</v>
      </c>
      <c r="R111" s="17" t="str">
        <v>✅ 架构已提供</v>
      </c>
      <c r="S111" s="14" t="str">
        <v>Pre-OTS版本-0804座舱转测</v>
      </c>
      <c r="X111" s="14" t="str">
        <v>SWR11影像系统</v>
      </c>
      <c r="Y111" s="20" t="inlineStr">
        <is>
          <r>
            <t>@陈杰</t>
          </r>
        </is>
      </c>
    </row>
    <row r="112" spans="3:25">
      <c r="C112" s="21" t="str">
        <v>车身_DVR录像录音状态</v>
      </c>
      <c r="D112" s="22" t="str">
        <v>车身_DVR录像录音状态</v>
      </c>
      <c r="E112" s="22" t="str">
        <v>0=关闭, 1=开启</v>
      </c>
      <c r="G112" s="23" t="str">
        <v>DZT0287</v>
      </c>
      <c r="H112" s="14" t="str">
        <v>座舱内部</v>
      </c>
      <c r="P112" s="15" t="str">
        <v>P0</v>
      </c>
      <c r="Q112" s="16">
        <v>6.13</v>
      </c>
      <c r="R112" s="17" t="str">
        <v>✅ 架构已提供</v>
      </c>
      <c r="S112" s="14" t="str">
        <v>Pre-OTS版本-0804座舱转测</v>
      </c>
      <c r="X112" s="14" t="str">
        <v>SWR11影像系统</v>
      </c>
      <c r="Y112" s="20" t="inlineStr">
        <is>
          <r>
            <t>@陈杰</t>
          </r>
        </is>
      </c>
    </row>
    <row r="113" spans="2:25">
      <c r="B113" s="22" t="str">
        <v>3.5 智能后视状态</v>
      </c>
      <c r="C113" s="21" t="str">
        <v>智能后视设置状态</v>
      </c>
      <c r="D113" s="22" t="str">
        <v>智能后视设置状态</v>
      </c>
      <c r="E113" s="22" t="str">
        <v>0=关闭, 1=开启</v>
      </c>
      <c r="G113" s="23" t="str">
        <v>DZT0288</v>
      </c>
      <c r="H113" s="14" t="str">
        <v>座舱内部</v>
      </c>
      <c r="P113" s="15" t="str">
        <v>P0</v>
      </c>
      <c r="Q113" s="16">
        <v>6.13</v>
      </c>
      <c r="R113" s="17" t="str">
        <v>✅ 架构已提供</v>
      </c>
      <c r="S113" s="14" t="str">
        <v>Pre-OTS版本-0804座舱转测</v>
      </c>
      <c r="T113" s="18" t="str">
        <v>车服务原子能力清单 </v>
      </c>
      <c r="U113" s="14" t="str">
        <v>ACTION_VEHICLE_SMART_REARVIEW</v>
      </c>
      <c r="V113" s="31">
        <v>46220</v>
      </c>
      <c r="W113" s="14" t="str">
        <v>郑伯川</v>
      </c>
      <c r="X113" s="14" t="str">
        <v>SWR95智能后视辅助</v>
      </c>
      <c r="Y113" s="20" t="inlineStr">
        <is>
          <r>
            <t>@陈杰</t>
          </r>
        </is>
      </c>
    </row>
    <row r="114" spans="3:25">
      <c r="C114" s="21" t="str">
        <v>车身_智能后视应用状态</v>
      </c>
      <c r="D114" s="22" t="str">
        <v>车身_智能后视应用状态</v>
      </c>
      <c r="E114" s="22" t="str">
        <v>0=关闭, 1=开启</v>
      </c>
      <c r="G114" s="23" t="str">
        <v>DZT0289</v>
      </c>
      <c r="H114" s="14" t="str">
        <v>座舱内部</v>
      </c>
      <c r="P114" s="15" t="str">
        <v>P0</v>
      </c>
      <c r="Q114" s="16">
        <v>6.13</v>
      </c>
      <c r="R114" s="17" t="str">
        <v>✅ 架构已提供</v>
      </c>
      <c r="S114" s="14" t="str">
        <v>Pre-OTS版本-0804座舱转测</v>
      </c>
      <c r="T114" s="18" t="str">
        <v>车服务原子能力清单 </v>
      </c>
      <c r="U114" s="14" t="str">
        <v>ACTION_VEHICLE_SMART_REARVIEW</v>
      </c>
      <c r="V114" s="31">
        <v>46220</v>
      </c>
      <c r="W114" s="14" t="str">
        <v>郑伯川</v>
      </c>
      <c r="X114" s="14" t="str">
        <v>SWR95智能后视辅助</v>
      </c>
      <c r="Y114" s="20" t="inlineStr">
        <is>
          <r>
            <t>@陈杰</t>
          </r>
        </is>
      </c>
    </row>
    <row r="115" spans="2:25">
      <c r="B115" s="22" t="str">
        <v>3.6 内灯状态</v>
      </c>
      <c r="C115" s="21" t="str">
        <v>车身_阅读灯运行状态</v>
      </c>
      <c r="D115" s="22" t="str">
        <v>车身_阅读灯运行状态</v>
      </c>
      <c r="E115" s="22" t="str">
        <v>位置：主驾/副驾/左后/右后; 状态：打开/关闭</v>
      </c>
      <c r="G115" s="23" t="str">
        <v>DZT0290</v>
      </c>
      <c r="H115" s="14" t="str">
        <v>已透传cdc</v>
      </c>
      <c r="K115" s="15" t="str">
        <v>情感空间</v>
      </c>
      <c r="P115" s="15" t="str">
        <v>P0</v>
      </c>
      <c r="Q115" s="16">
        <v>6.13</v>
      </c>
      <c r="R115" s="17" t="str">
        <v>✅ 架构已提供</v>
      </c>
      <c r="S115" s="14" t="str">
        <v>Pre-OTS版本-0804座舱转测</v>
      </c>
      <c r="T115" s="18" t="str">
        <v>车服务原子能力清单 </v>
      </c>
      <c r="U115" s="14" t="str">
        <v>ACTION_VEHICLE_ROOF_LIGHT_SINGLE_SWITCH</v>
      </c>
      <c r="V115" s="31">
        <v>46219</v>
      </c>
      <c r="W115" s="26" t="str">
        <v>吕鹏程</v>
      </c>
      <c r="X115" s="14" t="str">
        <v>ACS31车辆设置</v>
      </c>
      <c r="Y115" s="20" t="inlineStr">
        <is>
          <r>
            <t>@朱婧雯</t>
          </r>
        </is>
      </c>
    </row>
    <row r="116" spans="3:25">
      <c r="C116" s="21" t="str">
        <v>车身_门控顶灯状态</v>
      </c>
      <c r="D116" s="22" t="str">
        <v>车身_门控顶灯状态</v>
      </c>
      <c r="E116" s="22" t="str">
        <v>0=关闭, 1=开启</v>
      </c>
      <c r="G116" s="23" t="str">
        <v>DZT0291</v>
      </c>
      <c r="H116" s="14" t="str">
        <v>已透传cdc</v>
      </c>
      <c r="K116" s="15" t="str">
        <v>情感空间</v>
      </c>
      <c r="P116" s="15" t="str">
        <v>P0</v>
      </c>
      <c r="Q116" s="16">
        <v>6.13</v>
      </c>
      <c r="R116" s="17" t="str">
        <v>✅ 架构已提供</v>
      </c>
      <c r="S116" s="14" t="str">
        <v>Pre-OTS版本-0804座舱转测</v>
      </c>
      <c r="T116" s="18" t="str">
        <v>车服务原子能力清单 </v>
      </c>
      <c r="U116" s="14" t="str">
        <v>ACTION_VEHICLE_DOOR_LIGHT_SWITCH</v>
      </c>
      <c r="V116" s="31">
        <v>46218</v>
      </c>
      <c r="W116" s="26" t="str">
        <v>吕鹏程</v>
      </c>
      <c r="X116" s="14" t="str">
        <v>ACS31车辆设置</v>
      </c>
      <c r="Y116" s="20" t="inlineStr">
        <is>
          <r>
            <t>@朱婧雯</t>
          </r>
        </is>
      </c>
    </row>
    <row r="117" ht="75" customHeight="1" spans="2:25">
      <c r="B117" s="22" t="str">
        <v>3.7 胎压监测状态</v>
      </c>
      <c r="C117" s="21" t="str">
        <v>左前轮胎状态异常</v>
      </c>
      <c r="D117" s="22" t="str">
        <v>左前轮胎状态异常</v>
      </c>
      <c r="E117" s="14" t="str">
        <v>指示灯（黄色）+弹窗+车模轮胎显示</v>
      </c>
      <c r="G117" s="23" t="str">
        <v>DZT0292</v>
      </c>
      <c r="H117" s="14" t="str">
        <v>已透传cdc</v>
      </c>
      <c r="K117" s="15" t="str">
        <v>情感空间</v>
      </c>
      <c r="N117" s="14"/>
      <c r="P117" s="15" t="str">
        <v>P0</v>
      </c>
      <c r="Q117" s="16">
        <v>6.13</v>
      </c>
      <c r="R117" s="17" t="str">
        <v>✅ 架构已提供</v>
      </c>
      <c r="S117" s="14" t="str">
        <v>Pre-OTS版本-0804座舱转测</v>
      </c>
      <c r="T117" s="18" t="str">
        <v>车服务原子能力清单 </v>
      </c>
      <c r="U117" s="38" t="str">
        <v>ACTION_VEHICLE_TIRE_STATE_FL</v>
      </c>
      <c r="V117" s="31">
        <v>46216</v>
      </c>
      <c r="W117" s="14" t="str">
        <v>翟思敏</v>
      </c>
      <c r="X117" s="14" t="str">
        <v>ACS70天际屏（PHUD）</v>
      </c>
      <c r="Y117" s="20" t="inlineStr">
        <is>
          <r>
            <t>@朱婧雯</t>
          </r>
        </is>
      </c>
    </row>
    <row r="118" spans="3:25">
      <c r="C118" s="21" t="str">
        <v>左前轮胎胎压</v>
      </c>
      <c r="D118" s="22" t="str">
        <v>左前轮胎胎压</v>
      </c>
      <c r="E118" s="28" t="str">
        <v>101Kpa-354Kpa</v>
      </c>
      <c r="G118" s="23" t="str">
        <v>DZT0293</v>
      </c>
      <c r="H118" s="14" t="str">
        <v>已透传cdc</v>
      </c>
      <c r="K118" s="15" t="str">
        <v>情感空间</v>
      </c>
      <c r="P118" s="15" t="str">
        <v>P0</v>
      </c>
      <c r="Q118" s="16">
        <v>6.13</v>
      </c>
      <c r="R118" s="17" t="str">
        <v>✅ 架构已提供</v>
      </c>
      <c r="S118" s="14" t="str">
        <v>Pre-OTS版本-0804座舱转测</v>
      </c>
      <c r="T118" s="18" t="str">
        <v>车服务原子能力清单 </v>
      </c>
      <c r="U118" s="38" t="str">
        <v>ACTION_VEHICLE_TIRE_PRESSURE_FL</v>
      </c>
      <c r="V118" s="31">
        <v>46216</v>
      </c>
      <c r="W118" s="14" t="str">
        <v>翟思敏</v>
      </c>
      <c r="X118" s="14" t="str">
        <v>ACS70天际屏（PHUD）</v>
      </c>
      <c r="Y118" s="20" t="inlineStr">
        <is>
          <r>
            <t>@朱婧雯</t>
          </r>
        </is>
      </c>
    </row>
    <row r="119" ht="75" customHeight="1" spans="3:25">
      <c r="C119" s="21" t="str">
        <v>右前轮胎状态异常</v>
      </c>
      <c r="D119" s="22" t="str">
        <v>右前轮胎状态异常</v>
      </c>
      <c r="E119" s="14" t="str">
        <v>指示灯（黄色）+弹窗+车模轮胎显示</v>
      </c>
      <c r="G119" s="23" t="str">
        <v>DZT0294</v>
      </c>
      <c r="H119" s="14" t="str">
        <v>已透传cdc</v>
      </c>
      <c r="K119" s="15" t="str">
        <v>情感空间</v>
      </c>
      <c r="N119" s="14"/>
      <c r="P119" s="15" t="str">
        <v>P0</v>
      </c>
      <c r="Q119" s="16">
        <v>6.13</v>
      </c>
      <c r="R119" s="17" t="str">
        <v>✅ 架构已提供</v>
      </c>
      <c r="S119" s="14" t="str">
        <v>Pre-OTS版本-0804座舱转测</v>
      </c>
      <c r="T119" s="18" t="str">
        <v>车服务原子能力清单 </v>
      </c>
      <c r="U119" s="39" t="str">
        <v>ACTION_VEHICLE_TIRE_STATE_FR</v>
      </c>
      <c r="V119" s="31">
        <v>46216</v>
      </c>
      <c r="W119" s="14" t="str">
        <v>翟思敏</v>
      </c>
      <c r="X119" s="14" t="str">
        <v>ACS70天际屏（PHUD）</v>
      </c>
      <c r="Y119" s="20" t="inlineStr">
        <is>
          <r>
            <t>@朱婧雯</t>
          </r>
        </is>
      </c>
    </row>
    <row r="120" spans="3:25">
      <c r="C120" s="21" t="str">
        <v>右前轮胎胎压</v>
      </c>
      <c r="D120" s="22" t="str">
        <v>右前轮胎胎压</v>
      </c>
      <c r="E120" s="28" t="str">
        <v>101Kpa-354Kpa</v>
      </c>
      <c r="G120" s="23" t="str">
        <v>DZT0295</v>
      </c>
      <c r="H120" s="14" t="str">
        <v>已透传cdc</v>
      </c>
      <c r="K120" s="15" t="str">
        <v>情感空间</v>
      </c>
      <c r="P120" s="15" t="str">
        <v>P0</v>
      </c>
      <c r="Q120" s="16">
        <v>6.13</v>
      </c>
      <c r="R120" s="17" t="str">
        <v>✅ 架构已提供</v>
      </c>
      <c r="S120" s="14" t="str">
        <v>Pre-OTS版本-0804座舱转测</v>
      </c>
      <c r="T120" s="18" t="str">
        <v>车服务原子能力清单 </v>
      </c>
      <c r="U120" s="39" t="str">
        <v>ACTION_VEHICLE_TIRE_PRESSURE_FR</v>
      </c>
      <c r="V120" s="31">
        <v>46216</v>
      </c>
      <c r="W120" s="14" t="str">
        <v>翟思敏</v>
      </c>
      <c r="X120" s="14" t="str">
        <v>ACS70天际屏（PHUD）</v>
      </c>
      <c r="Y120" s="20" t="inlineStr">
        <is>
          <r>
            <t>@朱婧雯</t>
          </r>
        </is>
      </c>
    </row>
    <row r="121" ht="75" customHeight="1" spans="3:25">
      <c r="C121" s="21" t="str">
        <v>左后轮胎状态异常</v>
      </c>
      <c r="D121" s="22" t="str">
        <v>左后轮胎状态异常</v>
      </c>
      <c r="E121" s="14" t="str">
        <v>指示灯（黄色）+弹窗+车模轮胎显示</v>
      </c>
      <c r="G121" s="23" t="str">
        <v>DZT0296</v>
      </c>
      <c r="H121" s="14" t="str">
        <v>已透传cdc</v>
      </c>
      <c r="K121" s="15" t="str">
        <v>情感空间</v>
      </c>
      <c r="N121" s="14"/>
      <c r="P121" s="15" t="str">
        <v>P0</v>
      </c>
      <c r="Q121" s="16">
        <v>6.13</v>
      </c>
      <c r="R121" s="17" t="str">
        <v>✅ 架构已提供</v>
      </c>
      <c r="S121" s="14" t="str">
        <v>Pre-OTS版本-0804座舱转测</v>
      </c>
      <c r="T121" s="18" t="str">
        <v>车服务原子能力清单 </v>
      </c>
      <c r="U121" s="38" t="str">
        <v>ACTION_VEHICLE_TIRE_STATE_RL</v>
      </c>
      <c r="V121" s="31">
        <v>46216</v>
      </c>
      <c r="W121" s="14" t="str">
        <v>翟思敏</v>
      </c>
      <c r="X121" s="14" t="str">
        <v>ACS70天际屏（PHUD）</v>
      </c>
      <c r="Y121" s="20" t="inlineStr">
        <is>
          <r>
            <t>@朱婧雯</t>
          </r>
        </is>
      </c>
    </row>
    <row r="122" spans="3:25">
      <c r="C122" s="21" t="str">
        <v>左后轮胎胎压</v>
      </c>
      <c r="D122" s="22" t="str">
        <v>左后轮胎胎压</v>
      </c>
      <c r="E122" s="28" t="str">
        <v>101Kpa-354Kpa</v>
      </c>
      <c r="G122" s="23" t="str">
        <v>DZT0297</v>
      </c>
      <c r="H122" s="14" t="str">
        <v>已透传cdc</v>
      </c>
      <c r="K122" s="15" t="str">
        <v>情感空间</v>
      </c>
      <c r="P122" s="15" t="str">
        <v>P0</v>
      </c>
      <c r="Q122" s="16">
        <v>6.13</v>
      </c>
      <c r="R122" s="17" t="str">
        <v>✅ 架构已提供</v>
      </c>
      <c r="S122" s="14" t="str">
        <v>Pre-OTS版本-0804座舱转测</v>
      </c>
      <c r="T122" s="18" t="str">
        <v>车服务原子能力清单 </v>
      </c>
      <c r="U122" s="38" t="str">
        <v>ACTION_VEHICLE_TIRE_PRESSURE_RL</v>
      </c>
      <c r="V122" s="31">
        <v>46216</v>
      </c>
      <c r="W122" s="14" t="str">
        <v>翟思敏</v>
      </c>
      <c r="X122" s="14" t="str">
        <v>ACS70天际屏（PHUD）</v>
      </c>
      <c r="Y122" s="20" t="inlineStr">
        <is>
          <r>
            <t>@朱婧雯</t>
          </r>
        </is>
      </c>
    </row>
    <row r="123" ht="75" customHeight="1" spans="3:25">
      <c r="C123" s="21" t="str">
        <v>右轮胎状态异常</v>
      </c>
      <c r="D123" s="22" t="str">
        <v>右轮胎状态异常</v>
      </c>
      <c r="E123" s="14" t="str">
        <v>指示灯（黄色）+弹窗+车模轮胎显示</v>
      </c>
      <c r="G123" s="23" t="str">
        <v>DZT0298</v>
      </c>
      <c r="H123" s="14" t="str">
        <v>已透传cdc</v>
      </c>
      <c r="K123" s="15" t="str">
        <v>情感空间</v>
      </c>
      <c r="N123" s="14"/>
      <c r="P123" s="15" t="str">
        <v>P0</v>
      </c>
      <c r="Q123" s="16">
        <v>6.13</v>
      </c>
      <c r="R123" s="17" t="str">
        <v>✅ 架构已提供</v>
      </c>
      <c r="S123" s="14" t="str">
        <v>Pre-OTS版本-0804座舱转测</v>
      </c>
      <c r="T123" s="18" t="str">
        <v>车服务原子能力清单 </v>
      </c>
      <c r="U123" s="39" t="str">
        <v>ACTION_VEHICLE_TIRE_STATE_RR</v>
      </c>
      <c r="V123" s="31">
        <v>46216</v>
      </c>
      <c r="W123" s="14" t="str">
        <v>翟思敏</v>
      </c>
      <c r="X123" s="14" t="str">
        <v>ACS70天际屏（PHUD）</v>
      </c>
      <c r="Y123" s="20" t="inlineStr">
        <is>
          <r>
            <t>@朱婧雯</t>
          </r>
        </is>
      </c>
    </row>
    <row r="124" spans="3:25">
      <c r="C124" s="21" t="str">
        <v>右后轮胎胎压</v>
      </c>
      <c r="D124" s="22" t="str">
        <v>右后轮胎胎压</v>
      </c>
      <c r="E124" s="28" t="str">
        <v>101Kpa-354Kpa</v>
      </c>
      <c r="G124" s="23" t="str">
        <v>DZT0299</v>
      </c>
      <c r="H124" s="14" t="str">
        <v>已透传cdc</v>
      </c>
      <c r="K124" s="15" t="str">
        <v>情感空间</v>
      </c>
      <c r="P124" s="15" t="str">
        <v>P0</v>
      </c>
      <c r="Q124" s="16">
        <v>6.13</v>
      </c>
      <c r="R124" s="17" t="str">
        <v>✅ 架构已提供</v>
      </c>
      <c r="S124" s="14" t="str">
        <v>Pre-OTS版本-0804座舱转测</v>
      </c>
      <c r="T124" s="18" t="str">
        <v>车服务原子能力清单 </v>
      </c>
      <c r="U124" s="39" t="str">
        <v>ACTION_VEHICLE_TIRE_PRESSURE_RR</v>
      </c>
      <c r="V124" s="31">
        <v>46216</v>
      </c>
      <c r="W124" s="14" t="str">
        <v>翟思敏</v>
      </c>
      <c r="X124" s="14" t="str">
        <v>ACS70天际屏（PHUD）</v>
      </c>
      <c r="Y124" s="20" t="inlineStr">
        <is>
          <r>
            <t>@朱婧雯</t>
          </r>
        </is>
      </c>
    </row>
    <row r="125" spans="2:25">
      <c r="B125" s="22" t="str">
        <v>3.8 雨量光照状态</v>
      </c>
      <c r="C125" s="21" t="str">
        <v>左侧光强信息</v>
      </c>
      <c r="D125" s="22" t="str">
        <v>左侧光强信息</v>
      </c>
      <c r="E125" s="22" t="str">
        <v>w/㎡</v>
      </c>
      <c r="G125" s="14" t="str">
        <v>DZT0038</v>
      </c>
      <c r="H125" s="14" t="str">
        <v>已透传cdc</v>
      </c>
      <c r="K125" s="15" t="str">
        <v>AI温感控制</v>
      </c>
      <c r="P125" s="15" t="str">
        <v>P1</v>
      </c>
      <c r="Q125" s="16">
        <v>6.6</v>
      </c>
      <c r="R125" s="17" t="str">
        <v>✅ 架构已提供</v>
      </c>
      <c r="S125" s="14" t="str">
        <v>Pre-OTS版本-0804座舱转测</v>
      </c>
      <c r="T125" s="18" t="str">
        <v>Adapter_SD_keys </v>
      </c>
      <c r="U125" s="14" t="str">
        <v>ID_HVAC_SOLAR_INTENSITY_LEFT </v>
      </c>
      <c r="V125" s="31">
        <v>46195</v>
      </c>
      <c r="W125" s="32" t="str">
        <v>高杨</v>
      </c>
      <c r="X125" s="14" t="str">
        <v>ACS301Adapter</v>
      </c>
      <c r="Y125" s="20" t="inlineStr">
        <is>
          <r>
            <t>@陈杰</t>
          </r>
        </is>
      </c>
    </row>
    <row r="126" spans="3:25">
      <c r="C126" s="21" t="str">
        <v>右侧光强信息</v>
      </c>
      <c r="D126" s="22" t="str">
        <v>右侧光强信息</v>
      </c>
      <c r="E126" s="22" t="str">
        <v>w/㎡</v>
      </c>
      <c r="G126" s="14" t="str">
        <v>DZT0039</v>
      </c>
      <c r="H126" s="14" t="str">
        <v>已透传cdc</v>
      </c>
      <c r="K126" s="15" t="str">
        <v>AI温感控制</v>
      </c>
      <c r="P126" s="15" t="str">
        <v>P1</v>
      </c>
      <c r="Q126" s="16">
        <v>6.6</v>
      </c>
      <c r="R126" s="17" t="str">
        <v>✅ 架构已提供</v>
      </c>
      <c r="S126" s="14" t="str">
        <v>Pre-OTS版本-0804座舱转测</v>
      </c>
      <c r="T126" s="18" t="str">
        <v>Adapter_SD_keys </v>
      </c>
      <c r="U126" s="14" t="str">
        <v>ID_HVAC_SOLAR_INTENSITY_RIGHT</v>
      </c>
      <c r="V126" s="31">
        <v>46195</v>
      </c>
      <c r="W126" s="32" t="str">
        <v>高杨</v>
      </c>
      <c r="X126" s="14" t="str">
        <v>ACS301Adapter</v>
      </c>
      <c r="Y126" s="20" t="inlineStr">
        <is>
          <r>
            <t>@陈杰</t>
          </r>
        </is>
      </c>
    </row>
    <row r="127" spans="3:25">
      <c r="C127" s="21" t="str">
        <v>雨量等级</v>
      </c>
      <c r="D127" s="22" t="str">
        <v>雨量等级</v>
      </c>
      <c r="E127" s="22" t="str">
        <v>0-13</v>
      </c>
      <c r="G127" s="14" t="str">
        <v>DZT0040</v>
      </c>
      <c r="H127" s="14" t="str">
        <v>已透传cdc</v>
      </c>
      <c r="K127" s="15" t="str">
        <v>AI温感控制</v>
      </c>
      <c r="P127" s="15" t="str">
        <v>P1</v>
      </c>
      <c r="Q127" s="16">
        <v>6.6</v>
      </c>
      <c r="R127" s="17" t="str">
        <v>✅ 架构已提供</v>
      </c>
      <c r="S127" s="14" t="str">
        <v>Pre-OTS版本-0804座舱转测</v>
      </c>
      <c r="T127" s="18" t="str">
        <v>Adapter_SD_keys </v>
      </c>
      <c r="U127" s="26" t="str">
        <v>ID_HVAC_RAIN_FALL_LEVEL</v>
      </c>
      <c r="V127" s="31">
        <v>46195</v>
      </c>
      <c r="W127" s="32" t="str">
        <v>高杨</v>
      </c>
      <c r="X127" s="14" t="str">
        <v>ACS301Adapter</v>
      </c>
      <c r="Y127" s="20" t="inlineStr">
        <is>
          <r>
            <t>@陈杰</t>
          </r>
        </is>
      </c>
    </row>
    <row r="128" spans="3:25">
      <c r="C128" s="21" t="str">
        <v>玻璃温度</v>
      </c>
      <c r="D128" s="22" t="str">
        <v>玻璃温度</v>
      </c>
      <c r="E128" s="22" t="str">
        <v>℃</v>
      </c>
      <c r="G128" s="14" t="str">
        <v>DZT0041</v>
      </c>
      <c r="H128" s="14" t="str">
        <v>已透传cdc</v>
      </c>
      <c r="K128" s="15" t="str">
        <v>AI温感控制</v>
      </c>
      <c r="P128" s="15" t="str">
        <v>P1</v>
      </c>
      <c r="Q128" s="16">
        <v>6.6</v>
      </c>
      <c r="R128" s="17" t="str">
        <v>✅ 架构已提供</v>
      </c>
      <c r="S128" s="14" t="str">
        <v>Pre-OTS版本-0804座舱转测</v>
      </c>
      <c r="T128" s="18" t="str">
        <v>Adapter_SD_keys </v>
      </c>
      <c r="U128" s="26" t="str">
        <v>ID_HVAC_WINT_TEMP</v>
      </c>
      <c r="V128" s="31">
        <v>46195</v>
      </c>
      <c r="W128" s="32" t="str">
        <v>高杨</v>
      </c>
      <c r="X128" s="14" t="str">
        <v>ACS301Adapter</v>
      </c>
      <c r="Y128" s="20" t="inlineStr">
        <is>
          <r>
            <t>@陈杰</t>
          </r>
        </is>
      </c>
    </row>
    <row r="129" spans="3:25">
      <c r="C129" s="21" t="str">
        <v>露点温度</v>
      </c>
      <c r="D129" s="22" t="str">
        <v>露点温度</v>
      </c>
      <c r="E129" s="22" t="str">
        <v>℃</v>
      </c>
      <c r="G129" s="14" t="str">
        <v>DZT0042</v>
      </c>
      <c r="H129" s="14" t="str">
        <v>已透传cdc</v>
      </c>
      <c r="K129" s="15" t="str">
        <v>AI温感控制</v>
      </c>
      <c r="P129" s="15" t="str">
        <v>P1</v>
      </c>
      <c r="Q129" s="16">
        <v>6.6</v>
      </c>
      <c r="R129" s="17" t="str">
        <v>✅ 架构已提供</v>
      </c>
      <c r="S129" s="14" t="str">
        <v>Pre-OTS版本-0804座舱转测</v>
      </c>
      <c r="T129" s="18" t="str">
        <v>Adapter_SD_keys </v>
      </c>
      <c r="U129" s="14" t="str">
        <v>ID_HVAC_DEW_POINT_TEMP</v>
      </c>
      <c r="V129" s="31">
        <v>46195</v>
      </c>
      <c r="W129" s="32" t="str">
        <v>高杨</v>
      </c>
      <c r="X129" s="14" t="str">
        <v>ACS301Adapter</v>
      </c>
      <c r="Y129" s="20" t="inlineStr">
        <is>
          <r>
            <t>@陈杰</t>
          </r>
        </is>
      </c>
    </row>
    <row r="130" spans="3:25">
      <c r="C130" s="21" t="str">
        <v>车外温度</v>
      </c>
      <c r="D130" s="22" t="str">
        <v>车外温度</v>
      </c>
      <c r="E130" s="22" t="str">
        <v>℃</v>
      </c>
      <c r="G130" s="14" t="str">
        <v>DZT0043</v>
      </c>
      <c r="H130" s="14" t="str">
        <v>已透传cdc</v>
      </c>
      <c r="K130" s="15" t="str">
        <v>AI温感控制</v>
      </c>
      <c r="P130" s="15" t="str">
        <v>P1</v>
      </c>
      <c r="Q130" s="16">
        <v>6.6</v>
      </c>
      <c r="R130" s="17" t="str">
        <v>✅ 架构已提供</v>
      </c>
      <c r="S130" s="14" t="str">
        <v>Pre-OTS版本-0804座舱转测</v>
      </c>
      <c r="T130" s="18" t="str">
        <v>Adapter_SD_keys </v>
      </c>
      <c r="U130" s="26" t="str">
        <v>ID_HVAC_TEMP_OUT_CAR</v>
      </c>
      <c r="V130" s="31">
        <v>46195</v>
      </c>
      <c r="W130" s="32" t="str">
        <v>高杨</v>
      </c>
      <c r="X130" s="14" t="str">
        <v>ACS301Adapter</v>
      </c>
      <c r="Y130" s="20" t="inlineStr">
        <is>
          <r>
            <t>@陈杰</t>
          </r>
        </is>
      </c>
    </row>
    <row r="131" spans="3:25">
      <c r="C131" s="21" t="str">
        <v>车内温度</v>
      </c>
      <c r="D131" s="22" t="str">
        <v>车内温度</v>
      </c>
      <c r="E131" s="22" t="str">
        <v>℃</v>
      </c>
      <c r="G131" s="14" t="str">
        <v>DZT0044</v>
      </c>
      <c r="H131" s="14" t="str">
        <v>已透传cdc</v>
      </c>
      <c r="K131" s="15" t="str">
        <v>AI温感控制</v>
      </c>
      <c r="P131" s="15" t="str">
        <v>P1</v>
      </c>
      <c r="Q131" s="16">
        <v>6.6</v>
      </c>
      <c r="R131" s="17" t="str">
        <v>✅ 架构已提供</v>
      </c>
      <c r="S131" s="14" t="str">
        <v>Pre-OTS版本-0804座舱转测</v>
      </c>
      <c r="T131" s="18" t="str">
        <v>Adapter_SD_keys </v>
      </c>
      <c r="U131" s="26" t="str">
        <v>ID_HVAC_TEMP_IN_CAR</v>
      </c>
      <c r="V131" s="31">
        <v>46195</v>
      </c>
      <c r="W131" s="32" t="str">
        <v>高杨</v>
      </c>
      <c r="X131" s="14" t="str">
        <v>ACS301Adapter</v>
      </c>
      <c r="Y131" s="20" t="inlineStr">
        <is>
          <r>
            <t>@陈杰</t>
          </r>
        </is>
      </c>
    </row>
    <row r="132" spans="3:25">
      <c r="C132" s="21" t="str">
        <v>车内湿度</v>
      </c>
      <c r="D132" s="22" t="str">
        <v>车内湿度</v>
      </c>
      <c r="E132" s="22" t="str">
        <v>0~100 %RH</v>
      </c>
      <c r="G132" s="14" t="str">
        <v>DZT0045</v>
      </c>
      <c r="H132" s="14" t="str">
        <v>已透传cdc</v>
      </c>
      <c r="K132" s="15" t="str">
        <v>AI温感控制</v>
      </c>
      <c r="P132" s="15" t="str">
        <v>P1</v>
      </c>
      <c r="Q132" s="16">
        <v>6.6</v>
      </c>
      <c r="R132" s="17" t="str">
        <v>✅ 架构已提供</v>
      </c>
      <c r="S132" s="14" t="str">
        <v>Pre-OTS版本-0804座舱转测</v>
      </c>
      <c r="T132" s="18" t="str">
        <v>Adapter_SD_keys </v>
      </c>
      <c r="U132" s="26" t="str">
        <v>ID_HVAC_RELATIVE_HUMIDITY</v>
      </c>
      <c r="V132" s="31">
        <v>46195</v>
      </c>
      <c r="W132" s="32" t="str">
        <v>高杨</v>
      </c>
      <c r="X132" s="14" t="str">
        <v>ACS301Adapter</v>
      </c>
      <c r="Y132" s="20" t="inlineStr">
        <is>
          <r>
            <t>@陈杰</t>
          </r>
        </is>
      </c>
    </row>
    <row r="133" spans="2:25">
      <c r="B133" s="22" t="str">
        <v>3.9 车身防盗状态</v>
      </c>
      <c r="C133" s="21" t="str">
        <v>近车自动解锁设置</v>
      </c>
      <c r="D133" s="22" t="str">
        <v>近车自动解锁设置</v>
      </c>
      <c r="E133" s="22" t="str">
        <v>打开/关闭</v>
      </c>
      <c r="G133" s="23" t="str">
        <v>DZT0300</v>
      </c>
      <c r="H133" s="14" t="str">
        <v>已透传cdc</v>
      </c>
      <c r="P133" s="15" t="str">
        <v>P0</v>
      </c>
      <c r="Q133" s="16">
        <v>6.13</v>
      </c>
      <c r="R133" s="17" t="str">
        <v>✅ 架构已提供</v>
      </c>
      <c r="S133" s="14" t="str">
        <v>Pre-OTS版本-0804座舱转测</v>
      </c>
      <c r="T133" s="18" t="str">
        <v>车服务原子能力清单 </v>
      </c>
      <c r="U133" s="14" t="str">
        <v>ACTION_VEHICLE_VCH_UNLOCK_AUTO</v>
      </c>
      <c r="V133" s="16">
        <v>723</v>
      </c>
      <c r="W133" s="14" t="str">
        <v>郭俊</v>
      </c>
      <c r="X133" s="14" t="str">
        <v>ACS31车辆设置</v>
      </c>
      <c r="Y133" s="20" t="inlineStr">
        <is>
          <r>
            <t>@陈杰</t>
          </r>
        </is>
      </c>
    </row>
    <row r="134" spans="3:25">
      <c r="C134" s="21" t="str">
        <v>离车自动闭锁设置</v>
      </c>
      <c r="D134" s="22" t="str">
        <v>离车自动闭锁设置</v>
      </c>
      <c r="E134" s="22" t="str">
        <v>打开/关闭</v>
      </c>
      <c r="G134" s="23" t="str">
        <v>DZT0301</v>
      </c>
      <c r="H134" s="14" t="str">
        <v>已透传cdc</v>
      </c>
      <c r="P134" s="15" t="str">
        <v>P0</v>
      </c>
      <c r="Q134" s="16">
        <v>6.13</v>
      </c>
      <c r="R134" s="17" t="str">
        <v>✅ 架构已提供</v>
      </c>
      <c r="S134" s="14" t="str">
        <v>Pre-OTS版本-0804座舱转测</v>
      </c>
      <c r="T134" s="18" t="str">
        <v>车服务原子能力清单 </v>
      </c>
      <c r="U134" s="14" t="str">
        <v>ACTION_VEHICLE_VCH_UNLOCK_AUTO</v>
      </c>
      <c r="V134" s="16">
        <v>723</v>
      </c>
      <c r="W134" s="14" t="str">
        <v>郭俊</v>
      </c>
      <c r="X134" s="14" t="str">
        <v>ACS31车辆设置</v>
      </c>
      <c r="Y134" s="20" t="inlineStr">
        <is>
          <r>
            <t>@陈杰</t>
          </r>
        </is>
      </c>
    </row>
    <row r="135" spans="3:25">
      <c r="C135" s="21" t="str">
        <v>车身_闭锁提示音设置状态</v>
      </c>
      <c r="D135" s="22" t="str">
        <v>车身_闭锁提示音设置状态</v>
      </c>
      <c r="E135" s="22" t="str">
        <v>0=关闭, 1=开启/预设</v>
      </c>
      <c r="G135" s="24" t="str">
        <v>DZT0451</v>
      </c>
      <c r="H135" s="14" t="str">
        <v>已透传cdc</v>
      </c>
      <c r="P135" s="15" t="str">
        <v>P0</v>
      </c>
      <c r="Q135" s="16">
        <v>6.13</v>
      </c>
      <c r="R135" s="25" t="str">
        <v>🟡架构待新增</v>
      </c>
      <c r="X135" s="24" t="str">
        <v>ACS31车辆设置</v>
      </c>
      <c r="Y135" s="20" t="inlineStr">
        <is>
          <r>
            <t>@陈杰</t>
          </r>
        </is>
      </c>
    </row>
    <row r="136" spans="3:25">
      <c r="C136" s="21" t="str">
        <v>车身_主驾解锁保护设置</v>
      </c>
      <c r="D136" s="22" t="str">
        <v>车身_主驾解锁保护状态</v>
      </c>
      <c r="E136" s="22" t="str">
        <v>0=关闭, 1=开启</v>
      </c>
      <c r="G136" s="23" t="str">
        <v>DZT0302</v>
      </c>
      <c r="H136" s="14" t="str">
        <v>已透传cdc</v>
      </c>
      <c r="P136" s="15" t="str">
        <v>P0</v>
      </c>
      <c r="Q136" s="16">
        <v>6.13</v>
      </c>
      <c r="R136" s="17" t="str">
        <v>✅ 架构已提供</v>
      </c>
      <c r="S136" s="14" t="str">
        <v>Pre-OTS版本-0804座舱转测</v>
      </c>
      <c r="T136" s="18" t="str">
        <v>车服务原子能力清单 </v>
      </c>
      <c r="U136" s="26" t="str">
        <v>ACTION_VEHICLE_CENTER_LOCK_STATE</v>
      </c>
      <c r="V136" s="31">
        <v>46218</v>
      </c>
      <c r="W136" s="26" t="str">
        <v>王越强</v>
      </c>
      <c r="X136" s="14" t="str">
        <v>ACS31车辆设置</v>
      </c>
      <c r="Y136" s="20" t="inlineStr">
        <is>
          <r>
            <t>@陈杰</t>
          </r>
        </is>
      </c>
    </row>
    <row r="137" spans="3:25">
      <c r="C137" s="21" t="str">
        <v>车身_近车自动解锁设置</v>
      </c>
      <c r="D137" s="22" t="str">
        <v>车身_近车自动解锁状态</v>
      </c>
      <c r="E137" s="22" t="str">
        <v>0=关闭, 1=开启</v>
      </c>
      <c r="G137" s="23" t="str">
        <v>DZT0303</v>
      </c>
      <c r="H137" s="14" t="str">
        <v>已透传cdc</v>
      </c>
      <c r="P137" s="15" t="str">
        <v>P0</v>
      </c>
      <c r="Q137" s="16">
        <v>6.13</v>
      </c>
      <c r="R137" s="17" t="str">
        <v>✅ 架构已提供</v>
      </c>
      <c r="S137" s="14" t="str">
        <v>Pre-OTS版本-0804座舱转测</v>
      </c>
      <c r="T137" s="18" t="str">
        <v>车服务原子能力清单 </v>
      </c>
      <c r="U137" s="14" t="str">
        <v>ACTION_VEHICLE_VCH_UNLOCK_AUTO</v>
      </c>
      <c r="V137" s="16">
        <v>723</v>
      </c>
      <c r="W137" s="14" t="str">
        <v>郭俊</v>
      </c>
      <c r="X137" s="14" t="str">
        <v>ACS31车辆设置</v>
      </c>
      <c r="Y137" s="20" t="inlineStr">
        <is>
          <r>
            <t>@陈杰</t>
          </r>
        </is>
      </c>
    </row>
    <row r="138" spans="3:25">
      <c r="C138" s="21" t="str">
        <v>车身_离车自动闭锁设置</v>
      </c>
      <c r="D138" s="22" t="str">
        <v>车身_离车自动闭锁状态</v>
      </c>
      <c r="E138" s="22" t="str">
        <v>0=关闭, 1=开启</v>
      </c>
      <c r="G138" s="23" t="str">
        <v>DZT0304</v>
      </c>
      <c r="H138" s="14" t="str">
        <v>已透传cdc</v>
      </c>
      <c r="P138" s="15" t="str">
        <v>P0</v>
      </c>
      <c r="Q138" s="16">
        <v>6.13</v>
      </c>
      <c r="R138" s="17" t="str">
        <v>✅ 架构已提供</v>
      </c>
      <c r="S138" s="14" t="str">
        <v>Pre-OTS版本-0804座舱转测</v>
      </c>
      <c r="T138" s="18" t="str">
        <v>车服务原子能力清单 </v>
      </c>
      <c r="U138" s="14" t="str">
        <v>ACTION_VEHICLE_VCH_LOCK_AUTO</v>
      </c>
      <c r="V138" s="16">
        <v>723</v>
      </c>
      <c r="W138" s="14" t="str">
        <v>郭俊</v>
      </c>
      <c r="X138" s="14" t="str">
        <v>ACS31车辆设置</v>
      </c>
      <c r="Y138" s="20" t="inlineStr">
        <is>
          <r>
            <t>@陈杰</t>
          </r>
        </is>
      </c>
    </row>
    <row r="139" spans="3:25">
      <c r="C139" s="21" t="str">
        <v>车身_整车锁上锁状态</v>
      </c>
      <c r="D139" s="22" t="str">
        <v>车身_整车锁上锁状态</v>
      </c>
      <c r="E139" s="22" t="str">
        <v>0=关闭, 1=开启</v>
      </c>
      <c r="G139" s="24" t="str">
        <v>DZT0452</v>
      </c>
      <c r="H139" s="14" t="str">
        <v>已透传cdc</v>
      </c>
      <c r="O139" s="14" t="str">
        <v>功能打开代表车锁锁住，功能关闭代表车锁解开</v>
      </c>
      <c r="P139" s="15" t="str">
        <v>P0</v>
      </c>
      <c r="Q139" s="16">
        <v>6.13</v>
      </c>
      <c r="R139" s="25" t="str">
        <v>🟡架构待新增</v>
      </c>
      <c r="X139" s="24" t="str">
        <v>ACS31车辆设置</v>
      </c>
      <c r="Y139" s="20" t="inlineStr">
        <is>
          <r>
            <t>@陈杰</t>
          </r>
        </is>
      </c>
    </row>
    <row r="140" spans="3:25">
      <c r="C140" s="21" t="str">
        <v>车身_儿童锁状态</v>
      </c>
      <c r="D140" s="22" t="str">
        <v>车身_儿童锁状态</v>
      </c>
      <c r="E140" s="22" t="str">
        <v>0=关闭, 1=左后开启, 2=右后开启, 3=全部开启</v>
      </c>
      <c r="G140" s="24" t="str">
        <v>DZT0453</v>
      </c>
      <c r="H140" s="14" t="str">
        <v>已透传cdc</v>
      </c>
      <c r="O140" s="14" t="str">
        <v>功能打开代表车锁锁住，功能关闭代表车锁解开</v>
      </c>
      <c r="P140" s="15" t="str">
        <v>P0</v>
      </c>
      <c r="Q140" s="16">
        <v>6.13</v>
      </c>
      <c r="R140" s="25" t="str">
        <v>🟡架构待新增</v>
      </c>
      <c r="X140" s="24" t="str">
        <v>ACS31车辆设置</v>
      </c>
      <c r="Y140" s="20" t="inlineStr">
        <is>
          <r>
            <t>@陈杰</t>
          </r>
        </is>
      </c>
    </row>
    <row r="141" spans="3:25">
      <c r="C141" s="21" t="str">
        <v>车身_闭锁关遮阳帘设置</v>
      </c>
      <c r="D141" s="22" t="str">
        <v>车身_闭锁关遮阳帘设置状态</v>
      </c>
      <c r="E141" s="22" t="str">
        <v>0=关闭, 1=开启</v>
      </c>
      <c r="G141" s="23" t="str">
        <v>DZT0305</v>
      </c>
      <c r="H141" s="14" t="str">
        <v>已透传cdc</v>
      </c>
      <c r="P141" s="15" t="str">
        <v>P0</v>
      </c>
      <c r="Q141" s="16">
        <v>6.13</v>
      </c>
      <c r="R141" s="17" t="str">
        <v>✅ 架构已提供</v>
      </c>
      <c r="S141" s="14" t="str">
        <v>Pre-OTS版本-0804座舱转测</v>
      </c>
      <c r="T141" s="18" t="str">
        <v>车服务原子能力清单 </v>
      </c>
      <c r="U141" s="14" t="str">
        <v>ACTION_VEHICLE_SUNSHADE_CONTROL</v>
      </c>
      <c r="V141" s="16">
        <v>713</v>
      </c>
      <c r="W141" s="14" t="str">
        <v>刘鑫</v>
      </c>
      <c r="X141" s="14" t="str">
        <v>ACS31车辆设置</v>
      </c>
      <c r="Y141" s="20" t="inlineStr">
        <is>
          <r>
            <t>@陈杰</t>
          </r>
        </is>
      </c>
    </row>
    <row r="142" spans="3:25">
      <c r="C142" s="21" t="str">
        <v>车身_闭锁自动关窗设置</v>
      </c>
      <c r="D142" s="22" t="str">
        <v>车身_闭锁自动关窗设置状态</v>
      </c>
      <c r="E142" s="22" t="str">
        <v>0=关闭, 1=开启</v>
      </c>
      <c r="G142" s="23" t="str">
        <v>DZT0306</v>
      </c>
      <c r="H142" s="14" t="str">
        <v>已透传cdc</v>
      </c>
      <c r="P142" s="15" t="str">
        <v>P0</v>
      </c>
      <c r="Q142" s="16">
        <v>6.13</v>
      </c>
      <c r="R142" s="17" t="str">
        <v>✅ 架构已提供</v>
      </c>
      <c r="S142" s="14" t="str">
        <v>Pre-OTS版本-0804座舱转测</v>
      </c>
      <c r="T142" s="18" t="str">
        <v>车服务原子能力清单 </v>
      </c>
      <c r="U142" s="39" t="str">
        <v>ACTION_VEHICLE_LOCK_UP_WINDOW_STATE</v>
      </c>
      <c r="V142" s="31">
        <v>46216</v>
      </c>
      <c r="W142" s="14" t="str">
        <v>肖奇</v>
      </c>
      <c r="X142" s="14" t="str">
        <v>ACS31车辆设置</v>
      </c>
      <c r="Y142" s="20" t="inlineStr">
        <is>
          <r>
            <t>@陈杰</t>
          </r>
        </is>
      </c>
    </row>
    <row r="143" spans="2:25">
      <c r="B143" s="22" t="str">
        <v>3.10 安全带/安全气囊状态</v>
      </c>
      <c r="C143" s="21" t="str">
        <v>主驾安全带状态</v>
      </c>
      <c r="D143" s="22" t="str">
        <v>主驾安全带状态</v>
      </c>
      <c r="E143" s="22" t="str">
        <v>0=未系, 1=已系, 2=故障, 3=未配置</v>
      </c>
      <c r="G143" s="24" t="str">
        <v>DZT0454</v>
      </c>
      <c r="H143" s="14" t="str">
        <v>已透传cdc</v>
      </c>
      <c r="P143" s="15" t="str">
        <v>P0</v>
      </c>
      <c r="Q143" s="16">
        <v>6.13</v>
      </c>
      <c r="R143" s="25" t="str">
        <v>🟡架构待新增</v>
      </c>
      <c r="T143" s="18" t="str">
        <v>车服务原子能力清单 </v>
      </c>
      <c r="X143" s="24" t="str">
        <v>ACS31车辆设置</v>
      </c>
      <c r="Y143" s="20" t="inlineStr">
        <is>
          <r>
            <t>@陈杰</t>
          </r>
        </is>
      </c>
    </row>
    <row r="144" spans="3:25">
      <c r="C144" s="21" t="str">
        <v>副驾安全带状态</v>
      </c>
      <c r="D144" s="22" t="str">
        <v>副驾安全带状态</v>
      </c>
      <c r="E144" s="22" t="str">
        <v>0=未系, 1=已系, 2=故障, 3=未配置</v>
      </c>
      <c r="G144" s="24" t="str">
        <v>DZT0455</v>
      </c>
      <c r="H144" s="14" t="str">
        <v>已透传cdc</v>
      </c>
      <c r="P144" s="15" t="str">
        <v>P0</v>
      </c>
      <c r="Q144" s="16">
        <v>6.13</v>
      </c>
      <c r="R144" s="25" t="str">
        <v>🟡架构待新增</v>
      </c>
      <c r="X144" s="24" t="str">
        <v>ACS31车辆设置</v>
      </c>
      <c r="Y144" s="20" t="inlineStr">
        <is>
          <r>
            <t>@陈杰</t>
          </r>
        </is>
      </c>
    </row>
    <row r="145" spans="3:25">
      <c r="C145" s="21" t="str">
        <v>主驾后侧安全带状态</v>
      </c>
      <c r="D145" s="22" t="str">
        <v>主驾后侧安全带状态</v>
      </c>
      <c r="E145" s="22" t="str">
        <v>0=未系, 1=已系, 2=故障, 3=未配置</v>
      </c>
      <c r="G145" s="24" t="str">
        <v>DZT0456</v>
      </c>
      <c r="H145" s="14" t="str">
        <v>已透传cdc</v>
      </c>
      <c r="P145" s="15" t="str">
        <v>P0</v>
      </c>
      <c r="Q145" s="16">
        <v>6.13</v>
      </c>
      <c r="R145" s="25" t="str">
        <v>🟡架构待新增</v>
      </c>
      <c r="X145" s="24" t="str">
        <v>ACS31车辆设置</v>
      </c>
      <c r="Y145" s="20" t="inlineStr">
        <is>
          <r>
            <t>@陈杰</t>
          </r>
        </is>
      </c>
    </row>
    <row r="146" spans="3:25">
      <c r="C146" s="21" t="str">
        <v>副驾后侧安全带状态</v>
      </c>
      <c r="D146" s="22" t="str">
        <v>副驾后侧安全带状态</v>
      </c>
      <c r="E146" s="22" t="str">
        <v>0=未系, 1=已系, 2=故障, 3=未配置</v>
      </c>
      <c r="G146" s="24" t="str">
        <v>DZT0457</v>
      </c>
      <c r="H146" s="14" t="str">
        <v>已透传cdc</v>
      </c>
      <c r="P146" s="15" t="str">
        <v>P0</v>
      </c>
      <c r="Q146" s="16">
        <v>6.13</v>
      </c>
      <c r="R146" s="25" t="str">
        <v>🟡架构待新增</v>
      </c>
      <c r="X146" s="24" t="str">
        <v>ACS31车辆设置</v>
      </c>
      <c r="Y146" s="20" t="inlineStr">
        <is>
          <r>
            <t>@陈杰</t>
          </r>
        </is>
      </c>
    </row>
    <row r="147" spans="3:25">
      <c r="C147" s="21" t="str">
        <v>后排中间安全带状态</v>
      </c>
      <c r="D147" s="22" t="str">
        <v>后排中间安全带状态</v>
      </c>
      <c r="E147" s="22" t="str">
        <v>0=未系, 1=已系, 2=故障, 3=未配置</v>
      </c>
      <c r="G147" s="24" t="str">
        <v>DZT0458</v>
      </c>
      <c r="H147" s="14" t="str">
        <v>已透传cdc</v>
      </c>
      <c r="P147" s="15" t="str">
        <v>P0</v>
      </c>
      <c r="Q147" s="16">
        <v>6.13</v>
      </c>
      <c r="R147" s="25" t="str">
        <v>🟡架构待新增</v>
      </c>
      <c r="X147" s="24" t="str">
        <v>ACS31车辆设置</v>
      </c>
      <c r="Y147" s="20" t="inlineStr">
        <is>
          <r>
            <t>@陈杰</t>
          </r>
        </is>
      </c>
    </row>
    <row r="148" spans="3:25">
      <c r="C148" s="21" t="str">
        <v>车身_后排安全带未系提醒</v>
      </c>
      <c r="D148" s="22" t="str">
        <v>车身_后排安全带未系提醒状态</v>
      </c>
      <c r="E148" s="22" t="str">
        <v>0=关闭, 1=开启</v>
      </c>
      <c r="G148" s="24" t="str">
        <v>DZT0459</v>
      </c>
      <c r="H148" s="14" t="str">
        <v>已透传cdc</v>
      </c>
      <c r="P148" s="15" t="str">
        <v>P0</v>
      </c>
      <c r="Q148" s="16">
        <v>6.13</v>
      </c>
      <c r="R148" s="25" t="str">
        <v>🟡架构待新增</v>
      </c>
      <c r="X148" s="24" t="str">
        <v>ACS31车辆设置</v>
      </c>
      <c r="Y148" s="20" t="inlineStr">
        <is>
          <r>
            <t>@陈杰</t>
          </r>
        </is>
      </c>
    </row>
    <row r="149" spans="2:25">
      <c r="B149" s="22" t="str">
        <v>3.11 后视镜状态</v>
      </c>
      <c r="C149" s="21" t="str">
        <v>左侧后视镜位置</v>
      </c>
      <c r="D149" s="22" t="str">
        <v>左侧后视镜位置</v>
      </c>
      <c r="E149" s="22" t="str">
        <v>上下档位；左右档位</v>
      </c>
      <c r="G149" s="24" t="str">
        <v>DZT0460</v>
      </c>
      <c r="H149" s="14" t="str">
        <v>已透传cdc</v>
      </c>
      <c r="P149" s="15" t="str">
        <v>P0</v>
      </c>
      <c r="Q149" s="16">
        <v>6.13</v>
      </c>
      <c r="R149" s="25" t="str">
        <v>🟡架构待新增</v>
      </c>
      <c r="X149" s="24" t="str">
        <v>ACS31车辆设置</v>
      </c>
      <c r="Y149" s="20" t="inlineStr">
        <is>
          <r>
            <t>@陈杰</t>
          </r>
        </is>
      </c>
    </row>
    <row r="150" spans="3:25">
      <c r="C150" s="21" t="str">
        <v>右侧后视镜位置</v>
      </c>
      <c r="D150" s="22" t="str">
        <v>右侧后视镜位置</v>
      </c>
      <c r="E150" s="22" t="str">
        <v>上下档位；左右档位</v>
      </c>
      <c r="G150" s="24" t="str">
        <v>DZT0461</v>
      </c>
      <c r="H150" s="14" t="str">
        <v>已透传cdc</v>
      </c>
      <c r="P150" s="15" t="str">
        <v>P0</v>
      </c>
      <c r="Q150" s="16">
        <v>6.13</v>
      </c>
      <c r="R150" s="25" t="str">
        <v>🟡架构待新增</v>
      </c>
      <c r="X150" s="24" t="str">
        <v>ACS31车辆设置</v>
      </c>
      <c r="Y150" s="20" t="inlineStr">
        <is>
          <r>
            <t>@陈杰</t>
          </r>
        </is>
      </c>
    </row>
    <row r="151" spans="3:25">
      <c r="C151" s="21" t="str">
        <v>后视镜折叠状态</v>
      </c>
      <c r="D151" s="22" t="str">
        <v>后视镜折叠状态</v>
      </c>
      <c r="E151" s="22" t="str">
        <v>0=展开, 1=折叠, 2=运动中, 3=故障</v>
      </c>
      <c r="G151" s="23" t="str">
        <v>DZT0307</v>
      </c>
      <c r="H151" s="14" t="str">
        <v>已透传cdc</v>
      </c>
      <c r="P151" s="15" t="str">
        <v>P0</v>
      </c>
      <c r="Q151" s="16">
        <v>6.13</v>
      </c>
      <c r="R151" s="17" t="str">
        <v>✅ 架构已提供</v>
      </c>
      <c r="S151" s="14" t="str">
        <v>Pre-OTS版本-0804座舱转测</v>
      </c>
      <c r="X151" s="14" t="str">
        <v>ACS31车辆设置</v>
      </c>
      <c r="Y151" s="20" t="inlineStr">
        <is>
          <r>
            <t>@陈杰</t>
          </r>
        </is>
      </c>
    </row>
    <row r="152" spans="3:25">
      <c r="C152" s="21" t="str">
        <v>后视镜加热状态</v>
      </c>
      <c r="D152" s="22" t="str">
        <v>后视镜加热状态</v>
      </c>
      <c r="E152" s="22" t="str">
        <v>打开/关闭</v>
      </c>
      <c r="G152" s="14" t="str">
        <v>DZT0046</v>
      </c>
      <c r="H152" s="14" t="str">
        <v>已透传cdc</v>
      </c>
      <c r="I152" s="15" t="str">
        <v>BCM_RearView_CS 后视镜服务接口</v>
      </c>
      <c r="J152" s="15" t="str">
        <v>(Notification Event)RearViewStatus 上报后视镜状态</v>
      </c>
      <c r="K152" s="15" t="str">
        <v>AI温感控制</v>
      </c>
      <c r="P152" s="15" t="str">
        <v>P0</v>
      </c>
      <c r="Q152" s="16">
        <v>6.6</v>
      </c>
      <c r="R152" s="17" t="str">
        <v>✅ 架构已提供</v>
      </c>
      <c r="S152" s="14" t="str">
        <v>Pre-OTS版本-0804座舱转测</v>
      </c>
      <c r="T152" s="18" t="str">
        <v>车服务原子能力清单 </v>
      </c>
      <c r="U152" s="14" t="str">
        <v>ACTION_HVAC_WINDSHIELD_HEAT_REAR</v>
      </c>
      <c r="V152" s="19">
        <v>46202</v>
      </c>
      <c r="W152" s="14" t="str">
        <v>黄中沛</v>
      </c>
      <c r="X152" s="14" t="str">
        <v>ACS301Adapter</v>
      </c>
      <c r="Y152" s="20" t="inlineStr">
        <is>
          <r>
            <t>@陈杰</t>
          </r>
        </is>
      </c>
    </row>
    <row r="153" spans="2:25">
      <c r="B153" s="22" t="str">
        <v>3.12 天窗/遮阳帘状态</v>
      </c>
      <c r="C153" s="21" t="str">
        <v>车身_遮阳帘状态</v>
      </c>
      <c r="D153" s="22" t="str">
        <v>车身_遮阳帘状态</v>
      </c>
      <c r="E153" s="22" t="str">
        <v>状态: 0=全关, 1=全开, 2=运动中, 3=防夹触发, 4=故障; 位置: 0~100%</v>
      </c>
      <c r="G153" s="14" t="str">
        <v>DZT0047</v>
      </c>
      <c r="H153" s="14" t="str">
        <v>已透传cdc</v>
      </c>
      <c r="I153" s="15" t="str">
        <v>BCM_SunRoof_CS 天窗控制服务</v>
      </c>
      <c r="J153" s="15" t="str">
        <v>(Notification Event)SunRoofStatus 天窗状态上报</v>
      </c>
      <c r="K153" s="15" t="str">
        <v>AI温感控制</v>
      </c>
      <c r="P153" s="15" t="str">
        <v>P0</v>
      </c>
      <c r="Q153" s="16">
        <v>6.6</v>
      </c>
      <c r="R153" s="17" t="str">
        <v>✅ 架构已提供</v>
      </c>
      <c r="S153" s="14" t="str">
        <v>Pre-OTS版本-0804座舱转测</v>
      </c>
      <c r="T153" s="18" t="str">
        <v>车服务原子能力清单 </v>
      </c>
      <c r="U153" s="14" t="str">
        <v>ACTION_VEHICLE_SUNSHADE_CONTROL</v>
      </c>
      <c r="V153" s="19">
        <v>46218</v>
      </c>
      <c r="W153" s="14" t="str">
        <v>刘鑫</v>
      </c>
      <c r="X153" s="14" t="str">
        <v>ACS301Adapter</v>
      </c>
      <c r="Y153" s="20" t="inlineStr">
        <is>
          <r>
            <t>@陈杰</t>
          </r>
        </is>
      </c>
    </row>
    <row r="154" spans="2:25">
      <c r="B154" s="22" t="str">
        <v>3.13 雨刮状态</v>
      </c>
      <c r="C154" s="21" t="str">
        <v>车身_雨刮运行状态</v>
      </c>
      <c r="D154" s="22" t="str">
        <v>车身_雨刮运行状态</v>
      </c>
      <c r="E154" s="22" t="str">
        <v>状态: 0=停止, 1=间歇, 2=低速, 3=高速, 4=维修位, 5=故障</v>
      </c>
      <c r="G154" s="24" t="str">
        <v>DZT0462</v>
      </c>
      <c r="H154" s="14" t="str">
        <v>欧阳晓坤</v>
      </c>
      <c r="P154" s="15" t="str">
        <v>P1</v>
      </c>
      <c r="Q154" s="16">
        <v>6.13</v>
      </c>
      <c r="R154" s="25" t="str">
        <v>🟡架构待新增</v>
      </c>
      <c r="X154" s="24" t="str">
        <v>ACS301Adapter</v>
      </c>
      <c r="Y154" s="20" t="inlineStr">
        <is>
          <r>
            <t>@陈杰</t>
          </r>
        </is>
      </c>
    </row>
    <row r="155" spans="3:25">
      <c r="C155" s="21" t="str">
        <v>车身_雨刮档位状态</v>
      </c>
      <c r="D155" s="22" t="str">
        <v>车身_雨刮档位状态</v>
      </c>
      <c r="E155" s="22" t="str">
        <v>0=手动, 1=自动
</v>
      </c>
      <c r="G155" s="24" t="str">
        <v>DZT0463</v>
      </c>
      <c r="H155" s="14" t="str">
        <v>已透传cdc</v>
      </c>
      <c r="P155" s="15" t="str">
        <v>P0</v>
      </c>
      <c r="Q155" s="16">
        <v>6.13</v>
      </c>
      <c r="R155" s="25" t="str">
        <v>🟡架构待新增</v>
      </c>
      <c r="X155" s="24" t="str">
        <v>ACS301Adapter</v>
      </c>
      <c r="Y155" s="20" t="inlineStr">
        <is>
          <r>
            <t>@陈杰</t>
          </r>
        </is>
      </c>
    </row>
    <row r="156" spans="2:25">
      <c r="B156" s="22" t="str">
        <v>3.14 喇叭状态</v>
      </c>
      <c r="C156" s="21" t="str">
        <v>车身_喇叭状态</v>
      </c>
      <c r="D156" s="22" t="str">
        <v>车身_喇叭状态</v>
      </c>
      <c r="E156" s="22" t="str">
        <v>状态: 0=未按下, 1=按下; 故障: 0=无故障, 1=短路, 2=断路, 3=过流</v>
      </c>
      <c r="G156" s="14" t="str">
        <v>DZT0048</v>
      </c>
      <c r="H156" s="14" t="str">
        <v>现在没有</v>
      </c>
      <c r="P156" s="15" t="str">
        <v>P2</v>
      </c>
      <c r="Q156" s="16">
        <v>6.6</v>
      </c>
      <c r="R156" s="17" t="str">
        <v>✅ 架构已提供</v>
      </c>
      <c r="S156" s="14" t="str">
        <v>Pre-OTS版本-0804座舱转测</v>
      </c>
      <c r="T156" s="18" t="str">
        <v>Adapter_SD_keys 
E68 Adapter方案:https://sai-seres.feishu.cn/wiki/S2H1wC6vAiAYYEkvt7Wcif57nQg </v>
      </c>
      <c r="U156" s="14" t="str">
        <v>SeresPlatformSDK.getSeresAdapter().registerCallback
SeresPlatformSDK.getSeresAdapter().getValue</v>
      </c>
      <c r="V156" s="19">
        <v>46204</v>
      </c>
      <c r="W156" s="14" t="str">
        <v>冯鑫林</v>
      </c>
      <c r="X156" s="14" t="str">
        <v>ACS301Adapter</v>
      </c>
      <c r="Y156" s="20" t="inlineStr">
        <is>
          <r>
            <t>@朱婧雯</t>
          </r>
        </is>
      </c>
    </row>
    <row r="157" spans="3:25">
      <c r="C157" s="21" t="str">
        <v>车身_喇叭按下时长</v>
      </c>
      <c r="D157" s="22" t="str">
        <v>车身_喇叭按下时长</v>
      </c>
      <c r="E157" s="22" t="str">
        <v>多少s</v>
      </c>
      <c r="G157" s="14" t="str">
        <v>DZT0049</v>
      </c>
      <c r="H157" s="14" t="str">
        <v>CDC自行判断</v>
      </c>
      <c r="P157" s="15" t="str">
        <v>P1</v>
      </c>
      <c r="Q157" s="16">
        <v>6.6</v>
      </c>
      <c r="R157" s="17" t="str">
        <v>✅ 架构已提供</v>
      </c>
      <c r="S157" s="14" t="str">
        <v>Pre-OTS版本-0804座舱转测</v>
      </c>
      <c r="T157" s="18" t="str">
        <v>Adapter_SD_keys 
E68 Adapter方案:https://sai-seres.feishu.cn/wiki/S2H1wC6vAiAYYEkvt7Wcif57nQg </v>
      </c>
      <c r="U157" s="14" t="str">
        <v>SeresPlatformSDK.getSeresAdapter().registerCallback
SeresPlatformSDK.getSeresAdapter().getValue</v>
      </c>
      <c r="V157" s="19">
        <v>46204</v>
      </c>
      <c r="W157" s="14" t="str">
        <v>冯鑫林</v>
      </c>
      <c r="X157" s="14" t="str">
        <v>ACS301Adapter</v>
      </c>
      <c r="Y157" s="20" t="inlineStr">
        <is>
          <r>
            <t>@朱婧雯</t>
          </r>
        </is>
      </c>
    </row>
    <row r="158" spans="2:25">
      <c r="B158" s="22" t="str">
        <v>3.15 方向盘状态</v>
      </c>
      <c r="C158" s="21" t="str">
        <v>方向盘位置</v>
      </c>
      <c r="D158" s="22" t="str">
        <v>方向盘位置</v>
      </c>
      <c r="E158" s="22" t="str">
        <v>高低档位；上下档位</v>
      </c>
      <c r="G158" s="23" t="str">
        <v>DZT0308</v>
      </c>
      <c r="H158" s="14" t="str">
        <v>已透传cdc</v>
      </c>
      <c r="P158" s="15" t="str">
        <v>P0</v>
      </c>
      <c r="Q158" s="16">
        <v>6.13</v>
      </c>
      <c r="R158" s="17" t="str">
        <v>✅ 架构已提供</v>
      </c>
      <c r="S158" s="14" t="str">
        <v>Pre-OTS版本-0804座舱转测</v>
      </c>
      <c r="T158" s="18" t="str">
        <v>车服务原子能力清单 </v>
      </c>
      <c r="U158" s="26" t="str">
        <v>ACTION_VEHICLE_STEER_WHEEL_ADJUST_HEIGHT</v>
      </c>
      <c r="V158" s="19">
        <v>46218</v>
      </c>
      <c r="W158" s="14" t="str">
        <v>郑伯川</v>
      </c>
      <c r="X158" s="14" t="str">
        <v>ACS31车辆设置</v>
      </c>
      <c r="Y158" s="20" t="inlineStr">
        <is>
          <r>
            <t>@许圣义</t>
          </r>
        </is>
      </c>
    </row>
    <row r="159" spans="3:25">
      <c r="C159" s="21" t="str">
        <v>方向盘加热状态</v>
      </c>
      <c r="D159" s="22" t="str">
        <v>方向盘加热状态</v>
      </c>
      <c r="E159" s="22" t="str">
        <v>打开/关闭</v>
      </c>
      <c r="G159" s="14" t="str">
        <v>DZT0050</v>
      </c>
      <c r="H159" s="14" t="str">
        <v>已透传cdc</v>
      </c>
      <c r="I159" s="15" t="str">
        <v>BCM_SteerWhl_CS 提供方向盘的控制和状态服务</v>
      </c>
      <c r="J159" s="15" t="str">
        <v>(Notification Event)SeatStatus 上报方向盘功能状态</v>
      </c>
      <c r="K159" s="15" t="str">
        <v>AI温感控制</v>
      </c>
      <c r="P159" s="15" t="str">
        <v>P0</v>
      </c>
      <c r="Q159" s="16">
        <v>6.6</v>
      </c>
      <c r="R159" s="17" t="str">
        <v>✅ 架构已提供</v>
      </c>
      <c r="S159" s="14" t="str">
        <v>Pre-OTS版本-0804座舱转测</v>
      </c>
      <c r="T159" s="18" t="str">
        <v>车服务原子能力清单 </v>
      </c>
      <c r="U159" s="14" t="str">
        <v>ACTION_SEAT_WHEEL_HEAT</v>
      </c>
      <c r="V159" s="19">
        <v>46202</v>
      </c>
      <c r="W159" s="14" t="str">
        <v>黄中沛</v>
      </c>
      <c r="X159" s="14" t="str">
        <v>ACS301Adapter</v>
      </c>
      <c r="Y159" s="20" t="inlineStr">
        <is>
          <r>
            <t>@陈杰</t>
          </r>
        </is>
      </c>
    </row>
    <row r="160" spans="3:25">
      <c r="C160" s="21" t="str">
        <v>方向盘脱手状态检测</v>
      </c>
      <c r="D160" s="22" t="str">
        <v>方向盘脱手状态检测</v>
      </c>
      <c r="E160" s="22" t="str">
        <v>是/否</v>
      </c>
      <c r="G160" s="24" t="str">
        <v>DZT0464</v>
      </c>
      <c r="H160" s="14" t="str">
        <v>智驾</v>
      </c>
      <c r="P160" s="15" t="str">
        <v>P1</v>
      </c>
      <c r="Q160" s="16">
        <v>6.13</v>
      </c>
      <c r="R160" s="25" t="str">
        <v>🟡架构待新增</v>
      </c>
      <c r="X160" s="24" t="str">
        <v>ACS301Adapter</v>
      </c>
      <c r="Y160" s="20" t="inlineStr">
        <is>
          <r>
            <t>@朱婧雯</t>
          </r>
        </is>
      </c>
    </row>
    <row r="161" spans="3:25">
      <c r="C161" s="21" t="str">
        <v>方向盘脱手时长</v>
      </c>
      <c r="D161" s="22" t="str">
        <v>方向盘脱手时长</v>
      </c>
      <c r="E161" s="22" t="str">
        <v>min</v>
      </c>
      <c r="G161" s="24" t="str">
        <v>DZT0465</v>
      </c>
      <c r="H161" s="14" t="str">
        <v>智驾</v>
      </c>
      <c r="P161" s="15" t="str">
        <v>P1</v>
      </c>
      <c r="Q161" s="16">
        <v>6.13</v>
      </c>
      <c r="R161" s="25" t="str">
        <v>🟡架构待新增</v>
      </c>
      <c r="X161" s="24" t="str">
        <v>ACS301Adapter</v>
      </c>
      <c r="Y161" s="20" t="inlineStr">
        <is>
          <r>
            <t>@朱婧雯</t>
          </r>
        </is>
      </c>
    </row>
    <row r="162" spans="2:25">
      <c r="B162" s="22" t="str">
        <v>3.16 座椅状态</v>
      </c>
      <c r="C162" s="27" t="str">
        <v>座椅占位</v>
      </c>
      <c r="D162" s="22" t="str">
        <v>主驾座椅占位状态</v>
      </c>
      <c r="E162" s="22" t="str">
        <v>0=Initial
1=Free
2=Occupied
3=Invalid</v>
      </c>
      <c r="G162" s="14" t="str">
        <v>DZT0051</v>
      </c>
      <c r="H162" s="14" t="str">
        <v>已透传cdc</v>
      </c>
      <c r="I162" s="15" t="str">
        <v>BCM_Seat_CS 座椅调节服务</v>
      </c>
      <c r="J162" s="15" t="str">
        <v>（Notification）SeatStatus.SeatInstanceStatus.</v>
      </c>
      <c r="K162" s="15" t="str">
        <v>全车人员识别; AI温感控制; 情感空间</v>
      </c>
      <c r="P162" s="15" t="str">
        <v>P0</v>
      </c>
      <c r="Q162" s="16">
        <v>6.6</v>
      </c>
      <c r="R162" s="17" t="str">
        <v>✅ 架构已提供</v>
      </c>
      <c r="S162" s="14" t="str">
        <v>Pre-OTS版本-0804座舱转测</v>
      </c>
      <c r="T162" s="18" t="str">
        <v>Adapter_SD_keys </v>
      </c>
      <c r="U162" s="26" t="str">
        <v>ID_VCH_SEAT_DETCETION_STATUS_FL</v>
      </c>
      <c r="V162" s="19">
        <v>46195</v>
      </c>
      <c r="W162" s="32" t="str">
        <v>高杨</v>
      </c>
      <c r="X162" s="14" t="str">
        <v>ACS301Adapter</v>
      </c>
      <c r="Y162" s="20" t="inlineStr">
        <is>
          <r>
            <t>@陈杰</t>
          </r>
        </is>
      </c>
    </row>
    <row r="163" spans="3:25">
      <c r="C163" s="27" t="str">
        <v>座椅占位</v>
      </c>
      <c r="D163" s="22" t="str">
        <v>副驾座椅占位状态</v>
      </c>
      <c r="E163" s="22" t="str">
        <v>0=Initial
1=Free
2=Occupied
4=Invalid</v>
      </c>
      <c r="G163" s="14" t="str">
        <v>DZT0052</v>
      </c>
      <c r="H163" s="14" t="str">
        <v>已透传cdc</v>
      </c>
      <c r="I163" s="15" t="str">
        <v>BCM_Seat_CS 座椅调节服务</v>
      </c>
      <c r="J163" s="15" t="str">
        <v>（Notification）SeatStatus.SeatInstanceStatus.</v>
      </c>
      <c r="K163" s="15" t="str">
        <v>全车人员识别; AI温感控制; 情感空间</v>
      </c>
      <c r="P163" s="15" t="str">
        <v>P0</v>
      </c>
      <c r="Q163" s="16">
        <v>6.6</v>
      </c>
      <c r="R163" s="17" t="str">
        <v>✅ 架构已提供</v>
      </c>
      <c r="S163" s="14" t="str">
        <v>Pre-OTS版本-0804座舱转测</v>
      </c>
      <c r="T163" s="18" t="str">
        <v>Adapter_SD_keys </v>
      </c>
      <c r="U163" s="26" t="str">
        <v>ID_VCH_SEAT_DETCETION_STATUS_FR</v>
      </c>
      <c r="V163" s="19">
        <v>46195</v>
      </c>
      <c r="W163" s="32" t="str">
        <v>高杨</v>
      </c>
      <c r="X163" s="14" t="str">
        <v>ACS301Adapter</v>
      </c>
      <c r="Y163" s="20" t="inlineStr">
        <is>
          <r>
            <t>@陈杰</t>
          </r>
        </is>
      </c>
    </row>
    <row r="164" spans="3:25">
      <c r="C164" s="27" t="str">
        <v>座椅占位</v>
      </c>
      <c r="D164" s="22" t="str">
        <v>主驾后侧座椅占位状态</v>
      </c>
      <c r="E164" s="22" t="str">
        <v>0=Initial
1=Free
2=Occupied
3=Invalid</v>
      </c>
      <c r="G164" s="14" t="str">
        <v>DZT0053</v>
      </c>
      <c r="H164" s="14" t="str">
        <v>已透传cdc</v>
      </c>
      <c r="I164" s="15" t="str">
        <v>BCM_Seat_CS 座椅调节服务</v>
      </c>
      <c r="J164" s="15" t="str">
        <v>（Notification）SeatStatus.SeatInstanceStatus.</v>
      </c>
      <c r="K164" s="15" t="str">
        <v>全车人员识别; AI温感控制; 情感空间</v>
      </c>
      <c r="P164" s="15" t="str">
        <v>P0</v>
      </c>
      <c r="Q164" s="16">
        <v>6.6</v>
      </c>
      <c r="R164" s="17" t="str">
        <v>✅ 架构已提供</v>
      </c>
      <c r="S164" s="14" t="str">
        <v>Pre-OTS版本-0804座舱转测</v>
      </c>
      <c r="T164" s="18" t="str">
        <v>Adapter_SD_keys </v>
      </c>
      <c r="U164" s="26" t="str">
        <v>ID_VCH_SEAT_DETCETION_STATUS_RL</v>
      </c>
      <c r="V164" s="19">
        <v>46195</v>
      </c>
      <c r="W164" s="32" t="str">
        <v>高杨</v>
      </c>
      <c r="X164" s="14" t="str">
        <v>ACS301Adapter</v>
      </c>
      <c r="Y164" s="20" t="inlineStr">
        <is>
          <r>
            <t>@陈杰</t>
          </r>
        </is>
      </c>
    </row>
    <row r="165" spans="3:25">
      <c r="C165" s="27" t="str">
        <v>座椅占位</v>
      </c>
      <c r="D165" s="22" t="str">
        <v>副驾后侧座椅占位状态</v>
      </c>
      <c r="E165" s="22" t="str">
        <v>0=Initial
1=Free
2=Occupied
3=Invalid</v>
      </c>
      <c r="G165" s="14" t="str">
        <v>DZT0054</v>
      </c>
      <c r="H165" s="14" t="str">
        <v>已透传cdc</v>
      </c>
      <c r="I165" s="15" t="str">
        <v>BCM_Seat_CS 座椅调节服务</v>
      </c>
      <c r="J165" s="15" t="str">
        <v>（Notification）SeatStatus.SeatInstanceStatus.</v>
      </c>
      <c r="K165" s="15" t="str">
        <v>全车人员识别; AI温感控制; 情感空间</v>
      </c>
      <c r="P165" s="15" t="str">
        <v>P0</v>
      </c>
      <c r="Q165" s="16">
        <v>6.6</v>
      </c>
      <c r="R165" s="17" t="str">
        <v>✅ 架构已提供</v>
      </c>
      <c r="S165" s="14" t="str">
        <v>Pre-OTS版本-0804座舱转测</v>
      </c>
      <c r="T165" s="18" t="str">
        <v>Adapter_SD_keys </v>
      </c>
      <c r="U165" s="26" t="str">
        <v>ID_VCH_SEAT_DETCETION_STATUS_RR</v>
      </c>
      <c r="V165" s="19">
        <v>46195</v>
      </c>
      <c r="W165" s="32" t="str">
        <v>高杨</v>
      </c>
      <c r="X165" s="14" t="str">
        <v>ACS301Adapter</v>
      </c>
      <c r="Y165" s="20" t="inlineStr">
        <is>
          <r>
            <t>@陈杰</t>
          </r>
        </is>
      </c>
    </row>
    <row r="166" spans="3:25">
      <c r="C166" s="27" t="str">
        <v>座椅占位</v>
      </c>
      <c r="D166" s="22" t="str">
        <v>后排中座椅占位状态</v>
      </c>
      <c r="E166" s="22" t="str">
        <v>0=Initial
1=Free
2=Occupied
4=Invalid</v>
      </c>
      <c r="G166" s="14" t="str">
        <v>DZT0055</v>
      </c>
      <c r="H166" s="14" t="str">
        <v>已透传cdc</v>
      </c>
      <c r="I166" s="15" t="str">
        <v>BCM_Seat_CS 座椅调节服务</v>
      </c>
      <c r="J166" s="15" t="str">
        <v>（Notification）SeatStatus.SeatInstanceStatus.</v>
      </c>
      <c r="K166" s="15" t="str">
        <v>全车人员识别; AI温感控制; 情感空间</v>
      </c>
      <c r="P166" s="15" t="str">
        <v>P0</v>
      </c>
      <c r="Q166" s="16">
        <v>6.6</v>
      </c>
      <c r="R166" s="17" t="str">
        <v>✅ 架构已提供</v>
      </c>
      <c r="S166" s="14" t="str">
        <v>Pre-OTS版本-0804座舱转测</v>
      </c>
      <c r="T166" s="18" t="str">
        <v>Adapter_SD_keys </v>
      </c>
      <c r="U166" s="26" t="str">
        <v>ID_VCH_SEAT_DETCETION_STATUS_RM</v>
      </c>
      <c r="V166" s="19">
        <v>46195</v>
      </c>
      <c r="W166" s="32" t="str">
        <v>高杨</v>
      </c>
      <c r="X166" s="14" t="str">
        <v>ACS301Adapter</v>
      </c>
      <c r="Y166" s="20" t="inlineStr">
        <is>
          <r>
            <t>@陈杰</t>
          </r>
        </is>
      </c>
    </row>
    <row r="167" spans="3:25">
      <c r="C167" s="27" t="str">
        <v>主驾座椅调节</v>
      </c>
      <c r="D167" s="22" t="str">
        <v>车身_主驾座椅前后位置值</v>
      </c>
      <c r="E167" s="22" t="str">
        <v>0~100%; 距离: 0~464mm</v>
      </c>
      <c r="G167" s="23" t="str">
        <v>DZT0309</v>
      </c>
      <c r="H167" s="14" t="str">
        <v>已透传cdc</v>
      </c>
      <c r="I167" s="15" t="str">
        <v>BCM_Seat_CS 座椅调节服务</v>
      </c>
      <c r="J167" s="15" t="str">
        <v>（Notification）SeatStatus</v>
      </c>
      <c r="P167" s="15" t="str">
        <v>P0</v>
      </c>
      <c r="Q167" s="16">
        <v>6.13</v>
      </c>
      <c r="R167" s="17" t="str">
        <v>✅ 架构已提供</v>
      </c>
      <c r="S167" s="14" t="str">
        <v>Pre-OTS版本-0804座舱转测</v>
      </c>
      <c r="T167" s="18" t="str">
        <v>车服务原子能力清单 </v>
      </c>
      <c r="U167" s="26" t="str">
        <v>ACTION_SEAT_POSITION_ADJUST_HORIZONTAL_FL</v>
      </c>
      <c r="V167" s="16">
        <v>714</v>
      </c>
      <c r="W167" s="14" t="str">
        <v>颜长青</v>
      </c>
      <c r="X167" s="14" t="str">
        <v>ACS31车辆设置</v>
      </c>
      <c r="Y167" s="20" t="inlineStr">
        <is>
          <r>
            <t>@许圣义</t>
          </r>
        </is>
      </c>
    </row>
    <row r="168" spans="3:25">
      <c r="C168" s="27" t="str">
        <v>主驾座椅调节</v>
      </c>
      <c r="D168" s="22" t="str">
        <v>车身_主驾座椅高度位置值</v>
      </c>
      <c r="E168" s="22" t="str">
        <v>0~100%</v>
      </c>
      <c r="G168" s="23" t="str">
        <v>DZT0310</v>
      </c>
      <c r="H168" s="14" t="str">
        <v>已透传cdc</v>
      </c>
      <c r="I168" s="15" t="str">
        <v>BCM_Seat_CS 座椅调节服务</v>
      </c>
      <c r="J168" s="15" t="str">
        <v>（Notification）SeatStatus</v>
      </c>
      <c r="P168" s="15" t="str">
        <v>P0</v>
      </c>
      <c r="Q168" s="16">
        <v>6.13</v>
      </c>
      <c r="R168" s="17" t="str">
        <v>✅ 架构已提供</v>
      </c>
      <c r="S168" s="14" t="str">
        <v>Pre-OTS版本-0804座舱转测</v>
      </c>
      <c r="T168" s="18" t="str">
        <v>车服务原子能力清单 </v>
      </c>
      <c r="U168" s="40" t="str">
        <v>ACTION_SEAT_POSITION_ADJUST_VERTICAL_FL</v>
      </c>
      <c r="V168" s="16">
        <v>714</v>
      </c>
      <c r="W168" s="14" t="str">
        <v>颜长青</v>
      </c>
      <c r="X168" s="14" t="str">
        <v>ACS31车辆设置</v>
      </c>
      <c r="Y168" s="20" t="inlineStr">
        <is>
          <r>
            <t>@许圣义</t>
          </r>
        </is>
      </c>
    </row>
    <row r="169" spans="3:25">
      <c r="C169" s="27" t="str">
        <v>主驾座椅调节</v>
      </c>
      <c r="D169" s="22" t="str">
        <v>车身_主驾座椅靠背角度值</v>
      </c>
      <c r="E169" s="22" t="str">
        <v>90~180°</v>
      </c>
      <c r="G169" s="23" t="str">
        <v>DZT0311</v>
      </c>
      <c r="H169" s="14" t="str">
        <v>已透传cdc</v>
      </c>
      <c r="I169" s="15" t="str">
        <v>BCM_Seat_CS 座椅调节服务</v>
      </c>
      <c r="J169" s="15" t="str">
        <v>（Notification）SeatStatus</v>
      </c>
      <c r="P169" s="15" t="str">
        <v>P0</v>
      </c>
      <c r="Q169" s="16">
        <v>6.13</v>
      </c>
      <c r="R169" s="17" t="str">
        <v>✅ 架构已提供</v>
      </c>
      <c r="S169" s="14" t="str">
        <v>Pre-OTS版本-0804座舱转测</v>
      </c>
      <c r="T169" s="18" t="str">
        <v>车服务原子能力清单 </v>
      </c>
      <c r="U169" s="14" t="str">
        <v>ACTION_SEAT_POSITION_ADJUST_BACKREST_ANGLE_FL</v>
      </c>
      <c r="V169" s="16">
        <v>714</v>
      </c>
      <c r="W169" s="14" t="str">
        <v>颜长青</v>
      </c>
      <c r="X169" s="14" t="str">
        <v>ACS31车辆设置</v>
      </c>
      <c r="Y169" s="20" t="inlineStr">
        <is>
          <r>
            <t>@许圣义</t>
          </r>
        </is>
      </c>
    </row>
    <row r="170" spans="3:25">
      <c r="C170" s="27" t="str">
        <v>主驾座椅调节</v>
      </c>
      <c r="D170" s="22" t="str">
        <v>车身_主驾座椅腰托压力档位</v>
      </c>
      <c r="E170" s="22" t="str">
        <v>1~5档</v>
      </c>
      <c r="G170" s="23" t="str">
        <v>DZT0312</v>
      </c>
      <c r="H170" s="14" t="str">
        <v>已透传cdc</v>
      </c>
      <c r="I170" s="15" t="str">
        <v>BCM_Seat_CS 座椅调节服务</v>
      </c>
      <c r="J170" s="15" t="str">
        <v>（Notification）SeatStatus</v>
      </c>
      <c r="P170" s="15" t="str">
        <v>P0</v>
      </c>
      <c r="Q170" s="16">
        <v>6.13</v>
      </c>
      <c r="R170" s="17" t="str">
        <v>✅ 架构已提供</v>
      </c>
      <c r="S170" s="14" t="str">
        <v>Pre-OTS版本-0804座舱转测</v>
      </c>
      <c r="T170" s="18" t="str">
        <v>车服务原子能力清单 </v>
      </c>
      <c r="U170" s="40" t="inlineStr">
        <is>
          <r>
            <t>ACTION_LUMBAR_SUPPORT_SENSITIVITY_LEVEL_FL</t>
          </r>
        </is>
      </c>
      <c r="V170" s="16">
        <v>714</v>
      </c>
      <c r="W170" s="14" t="str">
        <v>颜长青</v>
      </c>
      <c r="X170" s="14" t="str">
        <v>ACS31车辆设置</v>
      </c>
      <c r="Y170" s="20" t="inlineStr">
        <is>
          <r>
            <t>@许圣义</t>
          </r>
        </is>
      </c>
    </row>
    <row r="171" spans="3:25">
      <c r="C171" s="27" t="str">
        <v>主驾座椅调节</v>
      </c>
      <c r="D171" s="22" t="str">
        <v>车身_主驾座椅腰托灵敏度挡位</v>
      </c>
      <c r="E171" s="3" t="str">
        <v>关闭/低/中/高</v>
      </c>
      <c r="G171" s="23" t="str">
        <v>DZT0313</v>
      </c>
      <c r="H171" s="14" t="str">
        <v>已透传cdc</v>
      </c>
      <c r="I171" s="15" t="str">
        <v>BCM_Seat_CS 座椅调节服务</v>
      </c>
      <c r="J171" s="15" t="str">
        <v>（Notification）SeatStatus</v>
      </c>
      <c r="P171" s="15" t="str">
        <v>P0</v>
      </c>
      <c r="Q171" s="16">
        <v>6.13</v>
      </c>
      <c r="R171" s="17" t="str">
        <v>✅ 架构已提供</v>
      </c>
      <c r="S171" s="14" t="str">
        <v>Pre-OTS版本-0804座舱转测</v>
      </c>
      <c r="T171" s="18" t="str">
        <v>车服务原子能力清单 </v>
      </c>
      <c r="U171" s="40" t="inlineStr">
        <is>
          <r>
            <t>ACTION_LUMBAR_PRESSURE_LEVEL_FL</t>
          </r>
        </is>
      </c>
      <c r="V171" s="16">
        <v>714</v>
      </c>
      <c r="W171" s="14" t="str">
        <v>颜长青</v>
      </c>
      <c r="X171" s="14" t="str">
        <v>ACS31车辆设置</v>
      </c>
      <c r="Y171" s="20" t="inlineStr">
        <is>
          <r>
            <t>@许圣义</t>
          </r>
        </is>
      </c>
    </row>
    <row r="172" spans="3:25">
      <c r="C172" s="27" t="str">
        <v>主驾座椅调节</v>
      </c>
      <c r="D172" s="22" t="str">
        <v>车身_主驾座椅座垫高度位置值</v>
      </c>
      <c r="E172" s="22" t="str">
        <v>0~100%</v>
      </c>
      <c r="G172" s="23" t="str">
        <v>DZT0314</v>
      </c>
      <c r="H172" s="14" t="str">
        <v>已透传cdc</v>
      </c>
      <c r="I172" s="15" t="str">
        <v>BCM_Seat_CS 座椅调节服务</v>
      </c>
      <c r="J172" s="15" t="str">
        <v>（Notification）SeatStatus</v>
      </c>
      <c r="P172" s="15" t="str">
        <v>P0</v>
      </c>
      <c r="Q172" s="16">
        <v>6.13</v>
      </c>
      <c r="R172" s="17" t="str">
        <v>✅ 架构已提供</v>
      </c>
      <c r="S172" s="14" t="str">
        <v>Pre-OTS版本-0804座舱转测</v>
      </c>
      <c r="T172" s="18" t="str">
        <v>车服务原子能力清单 </v>
      </c>
      <c r="U172" s="40" t="str">
        <v>ACTION_SEAT_POSITION_ADJUST_VERTICAL_FL</v>
      </c>
      <c r="V172" s="16">
        <v>714</v>
      </c>
      <c r="W172" s="14" t="str">
        <v>颜长青</v>
      </c>
      <c r="X172" s="14" t="str">
        <v>ACS31车辆设置</v>
      </c>
      <c r="Y172" s="20" t="inlineStr">
        <is>
          <r>
            <t>@许圣义</t>
          </r>
        </is>
      </c>
    </row>
    <row r="173" spans="3:25">
      <c r="C173" s="27" t="str">
        <v>主驾座椅调节</v>
      </c>
      <c r="D173" s="22" t="str">
        <v>车身_主驾座椅腿托前后位置值</v>
      </c>
      <c r="E173" s="22" t="str">
        <v>0~100%</v>
      </c>
      <c r="G173" s="23" t="str">
        <v>DZT0315</v>
      </c>
      <c r="H173" s="14" t="str">
        <v>已透传cdc</v>
      </c>
      <c r="I173" s="15" t="str">
        <v>BCM_Seat_CS 座椅调节服务</v>
      </c>
      <c r="J173" s="15" t="str">
        <v>（Notification）SeatStatus</v>
      </c>
      <c r="P173" s="15" t="str">
        <v>P0</v>
      </c>
      <c r="Q173" s="16">
        <v>6.13</v>
      </c>
      <c r="R173" s="17" t="str">
        <v>✅ 架构已提供</v>
      </c>
      <c r="S173" s="14" t="str">
        <v>Pre-OTS版本-0804座舱转测</v>
      </c>
      <c r="T173" s="18" t="str">
        <v>车服务原子能力清单 </v>
      </c>
      <c r="U173" s="40" t="str">
        <v>ACTION_SEAT_POSITION_ADJUST_LEG_REST_LENGTH_FL</v>
      </c>
      <c r="V173" s="16">
        <v>714</v>
      </c>
      <c r="W173" s="14" t="str">
        <v>颜长青</v>
      </c>
      <c r="X173" s="14" t="str">
        <v>ACS31车辆设置</v>
      </c>
      <c r="Y173" s="20" t="inlineStr">
        <is>
          <r>
            <t>@许圣义</t>
          </r>
        </is>
      </c>
    </row>
    <row r="174" spans="3:25">
      <c r="C174" s="27" t="str">
        <v>主驾座椅调节</v>
      </c>
      <c r="D174" s="22" t="str">
        <v>车身_主驾座椅腿托角度位置值</v>
      </c>
      <c r="E174" s="22" t="str">
        <v>0~100%</v>
      </c>
      <c r="G174" s="23" t="str">
        <v>DZT0316</v>
      </c>
      <c r="H174" s="14" t="str">
        <v>已透传cdc</v>
      </c>
      <c r="I174" s="15" t="str">
        <v>BCM_Seat_CS 座椅调节服务</v>
      </c>
      <c r="J174" s="15" t="str">
        <v>（Notification）SeatStatus</v>
      </c>
      <c r="P174" s="15" t="str">
        <v>P0</v>
      </c>
      <c r="Q174" s="16">
        <v>6.13</v>
      </c>
      <c r="R174" s="17" t="str">
        <v>✅ 架构已提供</v>
      </c>
      <c r="S174" s="14" t="str">
        <v>Pre-OTS版本-0804座舱转测</v>
      </c>
      <c r="T174" s="18" t="str">
        <v>车服务原子能力清单 </v>
      </c>
      <c r="U174" s="14" t="str">
        <v>ACTION_SEAT_POSITION_ADJUST_LEG_REST_ANGLE_FL</v>
      </c>
      <c r="V174" s="16">
        <v>714</v>
      </c>
      <c r="W174" s="14" t="str">
        <v>颜长青</v>
      </c>
      <c r="X174" s="14" t="str">
        <v>ACS31车辆设置</v>
      </c>
      <c r="Y174" s="20" t="inlineStr">
        <is>
          <r>
            <t>@许圣义</t>
          </r>
        </is>
      </c>
    </row>
    <row r="175" spans="3:25">
      <c r="C175" s="27" t="str">
        <v>主驾座椅调节</v>
      </c>
      <c r="D175" s="22" t="str">
        <v>车身_主驾座椅加热状态</v>
      </c>
      <c r="E175" s="22" t="str">
        <v>0=关闭, 1=低挡, 2=中挡, 3=高挡</v>
      </c>
      <c r="G175" s="14" t="str">
        <v>DZT0056</v>
      </c>
      <c r="H175" s="14" t="str">
        <v>已透传cdc</v>
      </c>
      <c r="I175" s="15" t="str">
        <v>BCM_Seat_CS 座椅调节服务</v>
      </c>
      <c r="J175" s="15" t="str">
        <v>(Notification Event)SeatStatus 上报座椅状态</v>
      </c>
      <c r="K175" s="15" t="str">
        <v>AI温感控制</v>
      </c>
      <c r="P175" s="15" t="str">
        <v>P0</v>
      </c>
      <c r="Q175" s="16">
        <v>6.6</v>
      </c>
      <c r="R175" s="17" t="str">
        <v>✅ 架构已提供</v>
      </c>
      <c r="S175" s="14" t="str">
        <v>Pre-OTS版本-0804座舱转测</v>
      </c>
      <c r="T175" s="18" t="str">
        <v>车服务原子能力清单 </v>
      </c>
      <c r="U175" s="26" t="str">
        <v>ACTION_SEAT_HEAT_FL</v>
      </c>
      <c r="V175" s="16">
        <v>629</v>
      </c>
      <c r="W175" s="14" t="str">
        <v>黄中沛</v>
      </c>
      <c r="X175" s="14" t="str">
        <v>ACS301Adapter</v>
      </c>
      <c r="Y175" s="20" t="inlineStr">
        <is>
          <r>
            <t>@陈杰</t>
          </r>
        </is>
      </c>
    </row>
    <row r="176" spans="3:25">
      <c r="C176" s="27" t="str">
        <v>主驾座椅调节</v>
      </c>
      <c r="D176" s="22" t="str">
        <v>车身_主驾座椅通风状态</v>
      </c>
      <c r="E176" s="22" t="str">
        <v>0=关闭, 1=低挡, 2=中挡, 3=高挡</v>
      </c>
      <c r="G176" s="14" t="str">
        <v>DZT0057</v>
      </c>
      <c r="H176" s="14" t="str">
        <v>已透传cdc</v>
      </c>
      <c r="I176" s="15" t="str">
        <v>BCM_Seat_CS 座椅调节服务</v>
      </c>
      <c r="J176" s="15" t="str">
        <v>(Notification Event)SeatStatus 上报座椅状态</v>
      </c>
      <c r="K176" s="15" t="str">
        <v>AI温感控制</v>
      </c>
      <c r="P176" s="15" t="str">
        <v>P0</v>
      </c>
      <c r="Q176" s="16">
        <v>6.6</v>
      </c>
      <c r="R176" s="17" t="str">
        <v>✅ 架构已提供</v>
      </c>
      <c r="S176" s="14" t="str">
        <v>Pre-OTS版本-0804座舱转测</v>
      </c>
      <c r="T176" s="18" t="str">
        <v>车服务原子能力清单 </v>
      </c>
      <c r="U176" s="14" t="str">
        <v>ACTION_SEAT_VENT_FL</v>
      </c>
      <c r="V176" s="16">
        <v>629</v>
      </c>
      <c r="W176" s="14" t="str">
        <v>黄中沛</v>
      </c>
      <c r="X176" s="14" t="str">
        <v>ACS301Adapter</v>
      </c>
      <c r="Y176" s="20" t="inlineStr">
        <is>
          <r>
            <t>@陈杰</t>
          </r>
        </is>
      </c>
    </row>
    <row r="177" spans="3:25">
      <c r="C177" s="27" t="str">
        <v>主驾座椅调节</v>
      </c>
      <c r="D177" s="22" t="str">
        <v>车身_主驾座椅按摩强度状态</v>
      </c>
      <c r="E177" s="22" t="str">
        <v>0=关闭, 1=轻柔, 2=标准, 3=强力, 4=波浪, 5=深度</v>
      </c>
      <c r="G177" s="23" t="str">
        <v>DZT0317</v>
      </c>
      <c r="H177" s="14" t="str">
        <v>已透传cdc</v>
      </c>
      <c r="I177" s="15" t="str">
        <v>BCM_Seat_CS 座椅调节服务</v>
      </c>
      <c r="J177" s="15" t="str">
        <v>(Notification Event)SeatStatus 上报座椅状态</v>
      </c>
      <c r="K177" s="15" t="str">
        <v>AI温感控制; 情感空间; 松弛模式（AI）</v>
      </c>
      <c r="P177" s="15" t="str">
        <v>P0</v>
      </c>
      <c r="Q177" s="16">
        <v>6.13</v>
      </c>
      <c r="R177" s="17" t="str">
        <v>✅ 架构已提供</v>
      </c>
      <c r="S177" s="14" t="str">
        <v>Pre-OTS版本-0804座舱转测</v>
      </c>
      <c r="T177" s="18" t="str">
        <v>车服务原子能力清单 </v>
      </c>
      <c r="U177" s="14" t="str">
        <v>ACTION_SEAT_MASSAGE_STR_FL</v>
      </c>
      <c r="V177" s="16">
        <v>715</v>
      </c>
      <c r="W177" s="14" t="str">
        <v>黄中沛</v>
      </c>
      <c r="X177" s="14" t="str">
        <v>ACS31车辆设置</v>
      </c>
      <c r="Y177" s="20" t="inlineStr">
        <is>
          <r>
            <t>@陈杰</t>
          </r>
        </is>
      </c>
    </row>
    <row r="178" spans="3:25">
      <c r="C178" s="27" t="str">
        <v>主驾座椅调节</v>
      </c>
      <c r="D178" s="22" t="str">
        <v>车身_主驾座椅按摩模式状态</v>
      </c>
      <c r="E178" s="22" t="str">
        <v>0～5</v>
      </c>
      <c r="G178" s="23" t="str">
        <v>DZT0318</v>
      </c>
      <c r="H178" s="14" t="str">
        <v>已透传cdc</v>
      </c>
      <c r="I178" s="15" t="str">
        <v>BCM_Seat_CS 座椅调节服务</v>
      </c>
      <c r="J178" s="15" t="str">
        <v>(Notification Event)SeatStatus 上报座椅状态</v>
      </c>
      <c r="K178" s="15" t="str">
        <v>AI温感控制; 情感空间; 松弛模式（AI）</v>
      </c>
      <c r="P178" s="15" t="str">
        <v>P0</v>
      </c>
      <c r="Q178" s="16">
        <v>6.13</v>
      </c>
      <c r="R178" s="17" t="str">
        <v>✅ 架构已提供</v>
      </c>
      <c r="S178" s="14" t="str">
        <v>Pre-OTS版本-0804座舱转测</v>
      </c>
      <c r="X178" s="14" t="str">
        <v>ACS31车辆设置</v>
      </c>
      <c r="Y178" s="20" t="inlineStr">
        <is>
          <r>
            <t>@陈杰</t>
          </r>
        </is>
      </c>
    </row>
    <row r="179" spans="3:25">
      <c r="C179" s="27" t="str">
        <v>主驾座椅调节</v>
      </c>
      <c r="D179" s="22" t="str">
        <v>车身_主驾座椅记忆位置状态</v>
      </c>
      <c r="E179" s="22" t="str">
        <v>0=无记忆, 1=模式一, 2=模式二, 3=模式三, 4=调用中</v>
      </c>
      <c r="G179" s="23" t="str">
        <v>DZT0319</v>
      </c>
      <c r="H179" s="14" t="str">
        <v>已透传cdc</v>
      </c>
      <c r="I179" s="15" t="str">
        <v>BCM_Seat_CS 座椅调节服务</v>
      </c>
      <c r="J179" s="15" t="str">
        <v>（Notification）SeatStatus</v>
      </c>
      <c r="P179" s="15" t="str">
        <v>P0</v>
      </c>
      <c r="Q179" s="16">
        <v>6.13</v>
      </c>
      <c r="R179" s="17" t="str">
        <v>✅ 架构已提供</v>
      </c>
      <c r="S179" s="14" t="str">
        <v>Pre-OTS版本-0804座舱转测</v>
      </c>
      <c r="T179" s="18" t="str">
        <v>车服务原子能力清单 </v>
      </c>
      <c r="U179" s="26" t="str">
        <v>ACTION_SEAT_MEMORY_WITHOUT_DIALOG_FL</v>
      </c>
      <c r="V179" s="16">
        <v>714</v>
      </c>
      <c r="W179" s="14" t="str">
        <v>颜长青</v>
      </c>
      <c r="X179" s="14" t="str">
        <v>ACS31车辆设置</v>
      </c>
      <c r="Y179" s="20" t="inlineStr">
        <is>
          <r>
            <t>@许圣义</t>
          </r>
        </is>
      </c>
    </row>
    <row r="180" spans="3:25">
      <c r="C180" s="27" t="str">
        <v>主驾座椅调节</v>
      </c>
      <c r="D180" s="22" t="str">
        <v>车身_主驾零重力座椅状态</v>
      </c>
      <c r="E180" s="22" t="str">
        <v>0=未激活, 1=进入中, 2=已进入, 3=退出中</v>
      </c>
      <c r="G180" s="23" t="str">
        <v>DZT0320</v>
      </c>
      <c r="H180" s="14" t="str">
        <v>已透传cdc</v>
      </c>
      <c r="I180" s="15" t="str">
        <v>BCM_Seat_CS 座椅调节服务</v>
      </c>
      <c r="J180" s="15" t="str">
        <v>（Notification）SeatStatus</v>
      </c>
      <c r="P180" s="15" t="str">
        <v>P0</v>
      </c>
      <c r="Q180" s="16">
        <v>6.13</v>
      </c>
      <c r="R180" s="17" t="str">
        <v>✅ 架构已提供</v>
      </c>
      <c r="S180" s="14" t="str">
        <v>Pre-OTS版本-0804座舱转测</v>
      </c>
      <c r="T180" s="18" t="str">
        <v>车服务原子能力清单 </v>
      </c>
      <c r="U180" s="39" t="str">
        <v>ACTION_ZERO_SEAT_PASS_FOLD_CONTROL_FL</v>
      </c>
      <c r="V180" s="16">
        <v>714</v>
      </c>
      <c r="W180" s="14" t="str">
        <v>颜长青</v>
      </c>
      <c r="X180" s="14" t="str">
        <v>ACS31车辆设置</v>
      </c>
      <c r="Y180" s="20" t="inlineStr">
        <is>
          <r>
            <t>@许圣义</t>
          </r>
        </is>
      </c>
    </row>
    <row r="181" spans="3:25">
      <c r="C181" s="27" t="str">
        <v>主驾座椅调节</v>
      </c>
      <c r="D181" s="22" t="str">
        <v>车身_主驾床椅状态</v>
      </c>
      <c r="E181" s="22" t="str">
        <v>0=未激活, 1=进入中, 2=已进入, 3=退出中</v>
      </c>
      <c r="G181" s="23" t="str">
        <v>DZT0321</v>
      </c>
      <c r="H181" s="14" t="str">
        <v>已透传cdc</v>
      </c>
      <c r="I181" s="15" t="str">
        <v>BCM_Seat_CS 座椅调节服务</v>
      </c>
      <c r="J181" s="15" t="str">
        <v>（Notification）SeatStatus</v>
      </c>
      <c r="P181" s="15" t="str">
        <v>P0</v>
      </c>
      <c r="Q181" s="16">
        <v>6.13</v>
      </c>
      <c r="R181" s="17" t="str">
        <v>✅ 架构已提供</v>
      </c>
      <c r="S181" s="14" t="str">
        <v>Pre-OTS版本-0804座舱转测</v>
      </c>
      <c r="T181" s="18" t="str">
        <v>车服务原子能力清单 </v>
      </c>
      <c r="U181" s="14" t="str">
        <v>ACTION_ONE_KEY_BED_SEAT_FL</v>
      </c>
      <c r="V181" s="16">
        <v>714</v>
      </c>
      <c r="W181" s="14" t="str">
        <v>颜长青</v>
      </c>
      <c r="X181" s="14" t="str">
        <v>ACS31车辆设置</v>
      </c>
      <c r="Y181" s="20" t="inlineStr">
        <is>
          <r>
            <t>@许圣义</t>
          </r>
        </is>
      </c>
    </row>
    <row r="182" spans="3:25">
      <c r="C182" s="21" t="str">
        <v>副驾座椅调节</v>
      </c>
      <c r="D182" s="22" t="str">
        <v>车身_副驾座椅前后位置值</v>
      </c>
      <c r="E182" s="22" t="str">
        <v>0~100%; 距离: 0~464mm</v>
      </c>
      <c r="G182" s="23" t="str">
        <v>DZT0322</v>
      </c>
      <c r="H182" s="14" t="str">
        <v>已透传cdc</v>
      </c>
      <c r="I182" s="15" t="str">
        <v>BCM_Seat_CS 座椅调节服务</v>
      </c>
      <c r="J182" s="15" t="str">
        <v>（Notification）SeatStatus</v>
      </c>
      <c r="P182" s="15" t="str">
        <v>P0</v>
      </c>
      <c r="Q182" s="16">
        <v>6.13</v>
      </c>
      <c r="R182" s="17" t="str">
        <v>✅ 架构已提供</v>
      </c>
      <c r="S182" s="14" t="str">
        <v>Pre-OTS版本-0804座舱转测</v>
      </c>
      <c r="T182" s="18" t="str">
        <v>车服务原子能力清单 </v>
      </c>
      <c r="U182" s="40" t="str">
        <v>ACTION_SEAT_POSITION_ADJUST_HORIZONTAL_FR</v>
      </c>
      <c r="V182" s="16">
        <v>714</v>
      </c>
      <c r="W182" s="14" t="str">
        <v>颜长青</v>
      </c>
      <c r="X182" s="14" t="str">
        <v>ACS31车辆设置</v>
      </c>
      <c r="Y182" s="20" t="inlineStr">
        <is>
          <r>
            <t>@许圣义</t>
          </r>
        </is>
      </c>
    </row>
    <row r="183" spans="3:25">
      <c r="C183" s="21" t="str">
        <v>副驾座椅调节</v>
      </c>
      <c r="D183" s="22" t="str">
        <v>车身_副驾座椅高度位置值</v>
      </c>
      <c r="E183" s="22" t="str">
        <v>0~100%</v>
      </c>
      <c r="G183" s="23" t="str">
        <v>DZT0323</v>
      </c>
      <c r="H183" s="14" t="str">
        <v>已透传cdc</v>
      </c>
      <c r="I183" s="15" t="str">
        <v>BCM_Seat_CS 座椅调节服务</v>
      </c>
      <c r="J183" s="15" t="str">
        <v>（Notification）SeatStatus</v>
      </c>
      <c r="P183" s="15" t="str">
        <v>P0</v>
      </c>
      <c r="Q183" s="16">
        <v>6.13</v>
      </c>
      <c r="R183" s="17" t="str">
        <v>✅ 架构已提供</v>
      </c>
      <c r="S183" s="14" t="str">
        <v>Pre-OTS版本-0804座舱转测</v>
      </c>
      <c r="T183" s="18" t="str">
        <v>车服务原子能力清单 </v>
      </c>
      <c r="U183" s="40" t="str">
        <v>ACTION_SEAT_POSITION_ADJUST_VERTICAL_FR</v>
      </c>
      <c r="V183" s="16">
        <v>714</v>
      </c>
      <c r="W183" s="14" t="str">
        <v>颜长青</v>
      </c>
      <c r="X183" s="14" t="str">
        <v>ACS31车辆设置</v>
      </c>
      <c r="Y183" s="20" t="inlineStr">
        <is>
          <r>
            <t>@许圣义</t>
          </r>
        </is>
      </c>
    </row>
    <row r="184" spans="3:25">
      <c r="C184" s="21" t="str">
        <v>副驾座椅调节</v>
      </c>
      <c r="D184" s="22" t="str">
        <v>车身_副驾座椅靠背角度值</v>
      </c>
      <c r="E184" s="22" t="str">
        <v>90~180°</v>
      </c>
      <c r="G184" s="23" t="str">
        <v>DZT0324</v>
      </c>
      <c r="H184" s="14" t="str">
        <v>已透传cdc</v>
      </c>
      <c r="I184" s="15" t="str">
        <v>BCM_Seat_CS 座椅调节服务</v>
      </c>
      <c r="J184" s="15" t="str">
        <v>（Notification）SeatStatus</v>
      </c>
      <c r="P184" s="15" t="str">
        <v>P0</v>
      </c>
      <c r="Q184" s="16">
        <v>6.13</v>
      </c>
      <c r="R184" s="17" t="str">
        <v>✅ 架构已提供</v>
      </c>
      <c r="S184" s="14" t="str">
        <v>Pre-OTS版本-0804座舱转测</v>
      </c>
      <c r="T184" s="18" t="str">
        <v>车服务原子能力清单 </v>
      </c>
      <c r="U184" s="40" t="str">
        <v>ACTION_SEAT_POSITION_ADJUST_BACKREST_ANGLE_FR</v>
      </c>
      <c r="V184" s="16">
        <v>714</v>
      </c>
      <c r="W184" s="14" t="str">
        <v>颜长青</v>
      </c>
      <c r="X184" s="14" t="str">
        <v>ACS31车辆设置</v>
      </c>
      <c r="Y184" s="20" t="inlineStr">
        <is>
          <r>
            <t>@许圣义</t>
          </r>
        </is>
      </c>
    </row>
    <row r="185" spans="3:25">
      <c r="C185" s="21" t="str">
        <v>副驾座椅调节</v>
      </c>
      <c r="D185" s="22" t="str">
        <v>车身_副驾座椅腰托压力档位</v>
      </c>
      <c r="E185" s="22" t="str">
        <v>1~5档</v>
      </c>
      <c r="G185" s="23" t="str">
        <v>DZT0325</v>
      </c>
      <c r="H185" s="14" t="str">
        <v>已透传cdc</v>
      </c>
      <c r="I185" s="15" t="str">
        <v>BCM_Seat_CS 座椅调节服务</v>
      </c>
      <c r="J185" s="15" t="str">
        <v>（Notification）SeatStatus</v>
      </c>
      <c r="P185" s="15" t="str">
        <v>P0</v>
      </c>
      <c r="Q185" s="16">
        <v>6.13</v>
      </c>
      <c r="R185" s="17" t="str">
        <v>✅ 架构已提供</v>
      </c>
      <c r="S185" s="14" t="str">
        <v>Pre-OTS版本-0804座舱转测</v>
      </c>
      <c r="T185" s="18" t="str">
        <v>车服务原子能力清单 </v>
      </c>
      <c r="U185" s="40" t="inlineStr">
        <is>
          <r>
            <t>ACTION_LUMBAR_SUPPORT_SENSITIVITY_LEVEL_FL</t>
          </r>
        </is>
      </c>
      <c r="V185" s="16">
        <v>714</v>
      </c>
      <c r="W185" s="14" t="str">
        <v>颜长青</v>
      </c>
      <c r="X185" s="14" t="str">
        <v>ACS31车辆设置</v>
      </c>
      <c r="Y185" s="20" t="inlineStr">
        <is>
          <r>
            <t>@许圣义</t>
          </r>
        </is>
      </c>
    </row>
    <row r="186" spans="3:25">
      <c r="C186" s="21" t="str">
        <v>副驾座椅调节</v>
      </c>
      <c r="D186" s="22" t="str">
        <v>车身_副驾座椅腰托灵敏度挡位</v>
      </c>
      <c r="E186" s="3" t="str">
        <v>关闭/低/中/高</v>
      </c>
      <c r="G186" s="23" t="str">
        <v>DZT0326</v>
      </c>
      <c r="H186" s="14" t="str">
        <v>已透传cdc</v>
      </c>
      <c r="I186" s="15" t="str">
        <v>BCM_Seat_CS 座椅调节服务</v>
      </c>
      <c r="J186" s="15" t="str">
        <v>（Notification）SeatStatus</v>
      </c>
      <c r="P186" s="15" t="str">
        <v>P0</v>
      </c>
      <c r="Q186" s="16">
        <v>6.13</v>
      </c>
      <c r="R186" s="17" t="str">
        <v>✅ 架构已提供</v>
      </c>
      <c r="S186" s="14" t="str">
        <v>Pre-OTS版本-0804座舱转测</v>
      </c>
      <c r="T186" s="18" t="str">
        <v>车服务原子能力清单 </v>
      </c>
      <c r="U186" s="14" t="str">
        <v>ACTION_LUMBAR_PRESSURE_LEVEL_FR</v>
      </c>
      <c r="V186" s="16">
        <v>714</v>
      </c>
      <c r="W186" s="14" t="str">
        <v>颜长青</v>
      </c>
      <c r="X186" s="14" t="str">
        <v>ACS31车辆设置</v>
      </c>
      <c r="Y186" s="20" t="inlineStr">
        <is>
          <r>
            <t>@许圣义</t>
          </r>
        </is>
      </c>
    </row>
    <row r="187" spans="3:25">
      <c r="C187" s="21" t="str">
        <v>副驾座椅调节</v>
      </c>
      <c r="D187" s="22" t="str">
        <v>车身_副驾座椅座垫高度位置值</v>
      </c>
      <c r="E187" s="22" t="str">
        <v>0~100%</v>
      </c>
      <c r="G187" s="23" t="str">
        <v>DZT0327</v>
      </c>
      <c r="H187" s="14" t="str">
        <v>已透传cdc</v>
      </c>
      <c r="I187" s="15" t="str">
        <v>BCM_Seat_CS 座椅调节服务</v>
      </c>
      <c r="J187" s="15" t="str">
        <v>（Notification）SeatStatus</v>
      </c>
      <c r="P187" s="15" t="str">
        <v>P0</v>
      </c>
      <c r="Q187" s="16">
        <v>6.13</v>
      </c>
      <c r="R187" s="17" t="str">
        <v>✅ 架构已提供</v>
      </c>
      <c r="S187" s="14" t="str">
        <v>Pre-OTS版本-0804座舱转测</v>
      </c>
      <c r="T187" s="18" t="str">
        <v>车服务原子能力清单 </v>
      </c>
      <c r="U187" s="40" t="str">
        <v>ACTION_SEAT_POSITION_ADJUST_VERTICAL_FR</v>
      </c>
      <c r="V187" s="16">
        <v>714</v>
      </c>
      <c r="W187" s="14" t="str">
        <v>颜长青</v>
      </c>
      <c r="X187" s="14" t="str">
        <v>ACS31车辆设置</v>
      </c>
      <c r="Y187" s="20" t="inlineStr">
        <is>
          <r>
            <t>@许圣义</t>
          </r>
        </is>
      </c>
    </row>
    <row r="188" spans="3:25">
      <c r="C188" s="21" t="str">
        <v>副驾座椅调节</v>
      </c>
      <c r="D188" s="22" t="str">
        <v>车身_副驾座椅腿托前后位置值</v>
      </c>
      <c r="E188" s="22" t="str">
        <v>0~100%</v>
      </c>
      <c r="G188" s="23" t="str">
        <v>DZT0328</v>
      </c>
      <c r="H188" s="14" t="str">
        <v>已透传cdc</v>
      </c>
      <c r="I188" s="15" t="str">
        <v>BCM_Seat_CS 座椅调节服务</v>
      </c>
      <c r="J188" s="15" t="str">
        <v>（Notification）SeatStatus</v>
      </c>
      <c r="P188" s="15" t="str">
        <v>P0</v>
      </c>
      <c r="Q188" s="16">
        <v>6.13</v>
      </c>
      <c r="R188" s="17" t="str">
        <v>✅ 架构已提供</v>
      </c>
      <c r="S188" s="14" t="str">
        <v>Pre-OTS版本-0804座舱转测</v>
      </c>
      <c r="T188" s="18" t="str">
        <v>车服务原子能力清单 </v>
      </c>
      <c r="U188" s="38" t="str">
        <v>ACTION_SEAT_POSITION_ADJUST_LEG_REST_LENGTH_FR</v>
      </c>
      <c r="V188" s="16">
        <v>714</v>
      </c>
      <c r="W188" s="14" t="str">
        <v>颜长青</v>
      </c>
      <c r="X188" s="14" t="str">
        <v>ACS31车辆设置</v>
      </c>
      <c r="Y188" s="20" t="inlineStr">
        <is>
          <r>
            <t>@许圣义</t>
          </r>
        </is>
      </c>
    </row>
    <row r="189" spans="3:25">
      <c r="C189" s="21" t="str">
        <v>副驾座椅调节</v>
      </c>
      <c r="D189" s="22" t="str">
        <v>车身_副驾座椅腿托角度位置值</v>
      </c>
      <c r="E189" s="22" t="str">
        <v>0~100%</v>
      </c>
      <c r="G189" s="23" t="str">
        <v>DZT0329</v>
      </c>
      <c r="H189" s="14" t="str">
        <v>已透传cdc</v>
      </c>
      <c r="I189" s="15" t="str">
        <v>BCM_Seat_CS 座椅调节服务</v>
      </c>
      <c r="J189" s="15" t="str">
        <v>（Notification）SeatStatus</v>
      </c>
      <c r="P189" s="15" t="str">
        <v>P0</v>
      </c>
      <c r="Q189" s="16">
        <v>6.13</v>
      </c>
      <c r="R189" s="17" t="str">
        <v>✅ 架构已提供</v>
      </c>
      <c r="S189" s="14" t="str">
        <v>Pre-OTS版本-0804座舱转测</v>
      </c>
      <c r="T189" s="18" t="str">
        <v>车服务原子能力清单 </v>
      </c>
      <c r="U189" s="40" t="inlineStr">
        <is>
          <r>
            <t>ACTION_SEAT_POSITION_ADJUST_LEG_REST_ANGLE_FR</t>
          </r>
        </is>
      </c>
      <c r="V189" s="16">
        <v>714</v>
      </c>
      <c r="W189" s="14" t="str">
        <v>颜长青</v>
      </c>
      <c r="X189" s="14" t="str">
        <v>ACS31车辆设置</v>
      </c>
      <c r="Y189" s="20" t="inlineStr">
        <is>
          <r>
            <t>@许圣义</t>
          </r>
        </is>
      </c>
    </row>
    <row r="190" spans="3:25">
      <c r="C190" s="21" t="str">
        <v>副驾座椅调节</v>
      </c>
      <c r="D190" s="22" t="str">
        <v>车身_副驾座椅加热状态</v>
      </c>
      <c r="E190" s="22" t="str">
        <v>0=关闭, 1=低挡, 2=中挡, 3=高挡</v>
      </c>
      <c r="G190" s="14" t="str">
        <v>DZT0058</v>
      </c>
      <c r="H190" s="14" t="str">
        <v>已透传cdc</v>
      </c>
      <c r="I190" s="15" t="str">
        <v>BCM_Seat_CS 座椅调节服务</v>
      </c>
      <c r="J190" s="15" t="str">
        <v>(Notification Event)SeatStatus 上报座椅状态</v>
      </c>
      <c r="K190" s="15" t="str">
        <v>AI温感控制</v>
      </c>
      <c r="P190" s="15" t="str">
        <v>P0</v>
      </c>
      <c r="Q190" s="16">
        <v>6.6</v>
      </c>
      <c r="R190" s="17" t="str">
        <v>✅ 架构已提供</v>
      </c>
      <c r="S190" s="14" t="str">
        <v>Pre-OTS版本-0804座舱转测</v>
      </c>
      <c r="T190" s="18" t="str">
        <v>车服务原子能力清单 </v>
      </c>
      <c r="U190" s="14" t="str">
        <v>ACTION_SEAT_HEAT_FR</v>
      </c>
      <c r="V190" s="16">
        <v>629</v>
      </c>
      <c r="W190" s="14" t="str">
        <v>黄中沛</v>
      </c>
      <c r="X190" s="14" t="str">
        <v>ACS301Adapter</v>
      </c>
      <c r="Y190" s="20" t="inlineStr">
        <is>
          <r>
            <t>@陈杰</t>
          </r>
        </is>
      </c>
    </row>
    <row r="191" spans="3:25">
      <c r="C191" s="21" t="str">
        <v>副驾座椅调节</v>
      </c>
      <c r="D191" s="22" t="str">
        <v>车身_副驾座椅通风状态</v>
      </c>
      <c r="E191" s="22" t="str">
        <v>0=关闭, 1=低挡, 2=中挡, 3=高挡</v>
      </c>
      <c r="G191" s="14" t="str">
        <v>DZT0059</v>
      </c>
      <c r="H191" s="14" t="str">
        <v>已透传cdc</v>
      </c>
      <c r="I191" s="15" t="str">
        <v>BCM_Seat_CS 座椅调节服务</v>
      </c>
      <c r="J191" s="15" t="str">
        <v>(Notification Event)SeatStatus 上报座椅状态</v>
      </c>
      <c r="K191" s="15" t="str">
        <v>AI温感控制</v>
      </c>
      <c r="P191" s="15" t="str">
        <v>P0</v>
      </c>
      <c r="Q191" s="16">
        <v>6.6</v>
      </c>
      <c r="R191" s="17" t="str">
        <v>✅ 架构已提供</v>
      </c>
      <c r="S191" s="14" t="str">
        <v>Pre-OTS版本-0804座舱转测</v>
      </c>
      <c r="T191" s="18" t="str">
        <v>车服务原子能力清单 </v>
      </c>
      <c r="U191" s="14" t="str">
        <v>ACTION_SEAT_VENT_FR</v>
      </c>
      <c r="V191" s="16">
        <v>629</v>
      </c>
      <c r="W191" s="14" t="str">
        <v>黄中沛</v>
      </c>
      <c r="X191" s="14" t="str">
        <v>ACS301Adapter</v>
      </c>
      <c r="Y191" s="20" t="inlineStr">
        <is>
          <r>
            <t>@陈杰</t>
          </r>
        </is>
      </c>
    </row>
    <row r="192" spans="3:25">
      <c r="C192" s="21" t="str">
        <v>副驾座椅调节</v>
      </c>
      <c r="D192" s="22" t="str">
        <v>车身_副驾座椅按摩强度状态</v>
      </c>
      <c r="E192" s="22" t="str">
        <v>0=关闭, 1=轻柔, 2=标准, 3=强力, 4=波浪, 5=深度</v>
      </c>
      <c r="G192" s="23" t="str">
        <v>DZT0330</v>
      </c>
      <c r="H192" s="14" t="str">
        <v>已透传cdc</v>
      </c>
      <c r="I192" s="15" t="str">
        <v>BCM_Seat_CS 座椅调节服务</v>
      </c>
      <c r="J192" s="15" t="str">
        <v>(Notification Event)SeatStatus 上报座椅状态</v>
      </c>
      <c r="K192" s="15" t="str">
        <v>AI温感控制; 情感空间; 松弛模式（AI）</v>
      </c>
      <c r="P192" s="15" t="str">
        <v>P0</v>
      </c>
      <c r="Q192" s="16">
        <v>6.13</v>
      </c>
      <c r="R192" s="17" t="str">
        <v>✅ 架构已提供</v>
      </c>
      <c r="S192" s="14" t="str">
        <v>Pre-OTS版本-0804座舱转测</v>
      </c>
      <c r="T192" s="18" t="str">
        <v>车服务原子能力清单 </v>
      </c>
      <c r="U192" s="26" t="str">
        <v>ACTION_SEAT_MASSAGE_STR_FR</v>
      </c>
      <c r="V192" s="16">
        <v>714</v>
      </c>
      <c r="W192" s="14" t="str">
        <v>黄中沛</v>
      </c>
      <c r="X192" s="14" t="str">
        <v>ACS31车辆设置</v>
      </c>
      <c r="Y192" s="20" t="inlineStr">
        <is>
          <r>
            <t>@陈杰</t>
          </r>
        </is>
      </c>
    </row>
    <row r="193" spans="3:25">
      <c r="C193" s="21" t="str">
        <v>副驾座椅调节</v>
      </c>
      <c r="D193" s="22" t="str">
        <v>车身_副驾座椅按摩模式状态</v>
      </c>
      <c r="E193" s="22" t="str">
        <v>0～5</v>
      </c>
      <c r="G193" s="23" t="str">
        <v>DZT0331</v>
      </c>
      <c r="H193" s="14" t="str">
        <v>已透传cdc</v>
      </c>
      <c r="I193" s="15" t="str">
        <v>BCM_Seat_CS 座椅调节服务</v>
      </c>
      <c r="J193" s="15" t="str">
        <v>(Notification Event)SeatStatus 上报座椅状态</v>
      </c>
      <c r="K193" s="15" t="str">
        <v>AI温感控制; 情感空间; 松弛模式（AI）</v>
      </c>
      <c r="P193" s="15" t="str">
        <v>P0</v>
      </c>
      <c r="Q193" s="16">
        <v>6.13</v>
      </c>
      <c r="R193" s="17" t="str">
        <v>✅ 架构已提供</v>
      </c>
      <c r="S193" s="14" t="str">
        <v>Pre-OTS版本-0804座舱转测</v>
      </c>
      <c r="T193" s="18" t="str">
        <v>车服务原子能力清单 </v>
      </c>
      <c r="U193" s="14" t="str">
        <v>ACTION_SEAT_MASSAGE_MODE_FR</v>
      </c>
      <c r="V193" s="16">
        <v>715</v>
      </c>
      <c r="W193" s="14" t="str">
        <v>黄中沛</v>
      </c>
      <c r="X193" s="14" t="str">
        <v>ACS31车辆设置</v>
      </c>
      <c r="Y193" s="20" t="inlineStr">
        <is>
          <r>
            <t>@陈杰</t>
          </r>
        </is>
      </c>
    </row>
    <row r="194" spans="3:25">
      <c r="C194" s="21" t="str">
        <v>副驾座椅调节</v>
      </c>
      <c r="D194" s="22" t="str">
        <v>车身_副驾座椅记忆位置状态</v>
      </c>
      <c r="E194" s="22" t="str">
        <v>0=无记忆, 1=模式一, 2=模式二, 3=模式三, 4=调用中</v>
      </c>
      <c r="G194" s="23" t="str">
        <v>DZT0332</v>
      </c>
      <c r="H194" s="14" t="str">
        <v>已透传cdc</v>
      </c>
      <c r="I194" s="15" t="str">
        <v>BCM_Seat_CS 座椅调节服务</v>
      </c>
      <c r="J194" s="15" t="str">
        <v>（Notification）SeatStatus</v>
      </c>
      <c r="P194" s="15" t="str">
        <v>P0</v>
      </c>
      <c r="Q194" s="16">
        <v>6.13</v>
      </c>
      <c r="R194" s="17" t="str">
        <v>✅ 架构已提供</v>
      </c>
      <c r="S194" s="14" t="str">
        <v>Pre-OTS版本-0804座舱转测</v>
      </c>
      <c r="T194" s="18" t="str">
        <v>车服务原子能力清单 </v>
      </c>
      <c r="U194" s="26" t="str">
        <v>ACTION_SEAT_MEMORY_WITHOUT_DIALOG_FR</v>
      </c>
      <c r="V194" s="16">
        <v>714</v>
      </c>
      <c r="W194" s="14" t="str">
        <v>颜长青</v>
      </c>
      <c r="X194" s="14" t="str">
        <v>ACS31车辆设置</v>
      </c>
      <c r="Y194" s="20" t="inlineStr">
        <is>
          <r>
            <t>@许圣义</t>
          </r>
        </is>
      </c>
    </row>
    <row r="195" spans="3:25">
      <c r="C195" s="21" t="str">
        <v>副驾座椅调节</v>
      </c>
      <c r="D195" s="22" t="str">
        <v>车身_副驾零重力座椅状态</v>
      </c>
      <c r="E195" s="22" t="str">
        <v>0=未激活, 1=进入中, 2=已进入, 3=退出中</v>
      </c>
      <c r="G195" s="23" t="str">
        <v>DZT0333</v>
      </c>
      <c r="H195" s="14" t="str">
        <v>已透传cdc</v>
      </c>
      <c r="I195" s="15" t="str">
        <v>BCM_Seat_CS 座椅调节服务</v>
      </c>
      <c r="J195" s="15" t="str">
        <v>（Notification）SeatStatus</v>
      </c>
      <c r="P195" s="15" t="str">
        <v>P0</v>
      </c>
      <c r="Q195" s="16">
        <v>6.13</v>
      </c>
      <c r="R195" s="17" t="str">
        <v>✅ 架构已提供</v>
      </c>
      <c r="S195" s="14" t="str">
        <v>Pre-OTS版本-0804座舱转测</v>
      </c>
      <c r="T195" s="18" t="str">
        <v>车服务原子能力清单 </v>
      </c>
      <c r="U195" s="14" t="str">
        <v>ACTION_ZERO_SEAT_PASS_FOLD_CONTROL_FR </v>
      </c>
      <c r="V195" s="16">
        <v>714</v>
      </c>
      <c r="W195" s="14" t="str">
        <v>颜长青</v>
      </c>
      <c r="X195" s="14" t="str">
        <v>ACS31车辆设置</v>
      </c>
      <c r="Y195" s="20" t="inlineStr">
        <is>
          <r>
            <t>@许圣义</t>
          </r>
        </is>
      </c>
    </row>
    <row r="196" spans="3:25">
      <c r="C196" s="21" t="str">
        <v>副驾座椅调节</v>
      </c>
      <c r="D196" s="22" t="str">
        <v>车身_副驾床椅状态</v>
      </c>
      <c r="E196" s="22" t="str">
        <v>0=未激活, 1=进入中, 2=已进入, 3=退出中</v>
      </c>
      <c r="G196" s="23" t="str">
        <v>DZT0334</v>
      </c>
      <c r="H196" s="14" t="str">
        <v>已透传cdc</v>
      </c>
      <c r="I196" s="15" t="str">
        <v>BCM_Seat_CS 座椅调节服务</v>
      </c>
      <c r="J196" s="15" t="str">
        <v>（Notification）SeatStatus</v>
      </c>
      <c r="P196" s="15" t="str">
        <v>P0</v>
      </c>
      <c r="Q196" s="16">
        <v>6.13</v>
      </c>
      <c r="R196" s="17" t="str">
        <v>✅ 架构已提供</v>
      </c>
      <c r="S196" s="14" t="str">
        <v>Pre-OTS版本-0804座舱转测</v>
      </c>
      <c r="T196" s="18" t="str">
        <v>车服务原子能力清单 </v>
      </c>
      <c r="U196" s="40" t="inlineStr">
        <is>
          <r>
            <t>ACTION_ONE_KEY_BED_SEAT_FR</t>
          </r>
        </is>
      </c>
      <c r="V196" s="16">
        <v>714</v>
      </c>
      <c r="W196" s="14" t="str">
        <v>颜长青</v>
      </c>
      <c r="X196" s="14" t="str">
        <v>ACS31车辆设置</v>
      </c>
      <c r="Y196" s="20" t="inlineStr">
        <is>
          <r>
            <t>@许圣义</t>
          </r>
        </is>
      </c>
    </row>
    <row r="197" spans="3:25">
      <c r="C197" s="21" t="str">
        <v>左后座椅调节</v>
      </c>
      <c r="D197" s="22" t="str">
        <v>车身_左后坐垫状态</v>
      </c>
      <c r="E197" s="22" t="str">
        <v>0=正常, 1=翻折中, 2=已翻折, 3=落下中</v>
      </c>
      <c r="G197" s="23" t="str">
        <v>DZT0335</v>
      </c>
      <c r="H197" s="14" t="str">
        <v>已透传cdc</v>
      </c>
      <c r="I197" s="15" t="str">
        <v>BCM_Seat_CS 座椅调节服务</v>
      </c>
      <c r="J197" s="15" t="str">
        <v>（Notification）SeatStatus</v>
      </c>
      <c r="P197" s="15" t="str">
        <v>P0</v>
      </c>
      <c r="Q197" s="16">
        <v>6.13</v>
      </c>
      <c r="R197" s="17" t="str">
        <v>✅ 架构已提供</v>
      </c>
      <c r="S197" s="14" t="str">
        <v>Pre-OTS版本-0804座舱转测</v>
      </c>
      <c r="T197" s="18" t="str">
        <v>车服务原子能力清单 </v>
      </c>
      <c r="U197" s="26" t="str">
        <v>ACTION_BEHIND_SEAT_FLIP_CONTROL_RL</v>
      </c>
      <c r="V197" s="16">
        <v>714</v>
      </c>
      <c r="W197" s="14" t="str">
        <v>颜长青</v>
      </c>
      <c r="X197" s="14" t="str">
        <v>ACS31车辆设置</v>
      </c>
      <c r="Y197" s="20" t="inlineStr">
        <is>
          <r>
            <t>@许圣义</t>
          </r>
        </is>
      </c>
    </row>
    <row r="198" spans="3:25">
      <c r="C198" s="21" t="str">
        <v>左后座椅调节</v>
      </c>
      <c r="D198" s="22" t="str">
        <v>车身_左后座椅加热状态</v>
      </c>
      <c r="E198" s="22" t="str">
        <v>0=关闭, 1=低挡, 2=中挡, 3=高挡</v>
      </c>
      <c r="G198" s="14" t="str">
        <v>DZT0060</v>
      </c>
      <c r="H198" s="14" t="str">
        <v>已透传cdc</v>
      </c>
      <c r="I198" s="15" t="str">
        <v>BCM_Seat_CS 座椅调节服务</v>
      </c>
      <c r="J198" s="15" t="str">
        <v>(Notification Event)SeatStatus 上报座椅状态</v>
      </c>
      <c r="K198" s="15" t="str">
        <v>AI温感控制</v>
      </c>
      <c r="P198" s="15" t="str">
        <v>P0</v>
      </c>
      <c r="Q198" s="16">
        <v>6.6</v>
      </c>
      <c r="R198" s="17" t="str">
        <v>✅ 架构已提供</v>
      </c>
      <c r="S198" s="14" t="str">
        <v>Pre-OTS版本-0804座舱转测</v>
      </c>
      <c r="T198" s="18" t="str">
        <v>车服务原子能力清单 </v>
      </c>
      <c r="U198" s="14" t="str">
        <v>ACTION_SEAT_HEAT_RL</v>
      </c>
      <c r="V198" s="16">
        <v>629</v>
      </c>
      <c r="W198" s="14" t="str">
        <v>黄中沛</v>
      </c>
      <c r="X198" s="14" t="str">
        <v>ACS301Adapter</v>
      </c>
      <c r="Y198" s="20" t="inlineStr">
        <is>
          <r>
            <t>@许圣义</t>
          </r>
        </is>
      </c>
    </row>
    <row r="199" spans="3:25">
      <c r="C199" s="21" t="str">
        <v>左后座椅调节</v>
      </c>
      <c r="D199" s="22" t="str">
        <v>车身_左后座椅通风状态</v>
      </c>
      <c r="E199" s="22" t="str">
        <v>0=关闭, 1=低挡, 2=中挡, 3=高挡</v>
      </c>
      <c r="G199" s="14" t="str">
        <v>DZT0061</v>
      </c>
      <c r="H199" s="14" t="str">
        <v>已透传cdc</v>
      </c>
      <c r="I199" s="15" t="str">
        <v>BCM_Seat_CS 座椅调节服务</v>
      </c>
      <c r="J199" s="15" t="str">
        <v>(Notification Event)SeatStatus 上报座椅状态</v>
      </c>
      <c r="K199" s="15" t="str">
        <v>AI温感控制</v>
      </c>
      <c r="P199" s="15" t="str">
        <v>P0</v>
      </c>
      <c r="Q199" s="16">
        <v>6.6</v>
      </c>
      <c r="R199" s="17" t="str">
        <v>✅ 架构已提供</v>
      </c>
      <c r="S199" s="14" t="str">
        <v>Pre-OTS版本-0804座舱转测</v>
      </c>
      <c r="T199" s="18" t="str">
        <v>车服务原子能力清单 </v>
      </c>
      <c r="U199" s="14" t="str">
        <v>ACTION_SEAT_VENT_RL</v>
      </c>
      <c r="V199" s="16">
        <v>629</v>
      </c>
      <c r="W199" s="14" t="str">
        <v>黄中沛</v>
      </c>
      <c r="X199" s="14" t="str">
        <v>ACS301Adapter</v>
      </c>
      <c r="Y199" s="20" t="inlineStr">
        <is>
          <r>
            <t>@陈杰</t>
          </r>
        </is>
      </c>
    </row>
    <row r="200" spans="3:25">
      <c r="C200" s="21" t="str">
        <v>右后座椅调节</v>
      </c>
      <c r="D200" s="22" t="str">
        <v>车身_右后坐垫状态</v>
      </c>
      <c r="E200" s="22" t="str">
        <v>0=正常, 1=翻折中, 2=已翻折, 3=落下中</v>
      </c>
      <c r="G200" s="23" t="str">
        <v>DZT0336</v>
      </c>
      <c r="H200" s="14" t="str">
        <v>已透传cdc</v>
      </c>
      <c r="P200" s="15" t="str">
        <v>P0</v>
      </c>
      <c r="Q200" s="16">
        <v>6.13</v>
      </c>
      <c r="R200" s="17" t="str">
        <v>✅ 架构已提供</v>
      </c>
      <c r="S200" s="14" t="str">
        <v>Pre-OTS版本-0804座舱转测</v>
      </c>
      <c r="T200" s="18" t="str">
        <v>车服务原子能力清单 </v>
      </c>
      <c r="U200" s="26" t="str">
        <v>ACTION_BEHIND_SEAT_FLIP_CONTROL_RL</v>
      </c>
      <c r="V200" s="16">
        <v>714</v>
      </c>
      <c r="W200" s="14" t="str">
        <v>颜长青</v>
      </c>
      <c r="X200" s="14" t="str">
        <v>ACS31车辆设置</v>
      </c>
      <c r="Y200" s="20" t="inlineStr">
        <is>
          <r>
            <t>@陈杰</t>
          </r>
        </is>
      </c>
    </row>
    <row r="201" spans="3:25">
      <c r="C201" s="21" t="str">
        <v>右后座椅调节</v>
      </c>
      <c r="D201" s="22" t="str">
        <v>车身_右后座椅加热状态</v>
      </c>
      <c r="E201" s="22" t="str">
        <v>0=关闭, 1=低挡, 2=中挡, 3=高挡</v>
      </c>
      <c r="G201" s="14" t="str">
        <v>DZT0062</v>
      </c>
      <c r="H201" s="14" t="str">
        <v>已透传cdc</v>
      </c>
      <c r="I201" s="15" t="str">
        <v>BCM_Seat_CS 座椅调节服务</v>
      </c>
      <c r="J201" s="15" t="str">
        <v>(Notification Event)SeatStatus 上报座椅状态</v>
      </c>
      <c r="K201" s="15" t="str">
        <v>AI温感控制</v>
      </c>
      <c r="P201" s="15" t="str">
        <v>P0</v>
      </c>
      <c r="Q201" s="16">
        <v>6.6</v>
      </c>
      <c r="R201" s="17" t="str">
        <v>✅ 架构已提供</v>
      </c>
      <c r="S201" s="14" t="str">
        <v>Pre-OTS版本-0804座舱转测</v>
      </c>
      <c r="X201" s="14" t="str">
        <v>ACS301Adapter</v>
      </c>
      <c r="Y201" s="20" t="inlineStr">
        <is>
          <r>
            <t>@陈杰</t>
          </r>
        </is>
      </c>
    </row>
    <row r="202" spans="3:25">
      <c r="C202" s="21" t="str">
        <v>右后座椅调节</v>
      </c>
      <c r="D202" s="22" t="str">
        <v>车身_右后座椅通风状态</v>
      </c>
      <c r="E202" s="22" t="str">
        <v>0=关闭, 1=低挡, 2=中挡, 3=高挡</v>
      </c>
      <c r="G202" s="14" t="str">
        <v>DZT0063</v>
      </c>
      <c r="H202" s="14" t="str">
        <v>已透传cdc</v>
      </c>
      <c r="I202" s="15" t="str">
        <v>BCM_Seat_CS 座椅调节服务</v>
      </c>
      <c r="J202" s="15" t="str">
        <v>(Notification Event)SeatStatus 上报座椅状态</v>
      </c>
      <c r="K202" s="15" t="str">
        <v>AI温感控制</v>
      </c>
      <c r="P202" s="15" t="str">
        <v>P0</v>
      </c>
      <c r="Q202" s="16">
        <v>6.6</v>
      </c>
      <c r="R202" s="17" t="str">
        <v>✅ 架构已提供</v>
      </c>
      <c r="S202" s="14" t="str">
        <v>Pre-OTS版本-0804座舱转测</v>
      </c>
      <c r="T202" s="18" t="str">
        <v>车服务原子能力清单 </v>
      </c>
      <c r="U202" s="26" t="str">
        <v>ACTION_SEAT_VENT_RR</v>
      </c>
      <c r="V202" s="16">
        <v>714</v>
      </c>
      <c r="W202" s="26" t="str">
        <v>黄中沛</v>
      </c>
      <c r="X202" s="14" t="str">
        <v>ACS301Adapter</v>
      </c>
      <c r="Y202" s="20" t="inlineStr">
        <is>
          <r>
            <t>@陈杰</t>
          </r>
        </is>
      </c>
    </row>
    <row r="203" spans="2:25">
      <c r="B203" s="22" t="str">
        <v>3.17冷暖箱状态</v>
      </c>
      <c r="C203" s="21" t="str">
        <v>车身_冷暖箱电源开关状态</v>
      </c>
      <c r="D203" s="22" t="str">
        <v>车身_冷暖箱电源开关状态</v>
      </c>
      <c r="E203" s="22" t="str">
        <v>0=关闭, 1=开启</v>
      </c>
      <c r="G203" s="23" t="str">
        <v>DZT0337</v>
      </c>
      <c r="H203" s="14" t="str">
        <v>已透传cdc</v>
      </c>
      <c r="P203" s="15" t="str">
        <v>P0</v>
      </c>
      <c r="Q203" s="16">
        <v>6.13</v>
      </c>
      <c r="R203" s="17" t="str">
        <v>✅ 架构已提供</v>
      </c>
      <c r="S203" s="14" t="str">
        <v>Pre-OTS版本-0804座舱转测</v>
      </c>
      <c r="T203" s="18" t="str">
        <v>车服务原子能力清单 </v>
      </c>
      <c r="U203" s="26" t="str">
        <v>ACTION_VEHICLE_CAR_COOLER_ON_OFF</v>
      </c>
      <c r="V203" s="16">
        <v>714</v>
      </c>
      <c r="W203" s="14" t="str">
        <v>王越强</v>
      </c>
      <c r="X203" s="14" t="str">
        <v>ACS31车辆设置</v>
      </c>
      <c r="Y203" s="20" t="inlineStr">
        <is>
          <r>
            <t>@陈杰</t>
          </r>
        </is>
      </c>
    </row>
    <row r="204" spans="3:25">
      <c r="C204" s="21" t="str">
        <v>车身_冷暖箱工作状态</v>
      </c>
      <c r="D204" s="22" t="str">
        <v>车身_冷暖箱工作状态</v>
      </c>
      <c r="E204" s="22" t="str">
        <v>0=关闭, 1=制冷, 2=制热, 3=故障</v>
      </c>
      <c r="G204" s="23" t="str">
        <v>DZT0338</v>
      </c>
      <c r="H204" s="14" t="str">
        <v>已透传cdc</v>
      </c>
      <c r="P204" s="15" t="str">
        <v>P0</v>
      </c>
      <c r="Q204" s="16">
        <v>6.13</v>
      </c>
      <c r="R204" s="17" t="str">
        <v>✅ 架构已提供</v>
      </c>
      <c r="S204" s="14" t="str">
        <v>Pre-OTS版本-0804座舱转测</v>
      </c>
      <c r="T204" s="18" t="str">
        <v>车服务原子能力清单 </v>
      </c>
      <c r="U204" s="26" t="str">
        <v>ACTION_VEHICLE_CAR_COOLER_STATE</v>
      </c>
      <c r="V204" s="16">
        <v>714</v>
      </c>
      <c r="W204" s="14" t="str">
        <v>王越强</v>
      </c>
      <c r="X204" s="14" t="str">
        <v>ACS31车辆设置</v>
      </c>
      <c r="Y204" s="20" t="inlineStr">
        <is>
          <r>
            <t>@陈杰</t>
          </r>
        </is>
      </c>
    </row>
    <row r="205" spans="3:25">
      <c r="C205" s="21" t="str">
        <v>车身_冷暖箱温度设置值</v>
      </c>
      <c r="D205" s="22" t="str">
        <v>车身_冷暖箱温度设置值</v>
      </c>
      <c r="E205" s="22" t="str">
        <v>制冷: -6~15℃, 制热: 30~50℃, 精度±1℃</v>
      </c>
      <c r="G205" s="23" t="str">
        <v>DZT0339</v>
      </c>
      <c r="H205" s="14" t="str">
        <v>已透传cdc</v>
      </c>
      <c r="P205" s="15" t="str">
        <v>P0</v>
      </c>
      <c r="Q205" s="16">
        <v>6.13</v>
      </c>
      <c r="R205" s="17" t="str">
        <v>✅ 架构已提供</v>
      </c>
      <c r="S205" s="14" t="str">
        <v>Pre-OTS版本-0804座舱转测</v>
      </c>
      <c r="T205" s="18" t="str">
        <v>车服务原子能力清单 </v>
      </c>
      <c r="U205" s="41" t="str">
        <v>ACTION_VEHICLE_CAR_COOLER_TEMPERATURE</v>
      </c>
      <c r="V205" s="16">
        <v>714</v>
      </c>
      <c r="W205" s="14" t="str">
        <v>王越强</v>
      </c>
      <c r="X205" s="14" t="str">
        <v>ACS31车辆设置</v>
      </c>
      <c r="Y205" s="20" t="inlineStr">
        <is>
          <r>
            <t>@陈杰</t>
          </r>
        </is>
      </c>
    </row>
    <row r="206" spans="3:25">
      <c r="C206" s="21" t="str">
        <v>车身_冷暖箱不下电时间设置值</v>
      </c>
      <c r="D206" s="22" t="str">
        <v>车身_冷暖箱不下电时间设置值</v>
      </c>
      <c r="E206" s="22" t="str">
        <v>0~23h + 0/15/30/45min组合, 不超过24h</v>
      </c>
      <c r="G206" s="23" t="str">
        <v>DZT0340</v>
      </c>
      <c r="H206" s="14" t="str">
        <v>已透传cdc</v>
      </c>
      <c r="P206" s="15" t="str">
        <v>P0</v>
      </c>
      <c r="Q206" s="16">
        <v>6.13</v>
      </c>
      <c r="R206" s="17" t="str">
        <v>✅ 架构已提供</v>
      </c>
      <c r="S206" s="14" t="str">
        <v>Pre-OTS版本-0804座舱转测</v>
      </c>
      <c r="T206" s="18" t="str">
        <v>车服务原子能力清单 </v>
      </c>
      <c r="U206" s="26" t="str">
        <v>ACTION_VEHICLE_CAR_COOLER_WORK_TIME</v>
      </c>
      <c r="V206" s="16">
        <v>714</v>
      </c>
      <c r="W206" s="14" t="str">
        <v>王越强</v>
      </c>
      <c r="X206" s="14" t="str">
        <v>ACS31车辆设置</v>
      </c>
      <c r="Y206" s="20" t="inlineStr">
        <is>
          <r>
            <t>@陈杰</t>
          </r>
        </is>
      </c>
    </row>
    <row r="207" spans="2:25">
      <c r="B207" s="22" t="str">
        <v>3.18 电动尾翼状态</v>
      </c>
      <c r="C207" s="21" t="str">
        <v>车身_电动尾翼状态</v>
      </c>
      <c r="D207" s="22" t="str">
        <v>车身_电动尾翼状态</v>
      </c>
      <c r="E207" s="22" t="str">
        <v>状态: 0=收回, 1=展开, 2=运动中, 3=故障; </v>
      </c>
      <c r="G207" s="23" t="str">
        <v>DZT0341</v>
      </c>
      <c r="H207" s="14" t="str">
        <v>已透传cdc</v>
      </c>
      <c r="P207" s="15" t="str">
        <v>P0</v>
      </c>
      <c r="Q207" s="16">
        <v>6.13</v>
      </c>
      <c r="R207" s="17" t="str">
        <v>✅ 架构已提供</v>
      </c>
      <c r="S207" s="14" t="str">
        <v>Pre-OTS版本-0804座舱转测</v>
      </c>
      <c r="T207" s="18" t="str">
        <v>车服务原子能力清单 </v>
      </c>
      <c r="U207" s="26" t="str">
        <v>ID_BCM_ELEC_REAR_WING_MOVE_STATUS</v>
      </c>
      <c r="V207" s="16">
        <v>716</v>
      </c>
      <c r="W207" s="14" t="str">
        <v>高扬</v>
      </c>
      <c r="X207" s="14" t="str">
        <v>ACS31车辆设置</v>
      </c>
      <c r="Y207" s="20" t="inlineStr">
        <is>
          <r>
            <t>@陈杰</t>
          </r>
        </is>
      </c>
    </row>
    <row r="208" spans="3:25">
      <c r="C208" s="21" t="str">
        <v>车身_电动尾翼展开百分比</v>
      </c>
      <c r="D208" s="22" t="str">
        <v>车身_电动尾翼展开百分比</v>
      </c>
      <c r="E208" s="22" t="str">
        <v>0~100%</v>
      </c>
      <c r="G208" s="23" t="str">
        <v>DZT0342</v>
      </c>
      <c r="H208" s="14" t="str">
        <v>为角度信号</v>
      </c>
      <c r="P208" s="15" t="str">
        <v>P0</v>
      </c>
      <c r="Q208" s="16">
        <v>6.13</v>
      </c>
      <c r="R208" s="17" t="str">
        <v>✅ 架构已提供</v>
      </c>
      <c r="S208" s="14" t="str">
        <v>Pre-OTS版本-0804座舱转测</v>
      </c>
      <c r="T208" s="18" t="str">
        <v>车服务原子能力清单 </v>
      </c>
      <c r="U208" s="26" t="str">
        <v>ID_BCM_ELEC_REAR_WING_POSITION</v>
      </c>
      <c r="V208" s="16">
        <v>716</v>
      </c>
      <c r="W208" s="14" t="str">
        <v>高扬</v>
      </c>
      <c r="X208" s="14" t="str">
        <v>ACS31车辆设置</v>
      </c>
      <c r="Y208" s="20" t="inlineStr">
        <is>
          <r>
            <t>@陈杰</t>
          </r>
        </is>
      </c>
    </row>
    <row r="209" spans="2:25">
      <c r="B209" s="22" t="str">
        <v>3.19 活体检测状态</v>
      </c>
      <c r="C209" s="21" t="str">
        <v>车身_活体检测状态</v>
      </c>
      <c r="D209" s="22" t="str">
        <v>车身_活体检测状态</v>
      </c>
      <c r="E209" s="22" t="str">
        <v>状态: 0=关闭, 1=待机, 2=检测中, 3=故障; 结果: 0=无活体~2=不确定; 报警: 0=无报警~2=高温报警; Euro NCAP 2023</v>
      </c>
      <c r="G209" s="14" t="str">
        <v>DZT0064</v>
      </c>
      <c r="H209" s="14" t="str">
        <v>座舱内部</v>
      </c>
      <c r="P209" s="15" t="str">
        <v>P2</v>
      </c>
      <c r="Q209" s="16">
        <v>6.6</v>
      </c>
      <c r="R209" s="17" t="str">
        <v>✅ 架构已提供</v>
      </c>
      <c r="S209" s="14" t="str">
        <v>Pre-OTS版本-0804座舱转测</v>
      </c>
      <c r="X209" s="14" t="str">
        <v>ACS301Adapter</v>
      </c>
      <c r="Y209" s="20" t="inlineStr">
        <is>
          <r>
            <t>@陈杰</t>
          </r>
        </is>
      </c>
    </row>
    <row r="210" spans="3:25">
      <c r="C210" s="21" t="str">
        <v>车身_遗留物品提醒状态</v>
      </c>
      <c r="D210" s="22" t="str">
        <v>车身_遗留物品提醒状态</v>
      </c>
      <c r="E210" s="22" t="str">
        <v>0=关闭, 1=开启</v>
      </c>
      <c r="G210" s="14" t="str">
        <v>DZT0065</v>
      </c>
      <c r="H210" s="14" t="str">
        <v>已透传cdc</v>
      </c>
      <c r="P210" s="15" t="str">
        <v>P0</v>
      </c>
      <c r="Q210" s="16">
        <v>6.6</v>
      </c>
      <c r="R210" s="17" t="str">
        <v>✅ 架构已提供</v>
      </c>
      <c r="S210" s="14" t="str">
        <v>原定Pre-OTS版本-0804座舱转测—后延</v>
      </c>
      <c r="T210" s="18" t="str">
        <v>车服务原子能力清单 </v>
      </c>
      <c r="U210" s="26" t="str">
        <v>ACTION_VEHICLE_LEFT_BEHIND_OBJECT_HINT_SWITCH</v>
      </c>
      <c r="V210" s="16">
        <v>727</v>
      </c>
      <c r="W210" s="26" t="str">
        <v>刘鑫</v>
      </c>
      <c r="X210" s="14" t="str">
        <v>ACS301Adapter</v>
      </c>
      <c r="Y210" s="20" t="inlineStr">
        <is>
          <r>
            <t>@陈杰</t>
          </r>
        </is>
      </c>
    </row>
    <row r="211" spans="2:25">
      <c r="B211" s="22" t="str">
        <v>3.20 流媒体后视镜状态</v>
      </c>
      <c r="C211" s="21" t="str">
        <v>车身_流媒体后视镜开关状态</v>
      </c>
      <c r="D211" s="22" t="str">
        <v>车身_流媒体后视镜开关状态</v>
      </c>
      <c r="E211" s="22" t="str">
        <v>0=关闭, 1=开启</v>
      </c>
      <c r="G211" s="23" t="str">
        <v>DZT0343</v>
      </c>
      <c r="H211" s="14" t="str">
        <v>已透传cdc</v>
      </c>
      <c r="P211" s="15" t="str">
        <v>P0</v>
      </c>
      <c r="Q211" s="16">
        <v>6.13</v>
      </c>
      <c r="R211" s="17" t="str">
        <v>✅ 架构已提供</v>
      </c>
      <c r="S211" s="14" t="str">
        <v>Pre-OTS版本-0804座舱转测</v>
      </c>
      <c r="T211" s="18" t="str">
        <v>车服务原子能力清单 </v>
      </c>
      <c r="U211" s="14" t="str">
        <v>ACTION_VEHICLE_CMSI_REARVIEW_SWITCH</v>
      </c>
      <c r="V211" s="16">
        <v>728</v>
      </c>
      <c r="W211" s="26" t="str">
        <v>苏佳</v>
      </c>
      <c r="X211" s="14" t="str">
        <v>ACS31车辆设置</v>
      </c>
      <c r="Y211" s="20" t="inlineStr">
        <is>
          <r>
            <t>@刘凡</t>
          </r>
        </is>
      </c>
    </row>
    <row r="212" spans="3:25">
      <c r="C212" s="21" t="str">
        <v>车身_流媒体后视镜亮度值</v>
      </c>
      <c r="D212" s="22" t="str">
        <v>车身_流媒体后视镜亮度值</v>
      </c>
      <c r="E212" s="22" t="str">
        <v>1~7档</v>
      </c>
      <c r="G212" s="24" t="str">
        <v>DZT0466</v>
      </c>
      <c r="H212" s="14" t="str">
        <v>已透传cdc</v>
      </c>
      <c r="P212" s="15" t="str">
        <v>P0</v>
      </c>
      <c r="Q212" s="16">
        <v>6.13</v>
      </c>
      <c r="R212" s="25" t="str">
        <v>🟡架构待新增</v>
      </c>
      <c r="X212" s="24" t="str">
        <v>ACS31车辆设置</v>
      </c>
      <c r="Y212" s="20" t="inlineStr">
        <is>
          <r>
            <t>@刘凡</t>
          </r>
        </is>
      </c>
    </row>
    <row r="213" spans="3:25">
      <c r="C213" s="21" t="str">
        <v>车身_流媒体后视镜垂直视野值</v>
      </c>
      <c r="D213" s="22" t="str">
        <v>车身_流媒体后视镜垂直视野值</v>
      </c>
      <c r="E213" s="22" t="str">
        <v>1~7档</v>
      </c>
      <c r="G213" s="24" t="str">
        <v>DZT0467</v>
      </c>
      <c r="H213" s="14" t="str">
        <v>已透传cdc</v>
      </c>
      <c r="P213" s="15" t="str">
        <v>P0</v>
      </c>
      <c r="Q213" s="16">
        <v>6.13</v>
      </c>
      <c r="R213" s="25" t="str">
        <v>🟡架构待新增</v>
      </c>
      <c r="X213" s="24" t="str">
        <v>ACS31车辆设置</v>
      </c>
      <c r="Y213" s="20" t="inlineStr">
        <is>
          <r>
            <t>@刘凡</t>
          </r>
        </is>
      </c>
    </row>
    <row r="214" spans="3:25">
      <c r="C214" s="21" t="str">
        <v>车身_流媒体后视镜缩放值</v>
      </c>
      <c r="D214" s="22" t="str">
        <v>车身_流媒体后视镜缩放值</v>
      </c>
      <c r="E214" s="22" t="str">
        <v>1~4档</v>
      </c>
      <c r="G214" s="24" t="str">
        <v>DZT0468</v>
      </c>
      <c r="H214" s="14" t="str">
        <v>已透传cdc</v>
      </c>
      <c r="P214" s="15" t="str">
        <v>P0</v>
      </c>
      <c r="Q214" s="16">
        <v>6.13</v>
      </c>
      <c r="R214" s="25" t="str">
        <v>🟡架构待新增</v>
      </c>
      <c r="X214" s="24" t="str">
        <v>ACS31车辆设置</v>
      </c>
      <c r="Y214" s="20" t="inlineStr">
        <is>
          <r>
            <t>@刘凡</t>
          </r>
        </is>
      </c>
    </row>
    <row r="215" spans="2:25">
      <c r="B215" s="22" t="str">
        <v>3.21 滑移屏状态</v>
      </c>
      <c r="C215" s="21" t="str">
        <v>车身_滑移屏控制状态</v>
      </c>
      <c r="D215" s="22" t="str">
        <v>车身_滑移屏控制状态</v>
      </c>
      <c r="E215" s="22" t="str">
        <v>0=关闭, 1=开启, 2=复位, 3=暂停</v>
      </c>
      <c r="G215" s="23" t="str">
        <v>DZT0344</v>
      </c>
      <c r="H215" s="14" t="str">
        <v>物理位置有</v>
      </c>
      <c r="K215" s="15" t="str">
        <v>松弛空间</v>
      </c>
      <c r="P215" s="15" t="str">
        <v>P0</v>
      </c>
      <c r="Q215" s="16">
        <v>6.13</v>
      </c>
      <c r="R215" s="17" t="str">
        <v>✅ 架构已提供</v>
      </c>
      <c r="S215" s="14" t="str">
        <v>Pre-OTS版本-0804座舱转测</v>
      </c>
      <c r="T215" s="18" t="str">
        <v>车服务原子能力清单 </v>
      </c>
      <c r="U215" s="41" t="str">
        <v>ACTION_VEHICLE_TOP_SCREEN_OPEN_CLOSE_ANGLE</v>
      </c>
      <c r="V215" s="16">
        <v>715</v>
      </c>
      <c r="W215" s="26" t="str">
        <v>郭俊</v>
      </c>
      <c r="X215" s="14" t="str">
        <v>ACS68后排显示</v>
      </c>
      <c r="Y215" s="20" t="inlineStr">
        <is>
          <r>
            <t>@许圣义</t>
          </r>
        </is>
      </c>
    </row>
    <row r="216" spans="3:25">
      <c r="C216" s="21" t="str">
        <v>车身_滑移屏当前位置状态</v>
      </c>
      <c r="D216" s="22" t="str">
        <v>车身_滑移屏当前位置状态</v>
      </c>
      <c r="E216" s="22" t="str">
        <v>0=主驾独享, 1=副驾独享, 2=左后独享, 3=右后独享, 4=前排中间, 5=后排中间</v>
      </c>
      <c r="G216" s="23" t="str">
        <v>DZT0345</v>
      </c>
      <c r="H216" s="14" t="str">
        <v>遥控器遥控时收不到 </v>
      </c>
      <c r="K216" s="15" t="str">
        <v>松弛空间</v>
      </c>
      <c r="P216" s="15" t="str">
        <v>P0</v>
      </c>
      <c r="Q216" s="16">
        <v>6.13</v>
      </c>
      <c r="R216" s="17" t="str">
        <v>✅ 架构已提供</v>
      </c>
      <c r="S216" s="14" t="str">
        <v>Pre-OTS版本-0804座舱转测</v>
      </c>
      <c r="T216" s="18" t="str">
        <v>车服务原子能力清单 </v>
      </c>
      <c r="U216" s="26" t="str">
        <v>ACTION_VEHICLE_TOP_SCREEN_POSITION_AREA</v>
      </c>
      <c r="V216" s="16">
        <v>715</v>
      </c>
      <c r="W216" s="26" t="str">
        <v>郭俊</v>
      </c>
      <c r="X216" s="14" t="str">
        <v>ACS68后排显示</v>
      </c>
      <c r="Y216" s="20" t="inlineStr">
        <is>
          <r>
            <t>@许圣义</t>
          </r>
        </is>
      </c>
    </row>
    <row r="217" spans="3:25">
      <c r="C217" s="21" t="str">
        <v>车身_滑移屏位置值</v>
      </c>
      <c r="D217" s="22" t="str">
        <v>车身_滑移屏位置值</v>
      </c>
      <c r="E217" s="22" t="str">
        <v>方向: 前后左右; 0~100%; Y轴行程≥566mm</v>
      </c>
      <c r="G217" s="23" t="str">
        <v>DZT0346</v>
      </c>
      <c r="H217" s="14" t="str">
        <v>已透传cdc</v>
      </c>
      <c r="K217" s="15" t="str">
        <v>松弛空间</v>
      </c>
      <c r="P217" s="15" t="str">
        <v>P0</v>
      </c>
      <c r="Q217" s="16">
        <v>6.13</v>
      </c>
      <c r="R217" s="17" t="str">
        <v>✅ 架构已提供</v>
      </c>
      <c r="S217" s="14" t="str">
        <v>Pre-OTS版本-0804座舱转测</v>
      </c>
      <c r="T217" s="18" t="str">
        <v>车服务原子能力清单 </v>
      </c>
      <c r="U217" s="26" t="str">
        <v>ACTION_VEHICLE_TOP_SCREEN_POSITION_XY_VOICE</v>
      </c>
      <c r="V217" s="16">
        <v>715</v>
      </c>
      <c r="W217" s="26" t="str">
        <v>郭俊</v>
      </c>
      <c r="X217" s="14" t="str">
        <v>ACS68后排显示</v>
      </c>
      <c r="Y217" s="20" t="inlineStr">
        <is>
          <r>
            <t>@许圣义</t>
          </r>
        </is>
      </c>
    </row>
    <row r="218" spans="3:25">
      <c r="C218" s="21" t="str">
        <v>车身_滑移屏角度值</v>
      </c>
      <c r="D218" s="22" t="str">
        <v>车身_滑移屏角度值</v>
      </c>
      <c r="E218" s="22" t="str">
        <v>80~120°</v>
      </c>
      <c r="G218" s="23" t="str">
        <v>DZT0347</v>
      </c>
      <c r="H218" s="14" t="str">
        <v>已透传cdc</v>
      </c>
      <c r="K218" s="15" t="str">
        <v>松弛空间</v>
      </c>
      <c r="P218" s="15" t="str">
        <v>P0</v>
      </c>
      <c r="Q218" s="16">
        <v>6.13</v>
      </c>
      <c r="R218" s="17" t="str">
        <v>✅ 架构已提供</v>
      </c>
      <c r="S218" s="14" t="str">
        <v>Pre-OTS版本-0804座舱转测</v>
      </c>
      <c r="T218" s="18" t="str">
        <v>车服务原子能力清单 </v>
      </c>
      <c r="U218" s="26" t="str">
        <v>ACTION_VEHICLE_TOP_SCREEN_POSITION_ANGLE</v>
      </c>
      <c r="V218" s="16">
        <v>629</v>
      </c>
      <c r="W218" s="26" t="str">
        <v>郭俊</v>
      </c>
      <c r="X218" s="14" t="str">
        <v>ACS68后排显示</v>
      </c>
      <c r="Y218" s="20" t="inlineStr">
        <is>
          <r>
            <t>@许圣义</t>
          </r>
        </is>
      </c>
    </row>
    <row r="219" spans="3:25">
      <c r="C219" s="21" t="str">
        <v>车身_滑移屏亮度值</v>
      </c>
      <c r="D219" s="22" t="str">
        <v>车身_滑移屏亮度值</v>
      </c>
      <c r="E219" s="22" t="str">
        <v>0~100%</v>
      </c>
      <c r="F219" s="22" t="str">
        <v>订阅回调上报 + 即时单次查询</v>
      </c>
      <c r="G219" s="23" t="str">
        <v>DZT0348</v>
      </c>
      <c r="H219" s="14" t="str">
        <v>已透传cdc</v>
      </c>
      <c r="K219" s="15" t="str">
        <v>松弛空间</v>
      </c>
      <c r="P219" s="15" t="str">
        <v>P0</v>
      </c>
      <c r="Q219" s="16">
        <v>6.13</v>
      </c>
      <c r="R219" s="17" t="str">
        <v>✅ 架构已提供</v>
      </c>
      <c r="S219" s="14" t="str">
        <v>Pre-OTS版本-0804座舱转测</v>
      </c>
      <c r="T219" s="18" t="str">
        <v>车服务原子能力清单 </v>
      </c>
      <c r="U219" s="14" t="str">
        <v>ACTION_VEHICLE_REAR_SCREEN_BRIGHTNESS</v>
      </c>
      <c r="V219" s="16">
        <v>701</v>
      </c>
      <c r="W219" s="14" t="str">
        <v>陈海军</v>
      </c>
      <c r="X219" s="14" t="str">
        <v>ACS68后排显示</v>
      </c>
      <c r="Y219" s="20" t="inlineStr">
        <is>
          <r>
            <t>@许圣义</t>
          </r>
        </is>
      </c>
    </row>
    <row r="220" spans="2:25">
      <c r="B220" s="22" t="str">
        <v>3.22 ETC状态</v>
      </c>
      <c r="C220" s="21" t="str">
        <v>车身_ETC信息</v>
      </c>
      <c r="D220" s="22" t="str">
        <v>车身_ETC信息</v>
      </c>
      <c r="E220" s="22" t="str">
        <v>连接: 0=未插入, 1=已插入; 交易: 0=空闲~4=余额不足; 卡片: 0=无卡~3=黑名单; 信号: 0=无信号~2=信号正常</v>
      </c>
      <c r="G220" s="24" t="str">
        <v>DZT0469</v>
      </c>
      <c r="H220" s="14" t="str">
        <v>信号范围有问题</v>
      </c>
      <c r="P220" s="15" t="str">
        <v>P2</v>
      </c>
      <c r="Q220" s="16">
        <v>6.13</v>
      </c>
      <c r="R220" s="25" t="str">
        <v>🟡架构待新增</v>
      </c>
      <c r="X220" s="24" t="str">
        <v>ACS31车辆设置</v>
      </c>
      <c r="Y220" s="20" t="inlineStr">
        <is>
          <r>
            <t>@陈杰</t>
          </r>
        </is>
      </c>
    </row>
    <row r="221" spans="3:25">
      <c r="C221" s="21" t="str">
        <v>车身_ETC开关状态</v>
      </c>
      <c r="D221" s="22" t="str">
        <v>车身_ETC开关状态</v>
      </c>
      <c r="E221" s="22" t="str">
        <v>0=关闭, 1=开启</v>
      </c>
      <c r="G221" s="24" t="str">
        <v>DZT0470</v>
      </c>
      <c r="H221" s="14" t="str">
        <v>已透传cdc</v>
      </c>
      <c r="P221" s="15" t="str">
        <v>P0</v>
      </c>
      <c r="Q221" s="16">
        <v>6.13</v>
      </c>
      <c r="R221" s="25" t="str">
        <v>🟡架构待新增</v>
      </c>
      <c r="X221" s="24" t="str">
        <v>ACS31车辆设置</v>
      </c>
      <c r="Y221" s="20" t="inlineStr">
        <is>
          <r>
            <t>@陈杰</t>
          </r>
        </is>
      </c>
    </row>
    <row r="222" spans="2:25">
      <c r="B222" s="22" t="str">
        <v>3.23 无线充电状态</v>
      </c>
      <c r="C222" s="21" t="str">
        <v>车身_无线充电状态</v>
      </c>
      <c r="D222" s="22" t="str">
        <v>车身_无线充电状态</v>
      </c>
      <c r="E222" s="22" t="str">
        <v>状态: 0=无设备, 1=检测中, 2=充电中, 3=充电完成, 4=故障; 功率: 0~50 W; 异物检测: 0=无异物, 1=异物检测触发</v>
      </c>
      <c r="G222" s="23" t="str">
        <v>DZT0349</v>
      </c>
      <c r="H222" s="14" t="str">
        <v>没有</v>
      </c>
      <c r="P222" s="15" t="str">
        <v>P0</v>
      </c>
      <c r="Q222" s="16">
        <v>6.13</v>
      </c>
      <c r="R222" s="17" t="str">
        <v>✅ 架构已提供</v>
      </c>
      <c r="S222" s="14" t="str">
        <v>Pre-OTS版本-0804座舱转测</v>
      </c>
      <c r="T222" s="18" t="str">
        <v>车服务原子能力清单 </v>
      </c>
      <c r="U222" s="26" t="str">
        <v>ACTION_VEHICLE_LEFT_BEHIND_OBJECT_HINT_SWITCH</v>
      </c>
      <c r="V222" s="16">
        <v>715</v>
      </c>
      <c r="W222" s="14" t="str">
        <v>李潘</v>
      </c>
      <c r="X222" s="14" t="str">
        <v>ACS31车辆设置</v>
      </c>
      <c r="Y222" s="20" t="inlineStr">
        <is>
          <r>
            <t>@陈杰</t>
          </r>
        </is>
      </c>
    </row>
    <row r="223" ht="105" customHeight="1" spans="2:25">
      <c r="B223" s="22" t="str">
        <v>3.24 仪表指示灯状态</v>
      </c>
      <c r="C223" s="21" t="str">
        <v>仪表_电池低电量告警灯</v>
      </c>
      <c r="D223" s="22" t="str">
        <v>仪表_电池低电量告警灯</v>
      </c>
      <c r="E223" s="28" t="str">
        <v>0=熄灭, 1=常亮</v>
      </c>
      <c r="G223" s="24" t="str">
        <v>DZT0471</v>
      </c>
      <c r="H223" s="3" t="str">
        <v>仪表</v>
      </c>
      <c r="N223" s="14"/>
      <c r="O223" s="14" t="str">
        <v>黄色</v>
      </c>
      <c r="P223" s="15" t="str">
        <v>P1</v>
      </c>
      <c r="Q223" s="16">
        <v>6.13</v>
      </c>
      <c r="R223" s="17" t="str">
        <v>🔄座舱内闭环</v>
      </c>
      <c r="X223" s="24" t="str">
        <v>ACS70天际屏（PHUD）</v>
      </c>
      <c r="Y223" s="20" t="inlineStr">
        <is>
          <r>
            <t>@陈杰</t>
          </r>
        </is>
      </c>
    </row>
    <row r="224" ht="82" customHeight="1" spans="3:25">
      <c r="C224" s="21" t="str">
        <v>仪表_ESC故障灯</v>
      </c>
      <c r="D224" s="22" t="str">
        <v>仪表_ESC故障灯</v>
      </c>
      <c r="E224" s="22" t="str">
        <v>0=熄灭, 1=常亮(故障), 2=闪烁(ESC激活中)</v>
      </c>
      <c r="G224" s="24" t="str">
        <v>DZT0472</v>
      </c>
      <c r="H224" s="14" t="str">
        <v>ok</v>
      </c>
      <c r="N224" s="14"/>
      <c r="O224" s="14" t="str">
        <v>黄色</v>
      </c>
      <c r="P224" s="15" t="str">
        <v>P1</v>
      </c>
      <c r="Q224" s="16">
        <v>6.13</v>
      </c>
      <c r="R224" s="17" t="str">
        <v>🔄座舱内闭环</v>
      </c>
      <c r="X224" s="24" t="str">
        <v>ACS70天际屏（PHUD）</v>
      </c>
      <c r="Y224" s="20" t="inlineStr">
        <is>
          <r>
            <t>@陈杰</t>
          </r>
        </is>
      </c>
    </row>
    <row r="225" ht="85" customHeight="1" spans="3:25">
      <c r="C225" s="21" t="str">
        <v>仪表_ABS故障灯</v>
      </c>
      <c r="D225" s="22" t="str">
        <v>仪表_ABS故障灯</v>
      </c>
      <c r="E225" s="22" t="str">
        <v>0=熄灭, 1=常亮(故障)</v>
      </c>
      <c r="G225" s="24" t="str">
        <v>DZT0473</v>
      </c>
      <c r="H225" s="14" t="str">
        <v>ok</v>
      </c>
      <c r="N225" s="14"/>
      <c r="O225" s="14" t="str">
        <v>黄色</v>
      </c>
      <c r="P225" s="15" t="str">
        <v>P1</v>
      </c>
      <c r="Q225" s="16">
        <v>6.13</v>
      </c>
      <c r="R225" s="17" t="str">
        <v>🔄座舱内闭环</v>
      </c>
      <c r="X225" s="24" t="str">
        <v>ACS70天际屏（PHUD）</v>
      </c>
      <c r="Y225" s="20" t="inlineStr">
        <is>
          <r>
            <t>@陈杰</t>
          </r>
        </is>
      </c>
    </row>
    <row r="226" ht="97" customHeight="1" spans="3:25">
      <c r="C226" s="21" t="str">
        <v>仪表_EPB故障灯</v>
      </c>
      <c r="D226" s="22" t="str">
        <v>仪表_EPB故障灯</v>
      </c>
      <c r="E226" s="21" t="str">
        <v>0=熄灭, 1=常亮(故障), 2=闪烁(进入诊断模式)</v>
      </c>
      <c r="G226" s="24" t="str">
        <v>DZT0474</v>
      </c>
      <c r="H226" s="3" t="str">
        <v>仪表</v>
      </c>
      <c r="N226" s="14"/>
      <c r="O226" s="14" t="str">
        <v>黄色</v>
      </c>
      <c r="P226" s="15" t="str">
        <v>P1</v>
      </c>
      <c r="Q226" s="16">
        <v>6.13</v>
      </c>
      <c r="R226" s="17" t="str">
        <v>🔄座舱内闭环</v>
      </c>
      <c r="X226" s="24" t="str">
        <v>ACS70天际屏（PHUD）</v>
      </c>
      <c r="Y226" s="20" t="inlineStr">
        <is>
          <r>
            <t>@陈杰</t>
          </r>
        </is>
      </c>
    </row>
    <row r="227" ht="83" customHeight="1" spans="3:25">
      <c r="C227" s="21" t="str">
        <v>仪表_安全气囊故障灯</v>
      </c>
      <c r="D227" s="22" t="str">
        <v>仪表_安全气囊故障灯</v>
      </c>
      <c r="E227" s="21" t="str">
        <v>0=熄灭, 1=常亮(故障), 2=闪烁(未激活点火功能)</v>
      </c>
      <c r="G227" s="24" t="str">
        <v>DZT0475</v>
      </c>
      <c r="H227" s="3" t="str">
        <v>仪表</v>
      </c>
      <c r="N227" s="14"/>
      <c r="O227" s="14" t="str">
        <v>红色</v>
      </c>
      <c r="P227" s="15" t="str">
        <v>P1</v>
      </c>
      <c r="Q227" s="16">
        <v>6.13</v>
      </c>
      <c r="R227" s="17" t="str">
        <v>🔄座舱内闭环</v>
      </c>
      <c r="X227" s="24" t="str">
        <v>ACS70天际屏（PHUD）</v>
      </c>
      <c r="Y227" s="20" t="inlineStr">
        <is>
          <r>
            <t>@陈杰</t>
          </r>
        </is>
      </c>
    </row>
    <row r="228" ht="100" customHeight="1" spans="3:25">
      <c r="C228" s="21" t="str">
        <v>仪表_安全带未系指示灯</v>
      </c>
      <c r="D228" s="22" t="str">
        <v>仪表_安全带未系指示灯</v>
      </c>
      <c r="E228" s="21" t="str">
        <v>0=熄灭, 1=常亮（未系）, 2=闪烁(未系+报警)</v>
      </c>
      <c r="G228" s="24" t="str">
        <v>DZT0476</v>
      </c>
      <c r="H228" s="3" t="str">
        <v>仪表</v>
      </c>
      <c r="N228" s="14"/>
      <c r="O228" s="14" t="str">
        <v>红色</v>
      </c>
      <c r="P228" s="15" t="str">
        <v>P1</v>
      </c>
      <c r="Q228" s="16">
        <v>6.13</v>
      </c>
      <c r="R228" s="17" t="str">
        <v>🔄座舱内闭环</v>
      </c>
      <c r="X228" s="24" t="str">
        <v>ACS70天际屏（PHUD）</v>
      </c>
      <c r="Y228" s="20" t="inlineStr">
        <is>
          <r>
            <t>@陈杰</t>
          </r>
        </is>
      </c>
    </row>
    <row r="229" spans="3:25">
      <c r="C229" s="21" t="str">
        <v>仪表_胎压故障灯</v>
      </c>
      <c r="D229" s="22" t="str">
        <v>仪表_胎压故障灯</v>
      </c>
      <c r="E229" s="22" t="str">
        <v>0=熄灭, 1=常亮(胎压异常), 2=闪烁(系统故障)</v>
      </c>
      <c r="G229" s="24" t="str">
        <v>DZT0477</v>
      </c>
      <c r="H229" s="42" t="str">
        <v>参照3.5胎压监测状态</v>
      </c>
      <c r="N229" s="14" t="str">
        <v>/</v>
      </c>
      <c r="O229" s="14" t="str">
        <v>/</v>
      </c>
      <c r="P229" s="15" t="str">
        <v>P1</v>
      </c>
      <c r="Q229" s="16">
        <v>6.13</v>
      </c>
      <c r="R229" s="17" t="str">
        <v>🔄座舱内闭环</v>
      </c>
      <c r="X229" s="24" t="str">
        <v>ACS70天际屏（PHUD）</v>
      </c>
      <c r="Y229" s="20" t="inlineStr">
        <is>
          <r>
            <t>@陈杰</t>
          </r>
        </is>
      </c>
    </row>
    <row r="230" ht="29" customHeight="1" spans="3:25">
      <c r="C230" s="21" t="str">
        <v>仪表_转向系统故障灯</v>
      </c>
      <c r="D230" s="22" t="str">
        <v>仪表_转向系统故障灯</v>
      </c>
      <c r="E230" s="21" t="str">
        <v>0=熄灭, 1=常亮(严重故障，红色), 2=常亮(故障，黄色)</v>
      </c>
      <c r="G230" s="24" t="str">
        <v>DZT0478</v>
      </c>
      <c r="H230" s="3" t="str">
        <v>仪表</v>
      </c>
      <c r="N230" s="14"/>
      <c r="O230" s="14" t="str">
        <v>红色
黄色</v>
      </c>
      <c r="P230" s="15" t="str">
        <v>P1</v>
      </c>
      <c r="Q230" s="16">
        <v>6.13</v>
      </c>
      <c r="R230" s="17" t="str">
        <v>🔄座舱内闭环</v>
      </c>
      <c r="X230" s="24" t="str">
        <v>ACS70天际屏（PHUD）</v>
      </c>
      <c r="Y230" s="20" t="inlineStr">
        <is>
          <r>
            <t>@陈杰</t>
          </r>
        </is>
      </c>
    </row>
    <row r="231" ht="44" customHeight="1" spans="3:25">
      <c r="C231" s="21" t="str">
        <v>仪表_悬架故障灯</v>
      </c>
      <c r="D231" s="22" t="str">
        <v>仪表_悬架故障灯</v>
      </c>
      <c r="E231" s="21" t="str">
        <v>0=熄灭, 1=常亮(故障，黄色) 2=常亮(严重故障，红色)</v>
      </c>
      <c r="G231" s="24" t="str">
        <v>DZT0479</v>
      </c>
      <c r="H231" s="3" t="str">
        <v>仪表</v>
      </c>
      <c r="N231" s="14"/>
      <c r="O231" s="14" t="str">
        <v>红色</v>
      </c>
      <c r="P231" s="15" t="str">
        <v>P1</v>
      </c>
      <c r="Q231" s="16">
        <v>6.13</v>
      </c>
      <c r="R231" s="17" t="str">
        <v>🔄座舱内闭环</v>
      </c>
      <c r="X231" s="24" t="str">
        <v>ACS70天际屏（PHUD）</v>
      </c>
      <c r="Y231" s="20" t="inlineStr">
        <is>
          <r>
            <t>@陈杰</t>
          </r>
        </is>
      </c>
    </row>
    <row r="232" ht="93" customHeight="1" spans="3:25">
      <c r="C232" s="21" t="str">
        <v>仪表_Ready指示灯</v>
      </c>
      <c r="D232" s="22" t="str">
        <v>仪表_Ready指示灯</v>
      </c>
      <c r="E232" s="21" t="str">
        <v>0=熄灭(未就绪), 1=常亮绿(高压就绪)</v>
      </c>
      <c r="G232" s="24" t="str">
        <v>DZT0480</v>
      </c>
      <c r="H232" s="3" t="str">
        <v>仪表</v>
      </c>
      <c r="N232" s="14"/>
      <c r="O232" s="14" t="str">
        <v>绿色</v>
      </c>
      <c r="P232" s="15" t="str">
        <v>P1</v>
      </c>
      <c r="Q232" s="16">
        <v>6.13</v>
      </c>
      <c r="R232" s="17" t="str">
        <v>🔄座舱内闭环</v>
      </c>
      <c r="X232" s="24" t="str">
        <v>ACS70天际屏（PHUD）</v>
      </c>
      <c r="Y232" s="20" t="inlineStr">
        <is>
          <r>
            <t>@陈杰</t>
          </r>
        </is>
      </c>
    </row>
    <row r="233" ht="99" customHeight="1" spans="3:25">
      <c r="C233" s="21" t="str">
        <v>仪表_车灯故障指示灯</v>
      </c>
      <c r="D233" s="22" t="str">
        <v>仪表_车灯故障指示灯</v>
      </c>
      <c r="E233" s="22" t="str">
        <v>0=熄灭, 1=常亮(灯光故障)</v>
      </c>
      <c r="G233" s="24" t="str">
        <v>DZT0481</v>
      </c>
      <c r="H233" s="14" t="str">
        <v>ok</v>
      </c>
      <c r="N233" s="14"/>
      <c r="O233" s="14" t="str">
        <v>黄色</v>
      </c>
      <c r="P233" s="15" t="str">
        <v>P1</v>
      </c>
      <c r="Q233" s="16">
        <v>6.13</v>
      </c>
      <c r="R233" s="17" t="str">
        <v>🔄座舱内闭环</v>
      </c>
      <c r="X233" s="24" t="str">
        <v>ACS70天际屏（PHUD）</v>
      </c>
      <c r="Y233" s="20" t="inlineStr">
        <is>
          <r>
            <t>@陈杰</t>
          </r>
        </is>
      </c>
    </row>
    <row r="234" ht="71" customHeight="1" spans="3:25">
      <c r="C234" s="21" t="str">
        <v>仪表_12V蓄电池故障灯</v>
      </c>
      <c r="D234" s="22" t="str">
        <v>仪表_12V蓄电池故障灯</v>
      </c>
      <c r="E234" s="28" t="str">
        <v>0=熄灭, 1=常亮(异常)</v>
      </c>
      <c r="G234" s="24" t="str">
        <v>DZT0482</v>
      </c>
      <c r="H234" s="3" t="str">
        <v>仪表</v>
      </c>
      <c r="N234" s="14"/>
      <c r="O234" s="14" t="str">
        <v>红色</v>
      </c>
      <c r="P234" s="15" t="str">
        <v>P1</v>
      </c>
      <c r="Q234" s="16">
        <v>6.13</v>
      </c>
      <c r="R234" s="17" t="str">
        <v>🔄座舱内闭环</v>
      </c>
      <c r="X234" s="24" t="str">
        <v>ACS70天际屏（PHUD）</v>
      </c>
      <c r="Y234" s="20" t="inlineStr">
        <is>
          <r>
            <t>@陈杰</t>
          </r>
        </is>
      </c>
    </row>
    <row r="235" ht="68" customHeight="1" spans="3:25">
      <c r="C235" s="21" t="str">
        <v>仪表_动力系统故障指示灯</v>
      </c>
      <c r="D235" s="22" t="str">
        <v>仪表_动力系统故障指示灯</v>
      </c>
      <c r="E235" s="21" t="str">
        <v>0=熄灭, 1=常亮(动力系统故障)</v>
      </c>
      <c r="G235" s="24" t="str">
        <v>DZT0483</v>
      </c>
      <c r="H235" s="3" t="str">
        <v>仪表</v>
      </c>
      <c r="N235" s="14"/>
      <c r="O235" s="14" t="str">
        <v>红色</v>
      </c>
      <c r="P235" s="15" t="str">
        <v>P1</v>
      </c>
      <c r="Q235" s="16">
        <v>6.13</v>
      </c>
      <c r="R235" s="17" t="str">
        <v>🔄座舱内闭环</v>
      </c>
      <c r="X235" s="24" t="str">
        <v>ACS70天际屏（PHUD）</v>
      </c>
      <c r="Y235" s="20" t="inlineStr">
        <is>
          <r>
            <t>@陈杰</t>
          </r>
        </is>
      </c>
    </row>
    <row r="236" ht="105" customHeight="1" spans="3:25">
      <c r="C236" s="21" t="str">
        <v>仪表_制动系统故障灯</v>
      </c>
      <c r="D236" s="22" t="str">
        <v>仪表_制动系统故障灯</v>
      </c>
      <c r="E236" s="28" t="str">
        <v>0=熄灭, 1=常亮(制动系统故障)</v>
      </c>
      <c r="G236" s="24" t="str">
        <v>DZT0484</v>
      </c>
      <c r="H236" s="3" t="str">
        <v>仪表</v>
      </c>
      <c r="N236" s="14"/>
      <c r="O236" s="14" t="str">
        <v>红色</v>
      </c>
      <c r="P236" s="15" t="str">
        <v>P1</v>
      </c>
      <c r="Q236" s="16">
        <v>6.13</v>
      </c>
      <c r="R236" s="17" t="str">
        <v>🔄座舱内闭环</v>
      </c>
      <c r="X236" s="24" t="str">
        <v>ACS70天际屏（PHUD）</v>
      </c>
      <c r="Y236" s="20" t="inlineStr">
        <is>
          <r>
            <t>@陈杰</t>
          </r>
        </is>
      </c>
    </row>
    <row r="237" ht="64" customHeight="1" spans="3:25">
      <c r="C237" s="21" t="str">
        <v>仪表_驻车制动状态灯</v>
      </c>
      <c r="D237" s="22" t="str">
        <v>仪表_驻车制动状态灯</v>
      </c>
      <c r="E237" s="28" t="str">
        <v>0=熄灭, 1=常亮红(EPB已施加), 2=闪烁(信号丢失/E2E校验失败)</v>
      </c>
      <c r="G237" s="24" t="str">
        <v>DZT0485</v>
      </c>
      <c r="H237" s="3" t="str">
        <v>仪表</v>
      </c>
      <c r="N237" s="14"/>
      <c r="O237" s="14" t="str">
        <v>红色</v>
      </c>
      <c r="P237" s="15" t="str">
        <v>P1</v>
      </c>
      <c r="Q237" s="16">
        <v>6.13</v>
      </c>
      <c r="R237" s="17" t="str">
        <v>🔄座舱内闭环</v>
      </c>
      <c r="X237" s="24" t="str">
        <v>ACS70天际屏（PHUD）</v>
      </c>
      <c r="Y237" s="20" t="inlineStr">
        <is>
          <r>
            <t>@陈杰</t>
          </r>
        </is>
      </c>
    </row>
    <row r="238" ht="105" customHeight="1" spans="3:25">
      <c r="C238" s="21" t="str">
        <v>仪表_动力电池故障灯</v>
      </c>
      <c r="D238" s="22" t="str">
        <v>仪表_动力电池故障灯</v>
      </c>
      <c r="E238" s="21" t="str">
        <v>0=熄灭, 1=常亮(电池故障)</v>
      </c>
      <c r="G238" s="24" t="str">
        <v>DZT0486</v>
      </c>
      <c r="H238" s="3" t="str">
        <v>仪表</v>
      </c>
      <c r="N238" s="14"/>
      <c r="O238" s="14" t="str">
        <v>红色</v>
      </c>
      <c r="P238" s="15" t="str">
        <v>P1</v>
      </c>
      <c r="Q238" s="16">
        <v>6.13</v>
      </c>
      <c r="R238" s="17" t="str">
        <v>🔄座舱内闭环</v>
      </c>
      <c r="X238" s="24" t="str">
        <v>ACS70天际屏（PHUD）</v>
      </c>
      <c r="Y238" s="20" t="inlineStr">
        <is>
          <r>
            <t>@陈杰</t>
          </r>
        </is>
      </c>
    </row>
    <row r="239" ht="105" customHeight="1" spans="3:25">
      <c r="C239" s="21" t="str">
        <v>仪表_驱动电机故障灯</v>
      </c>
      <c r="D239" s="22" t="str">
        <v>仪表_驱动电机故障灯</v>
      </c>
      <c r="E239" s="21" t="str">
        <v>0=熄灭, 1=常亮(电机故障)</v>
      </c>
      <c r="G239" s="24" t="str">
        <v>DZT0487</v>
      </c>
      <c r="H239" s="3" t="str">
        <v>仪表</v>
      </c>
      <c r="N239" s="14"/>
      <c r="O239" s="14" t="str">
        <v>红色</v>
      </c>
      <c r="P239" s="15" t="str">
        <v>P1</v>
      </c>
      <c r="Q239" s="16">
        <v>6.13</v>
      </c>
      <c r="R239" s="17" t="str">
        <v>🔄座舱内闭环</v>
      </c>
      <c r="X239" s="24" t="str">
        <v>ACS70天际屏（PHUD）</v>
      </c>
      <c r="Y239" s="20" t="inlineStr">
        <is>
          <r>
            <t>@陈杰</t>
          </r>
        </is>
      </c>
    </row>
    <row r="240" ht="29" customHeight="1" spans="3:25">
      <c r="C240" s="21" t="str">
        <v>仪表_EPS严重故障灯</v>
      </c>
      <c r="D240" s="22" t="str">
        <v>仪表_EPS严重故障灯</v>
      </c>
      <c r="E240" s="21" t="str">
        <v>0=熄灭, 1=常亮(严重故障，红色), 2=常亮(故障，黄色)</v>
      </c>
      <c r="G240" s="24" t="str">
        <v>DZT0488</v>
      </c>
      <c r="H240" s="42" t="str">
        <v>同“仪表_转向系统故障灯”“</v>
      </c>
      <c r="N240" s="14"/>
      <c r="O240" s="14" t="str">
        <v>/</v>
      </c>
      <c r="P240" s="15" t="str">
        <v>P1</v>
      </c>
      <c r="Q240" s="16">
        <v>6.13</v>
      </c>
      <c r="R240" s="17" t="str">
        <v>🔄座舱内闭环</v>
      </c>
      <c r="X240" s="24" t="str">
        <v>ACS70天际屏（PHUD）</v>
      </c>
      <c r="Y240" s="20" t="inlineStr">
        <is>
          <r>
            <t>@陈杰</t>
          </r>
        </is>
      </c>
    </row>
    <row r="241" ht="105" customHeight="1" spans="3:25">
      <c r="C241" s="21" t="str">
        <v>仪表_功率受限灯</v>
      </c>
      <c r="D241" s="22" t="str">
        <v>仪表_功率受限灯</v>
      </c>
      <c r="E241" s="22" t="str">
        <v>0=熄灭, 1=常亮(功率受限)</v>
      </c>
      <c r="G241" s="24" t="str">
        <v>DZT0489</v>
      </c>
      <c r="H241" s="14" t="str">
        <v>ok</v>
      </c>
      <c r="N241" s="14"/>
      <c r="O241" s="14" t="str">
        <v>黄色</v>
      </c>
      <c r="P241" s="15" t="str">
        <v>P1</v>
      </c>
      <c r="Q241" s="16">
        <v>6.13</v>
      </c>
      <c r="R241" s="17" t="str">
        <v>🔄座舱内闭环</v>
      </c>
      <c r="X241" s="24" t="str">
        <v>ACS70天际屏（PHUD）</v>
      </c>
      <c r="Y241" s="20" t="inlineStr">
        <is>
          <r>
            <t>@陈杰</t>
          </r>
        </is>
      </c>
    </row>
    <row r="242" ht="105" customHeight="1" spans="3:25">
      <c r="C242" s="21" t="str">
        <v>仪表_ESC功能关闭灯</v>
      </c>
      <c r="D242" s="22" t="str">
        <v>仪表_ESC功能关闭灯</v>
      </c>
      <c r="E242" s="22" t="str">
        <v>0=熄灭, 1=常亮(ESC功能已关闭)</v>
      </c>
      <c r="G242" s="24" t="str">
        <v>DZT0490</v>
      </c>
      <c r="H242" s="14" t="str">
        <v>ok</v>
      </c>
      <c r="N242" s="14"/>
      <c r="O242" s="14" t="str">
        <v>黄色</v>
      </c>
      <c r="P242" s="15" t="str">
        <v>P1</v>
      </c>
      <c r="Q242" s="16">
        <v>6.13</v>
      </c>
      <c r="R242" s="17" t="str">
        <v>🔄座舱内闭环</v>
      </c>
      <c r="X242" s="24" t="str">
        <v>ACS70天际屏（PHUD）</v>
      </c>
      <c r="Y242" s="20" t="inlineStr">
        <is>
          <r>
            <t>@陈杰</t>
          </r>
        </is>
      </c>
    </row>
    <row r="243" ht="47" customHeight="1" spans="3:25">
      <c r="C243" s="21" t="str">
        <v>仪表_AVH自动驻车指示灯</v>
      </c>
      <c r="D243" s="22" t="str">
        <v>仪表_AVH自动驻车指示灯</v>
      </c>
      <c r="E243" s="21" t="str">
        <v>0=熄灭, 1=常亮灰(待机), 2=常亮绿(激活)</v>
      </c>
      <c r="G243" s="24" t="str">
        <v>DZT0491</v>
      </c>
      <c r="H243" s="3" t="str">
        <v>仪表</v>
      </c>
      <c r="N243" s="14"/>
      <c r="O243" s="14" t="str">
        <v>灰色
绿色</v>
      </c>
      <c r="P243" s="15" t="str">
        <v>P1</v>
      </c>
      <c r="Q243" s="16">
        <v>6.13</v>
      </c>
      <c r="R243" s="17" t="str">
        <v>🔄座舱内闭环</v>
      </c>
      <c r="X243" s="24" t="str">
        <v>ACS70天际屏（PHUD）</v>
      </c>
      <c r="Y243" s="20" t="inlineStr">
        <is>
          <r>
            <t>@陈杰</t>
          </r>
        </is>
      </c>
    </row>
    <row r="244" ht="105" customHeight="1" spans="3:25">
      <c r="C244" s="21" t="str">
        <v>仪表_AVH自动驻车故障指示灯</v>
      </c>
      <c r="D244" s="21" t="str">
        <v>仪表_AVH自动驻车故障指示灯</v>
      </c>
      <c r="E244" s="21" t="str">
        <v>0=熄灭, 1=常亮（故障）</v>
      </c>
      <c r="G244" s="24" t="str">
        <v>DZT0492</v>
      </c>
      <c r="H244" s="3" t="str">
        <v>仪表</v>
      </c>
      <c r="N244" s="14"/>
      <c r="O244" s="14" t="str">
        <v>黄色</v>
      </c>
      <c r="P244" s="15" t="str">
        <v>P1</v>
      </c>
      <c r="Q244" s="16">
        <v>6.13</v>
      </c>
      <c r="R244" s="17" t="str">
        <v>🔄座舱内闭环</v>
      </c>
      <c r="X244" s="24" t="str">
        <v>ACS70天际屏（PHUD）</v>
      </c>
      <c r="Y244" s="20" t="inlineStr">
        <is>
          <r>
            <t>@陈杰</t>
          </r>
        </is>
      </c>
    </row>
    <row r="245" ht="105" customHeight="1" spans="3:25">
      <c r="C245" s="21" t="str">
        <v>仪表_减震器故障灯</v>
      </c>
      <c r="D245" s="22" t="str">
        <v>仪表_减震器故障灯</v>
      </c>
      <c r="E245" s="22" t="str">
        <v>0=熄灭, 1=常亮(CDC减震器故障)</v>
      </c>
      <c r="G245" s="24" t="str">
        <v>DZT0493</v>
      </c>
      <c r="H245" s="22" t="str">
        <v>ok</v>
      </c>
      <c r="N245" s="14"/>
      <c r="O245" s="14" t="str">
        <v>黄色</v>
      </c>
      <c r="P245" s="15" t="str">
        <v>P1</v>
      </c>
      <c r="Q245" s="16">
        <v>6.13</v>
      </c>
      <c r="R245" s="17" t="str">
        <v>🔄座舱内闭环</v>
      </c>
      <c r="X245" s="24" t="str">
        <v>ACS70天际屏（PHUD）</v>
      </c>
      <c r="Y245" s="20" t="inlineStr">
        <is>
          <r>
            <t>@陈杰</t>
          </r>
        </is>
      </c>
    </row>
    <row r="246" ht="62" customHeight="1" spans="3:25">
      <c r="C246" s="21" t="str">
        <v>仪表_位置灯指示灯</v>
      </c>
      <c r="D246" s="22" t="str">
        <v>仪表_位置灯指示灯</v>
      </c>
      <c r="E246" s="22" t="str">
        <v>0=熄灭, 1=常亮(位置灯已开启)</v>
      </c>
      <c r="G246" s="24" t="str">
        <v>DZT0494</v>
      </c>
      <c r="H246" s="22" t="str">
        <v>ok</v>
      </c>
      <c r="N246" s="14"/>
      <c r="O246" s="14" t="str">
        <v>绿色</v>
      </c>
      <c r="P246" s="15" t="str">
        <v>P1</v>
      </c>
      <c r="Q246" s="16">
        <v>6.13</v>
      </c>
      <c r="R246" s="17" t="str">
        <v>🔄座舱内闭环</v>
      </c>
      <c r="X246" s="24" t="str">
        <v>ACS70天际屏（PHUD）</v>
      </c>
      <c r="Y246" s="20" t="inlineStr">
        <is>
          <r>
            <t>@陈杰</t>
          </r>
        </is>
      </c>
    </row>
    <row r="247" ht="71" customHeight="1" spans="3:25">
      <c r="C247" s="21" t="str">
        <v>仪表_近光灯指示灯</v>
      </c>
      <c r="D247" s="22" t="str">
        <v>仪表_近光灯指示灯</v>
      </c>
      <c r="E247" s="22" t="str">
        <v>0=熄灭, 1=常亮(近光灯已开启)</v>
      </c>
      <c r="G247" s="24" t="str">
        <v>DZT0495</v>
      </c>
      <c r="H247" s="22" t="str">
        <v>ok</v>
      </c>
      <c r="N247" s="14"/>
      <c r="O247" s="14" t="str">
        <v>绿色</v>
      </c>
      <c r="P247" s="15" t="str">
        <v>P1</v>
      </c>
      <c r="Q247" s="16">
        <v>6.13</v>
      </c>
      <c r="R247" s="17" t="str">
        <v>🔄座舱内闭环</v>
      </c>
      <c r="X247" s="24" t="str">
        <v>ACS70天际屏（PHUD）</v>
      </c>
      <c r="Y247" s="20" t="inlineStr">
        <is>
          <r>
            <t>@陈杰</t>
          </r>
        </is>
      </c>
    </row>
    <row r="248" ht="31" customHeight="1" spans="3:25">
      <c r="C248" s="21" t="str">
        <v>仪表_远光灯指示灯</v>
      </c>
      <c r="D248" s="22" t="str">
        <v>仪表_远光灯指示灯</v>
      </c>
      <c r="E248" s="21" t="str">
        <v>0=熄灭, 1=常亮蓝无AUTO(远光灯已开启，自动远光关闭), 2=常亮蓝有AUTO（远光灯已开启，自动远光开启），3=常亮灰有AUTO（远光灯已关闭，自动远光开启）</v>
      </c>
      <c r="G248" s="24" t="str">
        <v>DZT0496</v>
      </c>
      <c r="H248" s="3" t="str">
        <v>仪表</v>
      </c>
      <c r="N248" s="14"/>
      <c r="O248" s="14" t="str">
        <v>蓝色
灰色</v>
      </c>
      <c r="P248" s="15" t="str">
        <v>P1</v>
      </c>
      <c r="Q248" s="16">
        <v>6.13</v>
      </c>
      <c r="R248" s="17" t="str">
        <v>🔄座舱内闭环</v>
      </c>
      <c r="X248" s="24" t="str">
        <v>ACS70天际屏（PHUD）</v>
      </c>
      <c r="Y248" s="20" t="inlineStr">
        <is>
          <r>
            <t>@陈杰</t>
          </r>
        </is>
      </c>
    </row>
    <row r="249" ht="87" customHeight="1" spans="3:25">
      <c r="C249" s="21" t="str">
        <v>仪表_后雾灯指示灯</v>
      </c>
      <c r="D249" s="22" t="str">
        <v>仪表_后雾灯指示灯</v>
      </c>
      <c r="E249" s="22" t="str">
        <v>0=熄灭, 1=常亮(后雾灯已开启)</v>
      </c>
      <c r="G249" s="24" t="str">
        <v>DZT0497</v>
      </c>
      <c r="H249" s="14" t="str">
        <v>ok</v>
      </c>
      <c r="N249" s="14"/>
      <c r="O249" s="14" t="str">
        <v>黄色</v>
      </c>
      <c r="P249" s="15" t="str">
        <v>P1</v>
      </c>
      <c r="Q249" s="16">
        <v>6.13</v>
      </c>
      <c r="R249" s="17" t="str">
        <v>🔄座舱内闭环</v>
      </c>
      <c r="X249" s="24" t="str">
        <v>ACS70天际屏（PHUD）</v>
      </c>
      <c r="Y249" s="20" t="inlineStr">
        <is>
          <r>
            <t>@陈杰</t>
          </r>
        </is>
      </c>
    </row>
    <row r="250" ht="76" customHeight="1" spans="3:25">
      <c r="C250" s="21" t="str">
        <v>仪表_充电枪连接指示灯</v>
      </c>
      <c r="D250" s="22" t="str">
        <v>仪表_充电枪连接指示灯</v>
      </c>
      <c r="E250" s="28" t="str">
        <v>0=熄灭, 1=常亮(充电枪已连接)</v>
      </c>
      <c r="G250" s="24" t="str">
        <v>DZT0498</v>
      </c>
      <c r="H250" s="3" t="str">
        <v>仪表</v>
      </c>
      <c r="K250" s="15" t="str">
        <v>充电管家</v>
      </c>
      <c r="N250" s="14"/>
      <c r="O250" s="14" t="str">
        <v>红色</v>
      </c>
      <c r="P250" s="15" t="str">
        <v>P1</v>
      </c>
      <c r="Q250" s="16">
        <v>6.13</v>
      </c>
      <c r="R250" s="17" t="str">
        <v>🔄座舱内闭环</v>
      </c>
      <c r="X250" s="24" t="str">
        <v>ACS70天际屏（PHUD）</v>
      </c>
      <c r="Y250" s="20" t="inlineStr">
        <is>
          <r>
            <t>@陈杰</t>
          </r>
        </is>
      </c>
    </row>
    <row r="251" ht="65" customHeight="1" spans="3:25">
      <c r="C251" s="21" t="str">
        <v>仪表_AEB故障灯</v>
      </c>
      <c r="D251" s="22" t="str">
        <v>仪表_AEB故障灯</v>
      </c>
      <c r="E251" s="13" t="str">
        <v>0=熄灭, 1=常亮黄(AEB故障)</v>
      </c>
      <c r="G251" s="24" t="str">
        <v>DZT0499</v>
      </c>
      <c r="H251" s="3" t="str">
        <v>仪表</v>
      </c>
      <c r="N251" s="25"/>
      <c r="O251" s="14" t="str">
        <v>黄色</v>
      </c>
      <c r="P251" s="15" t="str">
        <v>P1</v>
      </c>
      <c r="Q251" s="16">
        <v>6.13</v>
      </c>
      <c r="R251" s="17" t="str">
        <v>🔄座舱内闭环</v>
      </c>
      <c r="X251" s="24" t="str">
        <v>ACS70天际屏（PHUD）</v>
      </c>
      <c r="Y251" s="20" t="inlineStr">
        <is>
          <r>
            <t>@陈杰</t>
          </r>
        </is>
      </c>
    </row>
    <row r="252" ht="75" customHeight="1" spans="3:25">
      <c r="C252" s="21" t="str">
        <v>仪表_LKA故障灯</v>
      </c>
      <c r="D252" s="22" t="str">
        <v>仪表_LKA故障灯</v>
      </c>
      <c r="E252" s="13" t="str">
        <v>0=熄灭, 1=常亮黄(LKA故障)</v>
      </c>
      <c r="G252" s="24" t="str">
        <v>DZT0500</v>
      </c>
      <c r="H252" s="3" t="str">
        <v>仪表</v>
      </c>
      <c r="N252" s="25"/>
      <c r="O252" s="14" t="str">
        <v>黄色</v>
      </c>
      <c r="P252" s="15" t="str">
        <v>P1</v>
      </c>
      <c r="Q252" s="16">
        <v>6.13</v>
      </c>
      <c r="R252" s="17" t="str">
        <v>🔄座舱内闭环</v>
      </c>
      <c r="X252" s="24" t="str">
        <v>ACS70天际屏（PHUD）</v>
      </c>
      <c r="Y252" s="20" t="inlineStr">
        <is>
          <r>
            <t>@陈杰</t>
          </r>
        </is>
      </c>
    </row>
    <row r="253" ht="66" customHeight="1" spans="3:25">
      <c r="C253" s="21" t="str">
        <v>仪表_AEB关闭灯</v>
      </c>
      <c r="D253" s="22" t="str">
        <v>仪表_AEB关闭灯</v>
      </c>
      <c r="E253" s="22" t="str">
        <v>0=熄灭, 1=常亮(AEB功能已关闭)</v>
      </c>
      <c r="G253" s="24" t="str">
        <v>DZT0501</v>
      </c>
      <c r="H253" s="14" t="str">
        <v>ok</v>
      </c>
      <c r="N253" s="25"/>
      <c r="O253" s="14" t="str">
        <v>黄色</v>
      </c>
      <c r="P253" s="15" t="str">
        <v>P1</v>
      </c>
      <c r="Q253" s="16">
        <v>6.13</v>
      </c>
      <c r="R253" s="17" t="str">
        <v>🔄座舱内闭环</v>
      </c>
      <c r="X253" s="24" t="str">
        <v>ACS70天际屏（PHUD）</v>
      </c>
      <c r="Y253" s="20" t="inlineStr">
        <is>
          <r>
            <t>@陈杰</t>
          </r>
        </is>
      </c>
    </row>
    <row r="254" ht="110" customHeight="1" spans="3:25">
      <c r="C254" s="21" t="str">
        <v>仪表_AFS故障灯</v>
      </c>
      <c r="D254" s="22" t="str">
        <v>仪表_AFS故障灯</v>
      </c>
      <c r="E254" s="13" t="str">
        <v>0=熄灭, 1=常亮黄(AFS故障)</v>
      </c>
      <c r="G254" s="24" t="str">
        <v>DZT0502</v>
      </c>
      <c r="H254" s="3" t="str">
        <v>仪表</v>
      </c>
      <c r="N254" s="25"/>
      <c r="O254" s="14" t="str">
        <v>黄色</v>
      </c>
      <c r="P254" s="15" t="str">
        <v>P1</v>
      </c>
      <c r="Q254" s="16">
        <v>6.13</v>
      </c>
      <c r="R254" s="17" t="str">
        <v>🔄座舱内闭环</v>
      </c>
      <c r="X254" s="24" t="str">
        <v>ACS70天际屏（PHUD）</v>
      </c>
      <c r="Y254" s="20" t="inlineStr">
        <is>
          <r>
            <t>@陈杰</t>
          </r>
        </is>
      </c>
    </row>
    <row r="255" ht="105" customHeight="1" spans="3:25">
      <c r="C255" s="21" t="str">
        <v>仪表_HDC故障灯</v>
      </c>
      <c r="D255" s="22" t="str">
        <v>仪表_HDC故障灯</v>
      </c>
      <c r="E255" s="28" t="str">
        <v>0=熄灭, 1=常亮黄(HDC故障)</v>
      </c>
      <c r="G255" s="24" t="str">
        <v>DZT0503</v>
      </c>
      <c r="H255" s="3" t="str">
        <v>仪表</v>
      </c>
      <c r="N255" s="14"/>
      <c r="O255" s="14" t="str">
        <v>黄色</v>
      </c>
      <c r="P255" s="15" t="str">
        <v>P1</v>
      </c>
      <c r="Q255" s="16">
        <v>6.13</v>
      </c>
      <c r="R255" s="17" t="str">
        <v>🔄座舱内闭环</v>
      </c>
      <c r="X255" s="24" t="str">
        <v>ACS70天际屏（PHUD）</v>
      </c>
      <c r="Y255" s="20" t="inlineStr">
        <is>
          <r>
            <t>@陈杰</t>
          </r>
        </is>
      </c>
    </row>
    <row r="256" ht="60" customHeight="1" spans="3:25">
      <c r="C256" s="21" t="str">
        <v>仪表_HDC工作灯</v>
      </c>
      <c r="D256" s="22" t="str">
        <v>仪表_HDC工作灯</v>
      </c>
      <c r="E256" s="21" t="str">
        <v>0=熄灭, 1=常亮灰(HD已启动), 2=常亮绿(HD已激活)</v>
      </c>
      <c r="G256" s="24" t="str">
        <v>DZT0504</v>
      </c>
      <c r="H256" s="3" t="str">
        <v>仪表</v>
      </c>
      <c r="N256" s="14"/>
      <c r="O256" s="14" t="str">
        <v>灰色
绿色</v>
      </c>
      <c r="P256" s="15" t="str">
        <v>P1</v>
      </c>
      <c r="Q256" s="16">
        <v>6.13</v>
      </c>
      <c r="R256" s="17" t="str">
        <v>🔄座舱内闭环</v>
      </c>
      <c r="X256" s="24" t="str">
        <v>ACS70天际屏（PHUD）</v>
      </c>
      <c r="Y256" s="20" t="inlineStr">
        <is>
          <r>
            <t>@陈杰</t>
          </r>
        </is>
      </c>
    </row>
    <row r="257" ht="69" customHeight="1" spans="3:25">
      <c r="C257" s="21" t="str">
        <v>仪表_左转向指示灯</v>
      </c>
      <c r="D257" s="22" t="str">
        <v>仪表_左转向指示灯</v>
      </c>
      <c r="E257" s="22" t="str">
        <v>0=熄灭, 1=闪烁(左转向激活)</v>
      </c>
      <c r="G257" s="24" t="str">
        <v>DZT0505</v>
      </c>
      <c r="H257" s="14" t="str">
        <v>ok</v>
      </c>
      <c r="N257" s="14"/>
      <c r="O257" s="14" t="str">
        <v>绿色</v>
      </c>
      <c r="P257" s="15" t="str">
        <v>P1</v>
      </c>
      <c r="Q257" s="16">
        <v>6.13</v>
      </c>
      <c r="R257" s="17" t="str">
        <v>🔄座舱内闭环</v>
      </c>
      <c r="X257" s="24" t="str">
        <v>ACS70天际屏（PHUD）</v>
      </c>
      <c r="Y257" s="20" t="inlineStr">
        <is>
          <r>
            <t>@陈杰</t>
          </r>
        </is>
      </c>
    </row>
    <row r="258" ht="74" customHeight="1" spans="3:25">
      <c r="C258" s="21" t="str">
        <v>仪表_右转向指示灯</v>
      </c>
      <c r="D258" s="22" t="str">
        <v>仪表_右转向指示灯</v>
      </c>
      <c r="E258" s="22" t="str">
        <v>0=熄灭, 1=闪烁(右转向激活)</v>
      </c>
      <c r="G258" s="24" t="str">
        <v>DZT0506</v>
      </c>
      <c r="H258" s="14" t="str">
        <v>ok</v>
      </c>
      <c r="N258" s="14"/>
      <c r="O258" s="14" t="str">
        <v>绿色</v>
      </c>
      <c r="P258" s="15" t="str">
        <v>P1</v>
      </c>
      <c r="Q258" s="16">
        <v>6.13</v>
      </c>
      <c r="R258" s="17" t="str">
        <v>🔄座舱内闭环</v>
      </c>
      <c r="X258" s="24" t="str">
        <v>ACS70天际屏（PHUD）</v>
      </c>
      <c r="Y258" s="20" t="inlineStr">
        <is>
          <r>
            <t>@陈杰</t>
          </r>
        </is>
      </c>
    </row>
    <row r="259" spans="3:25">
      <c r="C259" s="21" t="str">
        <v>仪表-危险报警灯（双闪）</v>
      </c>
      <c r="D259" s="21" t="str">
        <v>仪表-危险报警灯（双闪）</v>
      </c>
      <c r="E259" s="21" t="str">
        <v>0=熄灭, 1=闪烁</v>
      </c>
      <c r="G259" s="28" t="str">
        <v>DZT0507</v>
      </c>
      <c r="K259" s="26" t="str">
        <v>问答</v>
      </c>
      <c r="L259" s="29">
        <v>46216</v>
      </c>
      <c r="Q259" s="30">
        <v>7.15</v>
      </c>
      <c r="X259" s="28" t="str">
        <v>ACS70天际屏（PHUD）</v>
      </c>
      <c r="Y259" s="28" t="inlineStr">
        <is>
          <r>
            <t>@陈杰</t>
          </r>
        </is>
      </c>
    </row>
    <row r="260" ht="90" customHeight="1" spans="3:25">
      <c r="C260" s="21" t="str">
        <v>仪表_拖车链接状态灯</v>
      </c>
      <c r="D260" s="22" t="str">
        <v>仪表_拖车链接状态灯</v>
      </c>
      <c r="E260" s="21" t="str">
        <v>0=熄灭, 1=常亮绿(拖车已连接), 2=常亮红(拖车连接故障)</v>
      </c>
      <c r="G260" s="24" t="str">
        <v>DZT0508</v>
      </c>
      <c r="H260" s="3" t="str">
        <v>仪表</v>
      </c>
      <c r="N260" s="14"/>
      <c r="O260" s="14" t="str">
        <v>绿色
红色</v>
      </c>
      <c r="P260" s="15" t="str">
        <v>P1</v>
      </c>
      <c r="Q260" s="16">
        <v>6.13</v>
      </c>
      <c r="R260" s="17" t="str">
        <v>🔄座舱内闭环</v>
      </c>
      <c r="X260" s="24" t="str">
        <v>ACS70天际屏（PHUD）</v>
      </c>
      <c r="Y260" s="20" t="inlineStr">
        <is>
          <r>
            <t>@陈杰</t>
          </r>
        </is>
      </c>
    </row>
    <row r="261" spans="1:25">
      <c r="A261" s="22" t="str">
        <v>四、热管理域</v>
      </c>
      <c r="B261" s="22" t="str">
        <v>4.1 空调工作状态</v>
      </c>
      <c r="C261" s="27" t="str">
        <v>空调</v>
      </c>
      <c r="D261" s="22" t="str">
        <v>热管理_空调工作状态</v>
      </c>
      <c r="E261" s="22" t="str">
        <v>0=关闭, 1=打开</v>
      </c>
      <c r="G261" s="23" t="str">
        <v>DZT0350</v>
      </c>
      <c r="H261" s="14" t="str">
        <v>已透传cdc</v>
      </c>
      <c r="I261" s="15" t="str">
        <v>TMS_AC_CS空调跨域服务</v>
      </c>
      <c r="J261" s="15" t="str">
        <v>GlobalACSysPara 空调整系统功能设置</v>
      </c>
      <c r="K261" s="15" t="str">
        <v>AI温感控制</v>
      </c>
      <c r="P261" s="15" t="str">
        <v>P0</v>
      </c>
      <c r="Q261" s="16">
        <v>6.13</v>
      </c>
      <c r="R261" s="17" t="str">
        <v>✅ 架构已提供</v>
      </c>
      <c r="S261" s="14" t="str">
        <v>Pre-OTS版本-0804座舱转测</v>
      </c>
      <c r="T261" s="18" t="str">
        <v>车服务原子能力清单 </v>
      </c>
      <c r="U261" s="14" t="str">
        <v>ACTION_HVAC_AIR_POWER</v>
      </c>
      <c r="V261" s="16">
        <v>715</v>
      </c>
      <c r="W261" s="14" t="str">
        <v>黄中沛</v>
      </c>
      <c r="X261" s="14" t="str">
        <v>ACS31车辆设置</v>
      </c>
      <c r="Y261" s="20" t="inlineStr">
        <is>
          <r>
            <t>@陈杰</t>
          </r>
        </is>
      </c>
    </row>
    <row r="262" spans="3:25">
      <c r="C262" s="27" t="str">
        <v>空调</v>
      </c>
      <c r="D262" s="22" t="str">
        <v>A/C开关</v>
      </c>
      <c r="E262" s="22" t="str">
        <v>0=关闭, 1=打开</v>
      </c>
      <c r="G262" s="23" t="str">
        <v>DZT0351</v>
      </c>
      <c r="H262" s="14" t="str">
        <v>已透传cdc</v>
      </c>
      <c r="I262" s="15" t="str">
        <v>TMS_AC_CS空调跨域服务</v>
      </c>
      <c r="J262" s="15" t="str">
        <v>GlobalACSysPara 空调整系统功能设置</v>
      </c>
      <c r="K262" s="15" t="str">
        <v>AI温感控制</v>
      </c>
      <c r="P262" s="15" t="str">
        <v>P0</v>
      </c>
      <c r="Q262" s="16">
        <v>6.13</v>
      </c>
      <c r="R262" s="17" t="str">
        <v>✅ 架构已提供</v>
      </c>
      <c r="S262" s="14" t="str">
        <v>Pre-OTS版本-0804座舱转测</v>
      </c>
      <c r="T262" s="18" t="str">
        <v>车服务原子能力清单 </v>
      </c>
      <c r="U262" s="14" t="str">
        <v>ACTION_HVAC_AC</v>
      </c>
      <c r="V262" s="16">
        <v>715</v>
      </c>
      <c r="W262" s="14" t="str">
        <v>黄中沛</v>
      </c>
      <c r="X262" s="14" t="str">
        <v>ACS32空调座椅</v>
      </c>
      <c r="Y262" s="20" t="inlineStr">
        <is>
          <r>
            <t>@陈杰</t>
          </r>
        </is>
      </c>
    </row>
    <row r="263" spans="3:25">
      <c r="C263" s="27" t="str">
        <v>空调</v>
      </c>
      <c r="D263" s="22" t="str">
        <v>热管理_主驾温度设置值</v>
      </c>
      <c r="E263" s="22" t="str">
        <v>Lo~16.5~17~...~30~30.5~Hi degC</v>
      </c>
      <c r="G263" s="23" t="str">
        <v>DZT0352</v>
      </c>
      <c r="H263" s="14" t="str">
        <v>已透传cdc</v>
      </c>
      <c r="I263" s="15" t="str">
        <v>TMS_AC_CS空调跨域服务</v>
      </c>
      <c r="J263" s="15" t="str">
        <v>GlobalACSysPara 空调整系统功能设置</v>
      </c>
      <c r="K263" s="15" t="str">
        <v>AI温感控制</v>
      </c>
      <c r="P263" s="15" t="str">
        <v>P0</v>
      </c>
      <c r="Q263" s="16">
        <v>6.13</v>
      </c>
      <c r="R263" s="17" t="str">
        <v>✅ 架构已提供</v>
      </c>
      <c r="S263" s="14" t="str">
        <v>Pre-OTS版本-0804座舱转测</v>
      </c>
      <c r="T263" s="18" t="str">
        <v>车服务原子能力清单 </v>
      </c>
      <c r="U263" s="14" t="str">
        <v>ACTION_HVAC_TEMP_FL</v>
      </c>
      <c r="V263" s="16">
        <v>715</v>
      </c>
      <c r="W263" s="14" t="str">
        <v>黄中沛</v>
      </c>
      <c r="X263" s="14" t="str">
        <v>ACS32空调座椅</v>
      </c>
      <c r="Y263" s="20" t="inlineStr">
        <is>
          <r>
            <t>@陈杰</t>
          </r>
        </is>
      </c>
    </row>
    <row r="264" spans="3:25">
      <c r="C264" s="27" t="str">
        <v>空调</v>
      </c>
      <c r="D264" s="22" t="str">
        <v>热管理_主驾风量设置值</v>
      </c>
      <c r="E264" s="22" t="str">
        <v>0~9档</v>
      </c>
      <c r="G264" s="14" t="str">
        <v>DZT0066</v>
      </c>
      <c r="H264" s="14" t="str">
        <v>已透传cdc</v>
      </c>
      <c r="I264" s="15" t="str">
        <v>TMS_AC_CS空调跨域服务</v>
      </c>
      <c r="J264" s="15" t="str">
        <v>GlobalACSysPara 空调整系统功能设置</v>
      </c>
      <c r="K264" s="15" t="str">
        <v>AI温感控制</v>
      </c>
      <c r="P264" s="15" t="str">
        <v>P0</v>
      </c>
      <c r="Q264" s="16">
        <v>6.6</v>
      </c>
      <c r="R264" s="17" t="str">
        <v>✅ 架构已提供</v>
      </c>
      <c r="S264" s="14" t="str">
        <v>Pre-OTS版本-0804座舱转测</v>
      </c>
      <c r="X264" s="14" t="str">
        <v>ACS301Adapter</v>
      </c>
      <c r="Y264" s="20" t="inlineStr">
        <is>
          <r>
            <t>@陈杰</t>
          </r>
        </is>
      </c>
    </row>
    <row r="265" spans="3:25">
      <c r="C265" s="27" t="str">
        <v>空调</v>
      </c>
      <c r="D265" s="22" t="str">
        <v>热管理_主驾出风模式状态</v>
      </c>
      <c r="E265" s="22" t="str">
        <v>0=吹面, 1=吹脚, 2=吹窗, 3=吹面+吹脚, 4=吹脚+吹窗，5=吹面+吹窗，6=吹面+吹脚+吹窗</v>
      </c>
      <c r="G265" s="23" t="str">
        <v>DZT0353</v>
      </c>
      <c r="H265" s="14" t="str">
        <v>已透传cdc</v>
      </c>
      <c r="I265" s="15" t="str">
        <v>TMS_AC_CS空调跨域服务</v>
      </c>
      <c r="J265" s="15" t="str">
        <v>GlobalACSysPara 空调整系统功能设置</v>
      </c>
      <c r="K265" s="15" t="str">
        <v>AI温感控制</v>
      </c>
      <c r="P265" s="15" t="str">
        <v>P0</v>
      </c>
      <c r="Q265" s="16">
        <v>6.13</v>
      </c>
      <c r="R265" s="17" t="str">
        <v>✅ 架构已提供</v>
      </c>
      <c r="S265" s="14" t="str">
        <v>Pre-OTS版本-0804座舱转测</v>
      </c>
      <c r="T265" s="18" t="str">
        <v>车服务原子能力清单 </v>
      </c>
      <c r="U265" s="26" t="str">
        <v>ACTION_FLOW_MODEL_FL</v>
      </c>
      <c r="V265" s="16">
        <v>715</v>
      </c>
      <c r="W265" s="14" t="str">
        <v>黄中沛</v>
      </c>
      <c r="X265" s="14" t="str">
        <v>ACS32空调座椅</v>
      </c>
      <c r="Y265" s="20" t="inlineStr">
        <is>
          <r>
            <t>@陈杰</t>
          </r>
        </is>
      </c>
    </row>
    <row r="266" spans="3:25">
      <c r="C266" s="27" t="str">
        <v>空调</v>
      </c>
      <c r="D266" s="22" t="str">
        <v>热管理_主驾自动空调状态</v>
      </c>
      <c r="E266" s="22" t="str">
        <v>0=关闭, 1=开启</v>
      </c>
      <c r="G266" s="23" t="str">
        <v>DZT0354</v>
      </c>
      <c r="H266" s="14" t="str">
        <v>已透传cdc</v>
      </c>
      <c r="I266" s="15" t="str">
        <v>TMS_EnvMonitor_CS 环境监控服务</v>
      </c>
      <c r="J266" s="15" t="str">
        <v>Notification Event(envMonitorStatus) 上报环境监控状态信息</v>
      </c>
      <c r="K266" s="15" t="str">
        <v>AI温感控制</v>
      </c>
      <c r="P266" s="15" t="str">
        <v>P0</v>
      </c>
      <c r="Q266" s="16">
        <v>6.13</v>
      </c>
      <c r="R266" s="17" t="str">
        <v>✅ 架构已提供</v>
      </c>
      <c r="S266" s="14" t="str">
        <v>Pre-OTS版本-0804座舱转测</v>
      </c>
      <c r="T266" s="18" t="str">
        <v>车服务原子能力清单 </v>
      </c>
      <c r="U266" s="14" t="str">
        <v>ACTION_HVAC_AUTO_MODE_FL</v>
      </c>
      <c r="V266" s="16">
        <v>715</v>
      </c>
      <c r="W266" s="14" t="str">
        <v>黄中沛</v>
      </c>
      <c r="X266" s="14" t="str">
        <v>ACS32空调座椅</v>
      </c>
      <c r="Y266" s="20" t="inlineStr">
        <is>
          <r>
            <t>@陈杰</t>
          </r>
        </is>
      </c>
    </row>
    <row r="267" spans="3:25">
      <c r="C267" s="27" t="str">
        <v>空调</v>
      </c>
      <c r="D267" s="22" t="str">
        <v>热管理_副驾温度设置值</v>
      </c>
      <c r="E267" s="22" t="str">
        <v>Lo~16.5~17~...~30~30.5~Hi degC</v>
      </c>
      <c r="G267" s="23" t="str">
        <v>DZT0355</v>
      </c>
      <c r="H267" s="14" t="str">
        <v>已透传cdc</v>
      </c>
      <c r="I267" s="15" t="str">
        <v>TMS_AC_CS空调跨域服务</v>
      </c>
      <c r="J267" s="15" t="str">
        <v>GlobalACSysPara 空调整系统功能设置</v>
      </c>
      <c r="K267" s="15" t="str">
        <v>AI温感控制</v>
      </c>
      <c r="P267" s="15" t="str">
        <v>P0</v>
      </c>
      <c r="Q267" s="16">
        <v>6.13</v>
      </c>
      <c r="R267" s="17" t="str">
        <v>✅ 架构已提供</v>
      </c>
      <c r="S267" s="14" t="str">
        <v>Pre-OTS版本-0804座舱转测</v>
      </c>
      <c r="T267" s="18" t="str">
        <v>车服务原子能力清单 </v>
      </c>
      <c r="U267" s="26" t="str">
        <v>ACTION_HVAC_TEMP_FR</v>
      </c>
      <c r="V267" s="16">
        <v>715</v>
      </c>
      <c r="W267" s="14" t="str">
        <v>黄中沛</v>
      </c>
      <c r="X267" s="14" t="str">
        <v>ACS32空调座椅</v>
      </c>
      <c r="Y267" s="20" t="inlineStr">
        <is>
          <r>
            <t>@陈杰</t>
          </r>
        </is>
      </c>
    </row>
    <row r="268" spans="3:25">
      <c r="C268" s="27" t="str">
        <v>空调</v>
      </c>
      <c r="D268" s="22" t="str">
        <v>热管理_副驾风量设置值</v>
      </c>
      <c r="E268" s="22" t="str">
        <v>0~9档</v>
      </c>
      <c r="G268" s="14" t="str">
        <v>DZT0067</v>
      </c>
      <c r="H268" s="14" t="str">
        <v>已透传cdc</v>
      </c>
      <c r="I268" s="15" t="str">
        <v>TMS_AC_CS空调跨域服务</v>
      </c>
      <c r="J268" s="15" t="str">
        <v>GlobalACSysPara 空调整系统功能设置</v>
      </c>
      <c r="K268" s="15" t="str">
        <v>AI温感控制</v>
      </c>
      <c r="P268" s="15" t="str">
        <v>P0</v>
      </c>
      <c r="Q268" s="16">
        <v>6.6</v>
      </c>
      <c r="R268" s="17" t="str">
        <v>✅ 架构已提供</v>
      </c>
      <c r="S268" s="14" t="str">
        <v>Pre-OTS版本-0804座舱转测</v>
      </c>
      <c r="X268" s="14" t="str">
        <v>ACS301Adapter</v>
      </c>
      <c r="Y268" s="20" t="inlineStr">
        <is>
          <r>
            <t>@陈杰</t>
          </r>
        </is>
      </c>
    </row>
    <row r="269" spans="3:25">
      <c r="C269" s="27" t="str">
        <v>空调</v>
      </c>
      <c r="D269" s="22" t="str">
        <v>热管理_副驾出风模式状态</v>
      </c>
      <c r="E269" s="22" t="str">
        <v>0=吹面, 1=吹脚, 2=吹面+吹脚</v>
      </c>
      <c r="G269" s="23" t="str">
        <v>DZT0356</v>
      </c>
      <c r="H269" s="14" t="str">
        <v>已透传cdc</v>
      </c>
      <c r="I269" s="15" t="str">
        <v>TMS_AC_CS空调跨域服务</v>
      </c>
      <c r="J269" s="15" t="str">
        <v>GlobalACSysPara 空调整系统功能设置</v>
      </c>
      <c r="K269" s="15" t="str">
        <v>AI温感控制</v>
      </c>
      <c r="P269" s="15" t="str">
        <v>P0</v>
      </c>
      <c r="Q269" s="16">
        <v>6.13</v>
      </c>
      <c r="R269" s="17" t="str">
        <v>✅ 架构已提供</v>
      </c>
      <c r="S269" s="14" t="str">
        <v>Pre-OTS版本-0804座舱转测</v>
      </c>
      <c r="T269" s="18" t="str">
        <v>车服务原子能力清单 </v>
      </c>
      <c r="U269" s="14" t="str">
        <v>ACTION_FLOW_MODEL_FR</v>
      </c>
      <c r="V269" s="16">
        <v>715</v>
      </c>
      <c r="W269" s="14" t="str">
        <v>黄中沛</v>
      </c>
      <c r="X269" s="14" t="str">
        <v>ACS32空调座椅</v>
      </c>
      <c r="Y269" s="20" t="inlineStr">
        <is>
          <r>
            <t>@陈杰</t>
          </r>
        </is>
      </c>
    </row>
    <row r="270" spans="3:25">
      <c r="C270" s="27" t="str">
        <v>空调</v>
      </c>
      <c r="D270" s="22" t="str">
        <v>热管理_副驾自动空调状态</v>
      </c>
      <c r="E270" s="22" t="str">
        <v>0=关闭, 1=开启</v>
      </c>
      <c r="G270" s="23" t="str">
        <v>DZT0357</v>
      </c>
      <c r="H270" s="14" t="str">
        <v>已透传cdc</v>
      </c>
      <c r="I270" s="15" t="str">
        <v>TMS_EnvMonitor_CS 环境监控服务</v>
      </c>
      <c r="J270" s="15" t="str">
        <v>Notification Event(envMonitorStatus) 上报环境监控状态信息</v>
      </c>
      <c r="K270" s="15" t="str">
        <v>AI温感控制</v>
      </c>
      <c r="P270" s="15" t="str">
        <v>P0</v>
      </c>
      <c r="Q270" s="16">
        <v>6.13</v>
      </c>
      <c r="R270" s="17" t="str">
        <v>✅ 架构已提供</v>
      </c>
      <c r="S270" s="14" t="str">
        <v>Pre-OTS版本-0804座舱转测</v>
      </c>
      <c r="T270" s="18" t="str">
        <v>车服务原子能力清单 </v>
      </c>
      <c r="U270" s="26" t="str">
        <v>ACTION_HVAC_AUTO_MODE_FR</v>
      </c>
      <c r="V270" s="16">
        <v>715</v>
      </c>
      <c r="W270" s="14" t="str">
        <v>黄中沛</v>
      </c>
      <c r="X270" s="14" t="str">
        <v>ACS32空调座椅</v>
      </c>
      <c r="Y270" s="20" t="inlineStr">
        <is>
          <r>
            <t>@陈杰</t>
          </r>
        </is>
      </c>
    </row>
    <row r="271" spans="3:25">
      <c r="C271" s="27" t="str">
        <v>空调</v>
      </c>
      <c r="D271" s="22" t="str">
        <v>热管理_内外循环状态</v>
      </c>
      <c r="E271" s="22" t="str">
        <v>0=内循环, 1=外循环, 2=自动循环</v>
      </c>
      <c r="G271" s="23" t="str">
        <v>DZT0358</v>
      </c>
      <c r="H271" s="14" t="str">
        <v>已透传cdc</v>
      </c>
      <c r="I271" s="15" t="str">
        <v>TMS_AC_CS空调跨域服务</v>
      </c>
      <c r="J271" s="15" t="str">
        <v>GlobalACSysPara 空调整系统功能设置</v>
      </c>
      <c r="K271" s="15" t="str">
        <v>AI温感控制</v>
      </c>
      <c r="P271" s="15" t="str">
        <v>P0</v>
      </c>
      <c r="Q271" s="16">
        <v>6.13</v>
      </c>
      <c r="R271" s="17" t="str">
        <v>✅ 架构已提供</v>
      </c>
      <c r="S271" s="14" t="str">
        <v>Pre-OTS版本-0804座舱转测</v>
      </c>
      <c r="T271" s="18" t="str">
        <v>车服务原子能力清单 </v>
      </c>
      <c r="U271" s="14" t="str">
        <v>ACTION_HVAC_RECYCLE</v>
      </c>
      <c r="V271" s="16">
        <v>715</v>
      </c>
      <c r="W271" s="14" t="str">
        <v>黄中沛</v>
      </c>
      <c r="X271" s="14" t="str">
        <v>ACS32空调座椅</v>
      </c>
      <c r="Y271" s="20" t="inlineStr">
        <is>
          <r>
            <t>@陈杰</t>
          </r>
        </is>
      </c>
    </row>
    <row r="272" spans="3:25">
      <c r="C272" s="27" t="str">
        <v>空调</v>
      </c>
      <c r="D272" s="22" t="str">
        <v>热管理_前除雾状态</v>
      </c>
      <c r="E272" s="22" t="str">
        <v>0=关闭, 1=开启</v>
      </c>
      <c r="G272" s="23" t="str">
        <v>DZT0359</v>
      </c>
      <c r="H272" s="14" t="str">
        <v>已透传cdc</v>
      </c>
      <c r="I272" s="15" t="str">
        <v>TMS_AC_CS空调跨域服务</v>
      </c>
      <c r="J272" s="15" t="str">
        <v>GlobalACSysPara 空调整系统功能设置</v>
      </c>
      <c r="K272" s="15" t="str">
        <v>AI温感控制</v>
      </c>
      <c r="P272" s="15" t="str">
        <v>P0</v>
      </c>
      <c r="Q272" s="16">
        <v>6.13</v>
      </c>
      <c r="R272" s="17" t="str">
        <v>✅ 架构已提供</v>
      </c>
      <c r="S272" s="14" t="str">
        <v>Pre-OTS版本-0804座舱转测</v>
      </c>
      <c r="T272" s="18" t="str">
        <v>车服务原子能力清单 </v>
      </c>
      <c r="U272" s="26" t="str">
        <v>ACTION_HVAC_DEFROST_SWITCH</v>
      </c>
      <c r="V272" s="16">
        <v>715</v>
      </c>
      <c r="W272" s="14" t="str">
        <v>黄中沛</v>
      </c>
      <c r="X272" s="14" t="str">
        <v>ACS32空调座椅</v>
      </c>
      <c r="Y272" s="20" t="inlineStr">
        <is>
          <r>
            <t>@陈杰</t>
          </r>
        </is>
      </c>
    </row>
    <row r="273" spans="3:25">
      <c r="C273" s="27" t="str">
        <v>空调</v>
      </c>
      <c r="D273" s="22" t="str">
        <v>热管理_自动除雾状态</v>
      </c>
      <c r="E273" s="22" t="str">
        <v>0=关闭, 1=开启</v>
      </c>
      <c r="G273" s="23" t="str">
        <v>DZT0360</v>
      </c>
      <c r="H273" s="14" t="str">
        <v>已透传cdc</v>
      </c>
      <c r="I273" s="15" t="str">
        <v>TMS_AC_CS空调跨域服务</v>
      </c>
      <c r="J273" s="15" t="str">
        <v>GlobalACSysPara 空调整系统功能设置</v>
      </c>
      <c r="K273" s="15" t="str">
        <v>AI温感控制</v>
      </c>
      <c r="P273" s="15" t="str">
        <v>P0</v>
      </c>
      <c r="Q273" s="16">
        <v>6.13</v>
      </c>
      <c r="R273" s="17" t="str">
        <v>✅ 架构已提供</v>
      </c>
      <c r="S273" s="14" t="str">
        <v>Pre-OTS版本-0804座舱转测</v>
      </c>
      <c r="T273" s="18" t="str">
        <v>车服务原子能力清单 </v>
      </c>
      <c r="U273" s="26" t="str">
        <v>ACTION_HVAC_AUTO_DEFROST</v>
      </c>
      <c r="V273" s="16">
        <v>715</v>
      </c>
      <c r="W273" s="14" t="str">
        <v>黄中沛</v>
      </c>
      <c r="X273" s="14" t="str">
        <v>ACS32空调座椅</v>
      </c>
      <c r="Y273" s="20" t="inlineStr">
        <is>
          <r>
            <t>@陈杰</t>
          </r>
        </is>
      </c>
    </row>
    <row r="274" spans="3:25">
      <c r="C274" s="27" t="str">
        <v>空调</v>
      </c>
      <c r="D274" s="22" t="str">
        <v>热管理_空调同步状态</v>
      </c>
      <c r="E274" s="22" t="str">
        <v>0=未同步, 1=已同步</v>
      </c>
      <c r="G274" s="23" t="str">
        <v>DZT0361</v>
      </c>
      <c r="H274" s="14" t="str">
        <v>已透传cdc</v>
      </c>
      <c r="I274" s="15" t="str">
        <v>TMS_AC_CS空调跨域服务</v>
      </c>
      <c r="J274" s="15" t="str">
        <v>GlobalACSysPara 空调整系统功能设置</v>
      </c>
      <c r="K274" s="15" t="str">
        <v>AI温感控制</v>
      </c>
      <c r="P274" s="15" t="str">
        <v>P0</v>
      </c>
      <c r="Q274" s="16">
        <v>6.13</v>
      </c>
      <c r="R274" s="17" t="str">
        <v>✅ 架构已提供</v>
      </c>
      <c r="S274" s="14" t="str">
        <v>Pre-OTS版本-0804座舱转测</v>
      </c>
      <c r="T274" s="18" t="str">
        <v>车服务原子能力清单 </v>
      </c>
      <c r="U274" s="26" t="str">
        <v>ACTION_HVAC_TEMP_SYNC</v>
      </c>
      <c r="V274" s="16">
        <v>715</v>
      </c>
      <c r="W274" s="14" t="str">
        <v>黄中沛</v>
      </c>
      <c r="X274" s="14" t="str">
        <v>ACS32空调座椅</v>
      </c>
      <c r="Y274" s="20" t="inlineStr">
        <is>
          <r>
            <t>@陈杰</t>
          </r>
        </is>
      </c>
    </row>
    <row r="275" spans="3:25">
      <c r="C275" s="27" t="str">
        <v>空调</v>
      </c>
      <c r="D275" s="22" t="str">
        <v>温区独享设置同步状态</v>
      </c>
      <c r="E275" s="22" t="str">
        <v>0=关闭, 1=开启</v>
      </c>
      <c r="G275" s="23" t="str">
        <v>DZT0362</v>
      </c>
      <c r="H275" s="14" t="str">
        <v>已透传cdc</v>
      </c>
      <c r="P275" s="15" t="str">
        <v>P0</v>
      </c>
      <c r="Q275" s="16">
        <v>6.13</v>
      </c>
      <c r="R275" s="17" t="str">
        <v>✅ 架构已提供</v>
      </c>
      <c r="S275" s="14" t="str">
        <v>Pre-OTS版本-0804座舱转测</v>
      </c>
      <c r="T275" s="18" t="str">
        <v>车服务原子能力清单 </v>
      </c>
      <c r="U275" s="14" t="str">
        <v>ACTION_HVAC_FRONT_SEAT_MODE_SWITCH</v>
      </c>
      <c r="V275" s="16">
        <v>715</v>
      </c>
      <c r="W275" s="14" t="str">
        <v>黄中沛</v>
      </c>
      <c r="X275" s="14" t="str">
        <v>ACS32空调座椅</v>
      </c>
      <c r="Y275" s="20" t="inlineStr">
        <is>
          <r>
            <t>@陈杰</t>
          </r>
        </is>
      </c>
    </row>
    <row r="276" spans="3:25">
      <c r="C276" s="27" t="str">
        <v>空调</v>
      </c>
      <c r="D276" s="22" t="str">
        <v>最大制冷</v>
      </c>
      <c r="E276" s="22" t="str">
        <v>0=关闭, 1=开启</v>
      </c>
      <c r="G276" s="23" t="str">
        <v>DZT0363</v>
      </c>
      <c r="H276" s="14" t="str">
        <v>执行-感知</v>
      </c>
      <c r="P276" s="15" t="str">
        <v>P0</v>
      </c>
      <c r="Q276" s="16">
        <v>6.13</v>
      </c>
      <c r="R276" s="17" t="str">
        <v>✅ 架构已提供</v>
      </c>
      <c r="S276" s="14" t="str">
        <v>Pre-OTS版本-0804座舱转测</v>
      </c>
      <c r="T276" s="18" t="str">
        <v>车服务原子能力清单 </v>
      </c>
      <c r="U276" s="26" t="str">
        <v>ACTION_HVAC_MAX_COLD</v>
      </c>
      <c r="V276" s="16">
        <v>715</v>
      </c>
      <c r="W276" s="14" t="str">
        <v>黄中沛</v>
      </c>
      <c r="X276" s="14" t="str">
        <v>ACS32空调座椅</v>
      </c>
      <c r="Y276" s="20" t="inlineStr">
        <is>
          <r>
            <t>@陈杰</t>
          </r>
        </is>
      </c>
    </row>
    <row r="277" spans="3:25">
      <c r="C277" s="27" t="str">
        <v>空调</v>
      </c>
      <c r="D277" s="22" t="str">
        <v>最大制热</v>
      </c>
      <c r="E277" s="22" t="str">
        <v>0=关闭, 1=开启</v>
      </c>
      <c r="G277" s="23" t="str">
        <v>DZT0364</v>
      </c>
      <c r="H277" s="14" t="str">
        <v>执行-感知</v>
      </c>
      <c r="P277" s="15" t="str">
        <v>P0</v>
      </c>
      <c r="Q277" s="16">
        <v>6.13</v>
      </c>
      <c r="R277" s="17" t="str">
        <v>✅ 架构已提供</v>
      </c>
      <c r="S277" s="14" t="str">
        <v>Pre-OTS版本-0804座舱转测</v>
      </c>
      <c r="T277" s="18" t="str">
        <v>车服务原子能力清单 </v>
      </c>
      <c r="U277" s="26" t="str">
        <v>ACTION_HVAC_MAX_HEAT</v>
      </c>
      <c r="V277" s="16">
        <v>715</v>
      </c>
      <c r="W277" s="14" t="str">
        <v>黄中沛</v>
      </c>
      <c r="X277" s="14" t="str">
        <v>ACS32空调座椅</v>
      </c>
      <c r="Y277" s="20" t="inlineStr">
        <is>
          <r>
            <t>@陈杰</t>
          </r>
        </is>
      </c>
    </row>
    <row r="278" spans="2:25">
      <c r="B278" s="22" t="str">
        <v>4.2 空气净化状态</v>
      </c>
      <c r="C278" s="27" t="str">
        <v>空调</v>
      </c>
      <c r="D278" s="22" t="str">
        <v>热管理_空气净化工作状态</v>
      </c>
      <c r="E278" s="22" t="str">
        <v>0=关闭, 1=打开</v>
      </c>
      <c r="G278" s="23" t="str">
        <v>DZT0365</v>
      </c>
      <c r="H278" s="14" t="str">
        <v>已透传cdc</v>
      </c>
      <c r="I278" s="15" t="str">
        <v>TMS_AirPurify_CS</v>
      </c>
      <c r="J278" s="15" t="str">
        <v>空气净化服务接口</v>
      </c>
      <c r="K278" s="15" t="str">
        <v>AI温感控制</v>
      </c>
      <c r="P278" s="15" t="str">
        <v>P0</v>
      </c>
      <c r="Q278" s="16">
        <v>6.13</v>
      </c>
      <c r="R278" s="17" t="str">
        <v>✅ 架构已提供</v>
      </c>
      <c r="S278" s="14" t="str">
        <v>Pre-OTS版本-0804座舱转测</v>
      </c>
      <c r="T278" s="18" t="str">
        <v>车服务原子能力清单 </v>
      </c>
      <c r="U278" s="26" t="str">
        <v>ACTION_HVAC_PURIFY_SWITCH</v>
      </c>
      <c r="V278" s="16">
        <v>715</v>
      </c>
      <c r="W278" s="14" t="str">
        <v>黄中沛</v>
      </c>
      <c r="X278" s="14" t="str">
        <v>ACS32空调座椅</v>
      </c>
      <c r="Y278" s="20" t="inlineStr">
        <is>
          <r>
            <t>@陈杰</t>
          </r>
        </is>
      </c>
    </row>
    <row r="279" spans="2:25">
      <c r="B279" s="22" t="str">
        <v>4.3 环境监测状态</v>
      </c>
      <c r="C279" s="27" t="str">
        <v>空调</v>
      </c>
      <c r="D279" s="22" t="str">
        <v>PM2.5</v>
      </c>
      <c r="E279" s="22" t="str">
        <v>ug/m³</v>
      </c>
      <c r="G279" s="14" t="str">
        <v>DZT0068</v>
      </c>
      <c r="H279" s="14" t="str">
        <v>已透传cdc</v>
      </c>
      <c r="I279" s="15" t="str">
        <v>TMS_EnvMonitor_CS 环境监控服务</v>
      </c>
      <c r="J279" s="15" t="str">
        <v>Notification Event(envMonitorStatus) 上报环境监控状态信息</v>
      </c>
      <c r="K279" s="15" t="str">
        <v>AI温感控制</v>
      </c>
      <c r="P279" s="15" t="str">
        <v>P0</v>
      </c>
      <c r="Q279" s="16">
        <v>6.6</v>
      </c>
      <c r="R279" s="17" t="str">
        <v>✅ 架构已提供</v>
      </c>
      <c r="S279" s="14" t="str">
        <v>Pre-OTS版本-0804座舱转测</v>
      </c>
      <c r="T279" s="18" t="str">
        <v>车服务原子能力清单 </v>
      </c>
      <c r="U279" s="14" t="str">
        <v>ACTION_HVAC_PM25</v>
      </c>
      <c r="V279" s="19">
        <v>46203</v>
      </c>
      <c r="W279" s="14" t="str">
        <v>黄中沛</v>
      </c>
      <c r="X279" s="14" t="str">
        <v>ACS301Adapter</v>
      </c>
      <c r="Y279" s="20" t="inlineStr">
        <is>
          <r>
            <t>@陈杰</t>
          </r>
        </is>
      </c>
    </row>
    <row r="280" spans="3:25">
      <c r="C280" s="27" t="str">
        <v>空调</v>
      </c>
      <c r="D280" s="22" t="str">
        <v>热管理_AQS环境监测扩展状态</v>
      </c>
      <c r="E280" s="22" t="str">
        <v>等级0-5</v>
      </c>
      <c r="G280" s="14" t="str">
        <v>DZT0069</v>
      </c>
      <c r="H280" s="14" t="str">
        <v>已透传cdc</v>
      </c>
      <c r="I280" s="15" t="str">
        <v>TMS_EnvMonitor_CS 环境监控服务</v>
      </c>
      <c r="J280" s="15" t="str">
        <v>Notification Event(envMonitorExtStatus) 上报环境监控扩展状态信息</v>
      </c>
      <c r="K280" s="15" t="str">
        <v>AI温感控制</v>
      </c>
      <c r="P280" s="15" t="str">
        <v>P0</v>
      </c>
      <c r="Q280" s="16">
        <v>6.6</v>
      </c>
      <c r="R280" s="17" t="str">
        <v>✅ 架构已提供</v>
      </c>
      <c r="S280" s="14" t="str">
        <v>Pre-OTS版本-0804座舱转测</v>
      </c>
      <c r="T280" s="18" t="str">
        <v>Adapter_SD_keys </v>
      </c>
      <c r="U280" s="26" t="str">
        <v>ID_HVAC_AQS_LEVEL</v>
      </c>
      <c r="V280" s="19">
        <v>46195</v>
      </c>
      <c r="W280" s="32" t="str">
        <v>高杨</v>
      </c>
      <c r="X280" s="14" t="str">
        <v>ACS301Adapter</v>
      </c>
      <c r="Y280" s="20" t="inlineStr">
        <is>
          <r>
            <t>@陈杰</t>
          </r>
        </is>
      </c>
    </row>
    <row r="281" spans="2:25">
      <c r="B281" s="22" t="str">
        <v>4.4 电动风口状态</v>
      </c>
      <c r="C281" s="27" t="str">
        <v>电动风口</v>
      </c>
      <c r="D281" s="22" t="str">
        <v>主驾电动风口状态</v>
      </c>
      <c r="E281" s="22" t="str">
        <v>避人吹/对人吹/扫吹/风向调节/自然风模式1/2</v>
      </c>
      <c r="G281" s="23" t="str">
        <v>DZT0366</v>
      </c>
      <c r="H281" s="14" t="str">
        <v>已透传cdc</v>
      </c>
      <c r="K281" s="15" t="str">
        <v>AI温感控制</v>
      </c>
      <c r="P281" s="15" t="str">
        <v>P0</v>
      </c>
      <c r="Q281" s="16">
        <v>6.13</v>
      </c>
      <c r="R281" s="17" t="str">
        <v>✅ 架构已提供</v>
      </c>
      <c r="S281" s="14" t="str">
        <v>Pre-OTS版本-0804座舱转测</v>
      </c>
      <c r="T281" s="18" t="str">
        <v>车服务原子能力清单 </v>
      </c>
      <c r="U281" s="14" t="str">
        <v>ACTION_HVAC_AIR_VENT_MODE_FR</v>
      </c>
      <c r="V281" s="16">
        <v>715</v>
      </c>
      <c r="W281" s="14" t="str">
        <v>黄中沛</v>
      </c>
      <c r="X281" s="14" t="str">
        <v>ACS32空调座椅</v>
      </c>
      <c r="Y281" s="20" t="inlineStr">
        <is>
          <r>
            <t>@陈杰</t>
          </r>
        </is>
      </c>
    </row>
    <row r="282" spans="3:25">
      <c r="C282" s="27" t="str">
        <v>电动风口</v>
      </c>
      <c r="D282" s="22" t="str">
        <v>主驾电动风口1状态</v>
      </c>
      <c r="E282" s="22" t="str">
        <v>上下0～100%，左右0～100%</v>
      </c>
      <c r="G282" s="23" t="str">
        <v>DZT0367</v>
      </c>
      <c r="H282" s="14" t="str">
        <v>已透传cdc</v>
      </c>
      <c r="K282" s="15" t="str">
        <v>AI温感控制</v>
      </c>
      <c r="P282" s="15" t="str">
        <v>P0</v>
      </c>
      <c r="Q282" s="16">
        <v>6.13</v>
      </c>
      <c r="R282" s="17" t="str">
        <v>✅ 架构已提供</v>
      </c>
      <c r="S282" s="14" t="str">
        <v>Pre-OTS版本-0804座舱转测</v>
      </c>
      <c r="T282" s="18" t="str">
        <v>车服务原子能力清单 </v>
      </c>
      <c r="U282" s="14" t="str">
        <v>ACTION_HVAC_AIR_VENT_DIRECTION_FLL_X ACTION_HVAC_AIR_VENT_DIRECTION_FLL_Y</v>
      </c>
      <c r="V282" s="16">
        <v>715</v>
      </c>
      <c r="W282" s="14" t="str">
        <v>黄中沛</v>
      </c>
      <c r="X282" s="14" t="str">
        <v>ACS32空调座椅</v>
      </c>
      <c r="Y282" s="20" t="inlineStr">
        <is>
          <r>
            <t>@陈杰</t>
          </r>
        </is>
      </c>
    </row>
    <row r="283" spans="3:25">
      <c r="C283" s="27" t="str">
        <v>电动风口</v>
      </c>
      <c r="D283" s="22" t="str">
        <v>主驾电动风口2状态</v>
      </c>
      <c r="E283" s="22" t="str">
        <v>上下0～100%，左右0～100%</v>
      </c>
      <c r="G283" s="23" t="str">
        <v>DZT0368</v>
      </c>
      <c r="H283" s="14" t="str">
        <v>已透传cdc</v>
      </c>
      <c r="K283" s="15" t="str">
        <v>AI温感控制</v>
      </c>
      <c r="P283" s="15" t="str">
        <v>P0</v>
      </c>
      <c r="Q283" s="16">
        <v>6.13</v>
      </c>
      <c r="R283" s="17" t="str">
        <v>✅ 架构已提供</v>
      </c>
      <c r="S283" s="14" t="str">
        <v>Pre-OTS版本-0804座舱转测</v>
      </c>
      <c r="T283" s="18" t="str">
        <v>车服务原子能力清单 </v>
      </c>
      <c r="U283" s="14" t="str">
        <v>ACTION_HVAC_AIR_VENT_DIRECTION_FLR_X ACTION_HVAC_AIR_VENT_DIRECTION_FLR_Y</v>
      </c>
      <c r="V283" s="16">
        <v>715</v>
      </c>
      <c r="W283" s="14" t="str">
        <v>黄中沛</v>
      </c>
      <c r="X283" s="14" t="str">
        <v>ACS32空调座椅</v>
      </c>
      <c r="Y283" s="20" t="inlineStr">
        <is>
          <r>
            <t>@陈杰</t>
          </r>
        </is>
      </c>
    </row>
    <row r="284" spans="3:25">
      <c r="C284" s="27" t="str">
        <v>电动风口</v>
      </c>
      <c r="D284" s="22" t="str">
        <v>副驾电动风口模式</v>
      </c>
      <c r="E284" s="22" t="str">
        <v>避人吹/对人吹/扫吹/风向调节/自然风模式1/2</v>
      </c>
      <c r="G284" s="23" t="str">
        <v>DZT0369</v>
      </c>
      <c r="H284" s="14" t="str">
        <v>已透传cdc</v>
      </c>
      <c r="K284" s="15" t="str">
        <v>AI温感控制</v>
      </c>
      <c r="P284" s="15" t="str">
        <v>P0</v>
      </c>
      <c r="Q284" s="16">
        <v>6.13</v>
      </c>
      <c r="R284" s="17" t="str">
        <v>✅ 架构已提供</v>
      </c>
      <c r="S284" s="14" t="str">
        <v>Pre-OTS版本-0804座舱转测</v>
      </c>
      <c r="T284" s="18" t="str">
        <v>车服务原子能力清单 </v>
      </c>
      <c r="U284" s="14" t="str">
        <v>ACTION_HVAC_AIR_VENT_MODE_FR</v>
      </c>
      <c r="V284" s="16">
        <v>715</v>
      </c>
      <c r="W284" s="14" t="str">
        <v>黄中沛</v>
      </c>
      <c r="X284" s="14" t="str">
        <v>ACS32空调座椅</v>
      </c>
      <c r="Y284" s="20" t="inlineStr">
        <is>
          <r>
            <t>@陈杰</t>
          </r>
        </is>
      </c>
    </row>
    <row r="285" spans="3:25">
      <c r="C285" s="27" t="str">
        <v>电动风口</v>
      </c>
      <c r="D285" s="22" t="str">
        <v>副驾电动风口1状态</v>
      </c>
      <c r="E285" s="22" t="str">
        <v>上下0～100%，左右0～100%</v>
      </c>
      <c r="G285" s="23" t="str">
        <v>DZT0370</v>
      </c>
      <c r="H285" s="14" t="str">
        <v>已透传cdc</v>
      </c>
      <c r="K285" s="15" t="str">
        <v>AI温感控制</v>
      </c>
      <c r="P285" s="15" t="str">
        <v>P0</v>
      </c>
      <c r="Q285" s="16">
        <v>6.13</v>
      </c>
      <c r="R285" s="17" t="str">
        <v>✅ 架构已提供</v>
      </c>
      <c r="S285" s="14" t="str">
        <v>Pre-OTS版本-0804座舱转测</v>
      </c>
      <c r="T285" s="18" t="str">
        <v>车服务原子能力清单 </v>
      </c>
      <c r="U285" s="14" t="str">
        <v>ACTION_HVAC_AIR_VENT_DIRECTION_FRL_X ACTION_HVAC_AIR_VENT_DIRECTION_FRL_Y</v>
      </c>
      <c r="V285" s="16">
        <v>715</v>
      </c>
      <c r="W285" s="14" t="str">
        <v>黄中沛</v>
      </c>
      <c r="X285" s="14" t="str">
        <v>ACS32空调座椅</v>
      </c>
      <c r="Y285" s="20" t="inlineStr">
        <is>
          <r>
            <t>@陈杰</t>
          </r>
        </is>
      </c>
    </row>
    <row r="286" spans="3:25">
      <c r="C286" s="27" t="str">
        <v>电动风口</v>
      </c>
      <c r="D286" s="22" t="str">
        <v>副驾电动风口2状态</v>
      </c>
      <c r="E286" s="22" t="str">
        <v>上下0～100%，左右0～100%</v>
      </c>
      <c r="G286" s="23" t="str">
        <v>DZT0371</v>
      </c>
      <c r="H286" s="14" t="str">
        <v>已透传cdc</v>
      </c>
      <c r="K286" s="15" t="str">
        <v>AI温感控制</v>
      </c>
      <c r="P286" s="15" t="str">
        <v>P0</v>
      </c>
      <c r="Q286" s="16">
        <v>6.13</v>
      </c>
      <c r="R286" s="17" t="str">
        <v>✅ 架构已提供</v>
      </c>
      <c r="S286" s="14" t="str">
        <v>Pre-OTS版本-0804座舱转测</v>
      </c>
      <c r="X286" s="14" t="str">
        <v>ACS32空调座椅</v>
      </c>
      <c r="Y286" s="20" t="inlineStr">
        <is>
          <r>
            <t>@陈杰</t>
          </r>
        </is>
      </c>
    </row>
    <row r="287" spans="1:25">
      <c r="A287" s="22" t="str">
        <v>五、智驾域</v>
      </c>
      <c r="B287" s="22" t="str">
        <v>5.1 智驾个性化</v>
      </c>
      <c r="C287" s="21" t="str">
        <v>智驾_风格状态</v>
      </c>
      <c r="D287" s="22" t="str">
        <v>智驾_风格状态</v>
      </c>
      <c r="E287" s="22" t="str">
        <v>0=敏捷, 1=标准, 2=柔和</v>
      </c>
      <c r="G287" s="14" t="str">
        <v>DZT0070</v>
      </c>
      <c r="H287" s="14" t="str">
        <v>已透传cdc</v>
      </c>
      <c r="P287" s="15" t="str">
        <v>P0</v>
      </c>
      <c r="Q287" s="16">
        <v>6.6</v>
      </c>
      <c r="R287" s="17" t="str">
        <v>✅ 架构已提供</v>
      </c>
      <c r="S287" s="14" t="str">
        <v>Pre-OTS版本-0804座舱转测</v>
      </c>
      <c r="T287" s="18" t="str">
        <v>车服务原子能力清单 </v>
      </c>
      <c r="U287" s="14" t="str">
        <v>ACTION_VEHICLE_DRIVE_STYLE</v>
      </c>
      <c r="V287" s="43" t="str">
        <v>0703</v>
      </c>
      <c r="W287" s="14" t="str">
        <v>王越强</v>
      </c>
      <c r="X287" s="14" t="str">
        <v>ACS301Adapter</v>
      </c>
      <c r="Y287" s="20" t="inlineStr">
        <is>
          <r>
            <t>@陈杰</t>
          </r>
        </is>
      </c>
    </row>
    <row r="288" spans="3:25">
      <c r="C288" s="13" t="str">
        <v>智驾语音控车</v>
      </c>
      <c r="D288" s="13" t="str">
        <v>智驾_语音控车开关</v>
      </c>
      <c r="E288" s="13" t="str">
        <v>0=开, 1=关</v>
      </c>
      <c r="G288" s="28" t="str">
        <v>DZT0509</v>
      </c>
      <c r="K288" s="26" t="str">
        <v>智驾</v>
      </c>
      <c r="L288" s="29">
        <v>46203</v>
      </c>
      <c r="Q288" s="30">
        <v>7.15</v>
      </c>
      <c r="X288" s="28" t="str">
        <v>ACS301Adapter</v>
      </c>
      <c r="Y288" s="28" t="inlineStr">
        <is>
          <r>
            <t>@严怡辰</t>
          </r>
        </is>
      </c>
    </row>
    <row r="289" spans="3:25">
      <c r="C289" s="21" t="str">
        <v>智驾_辅助驾驶指示灯状态</v>
      </c>
      <c r="D289" s="21" t="str">
        <v>智驾_辅助驾驶指示灯状态</v>
      </c>
      <c r="E289" s="21" t="str">
        <v>0=关闭, 1=仅前灯, 2=全开</v>
      </c>
      <c r="G289" s="28" t="str">
        <v>DZT0071</v>
      </c>
      <c r="H289" s="28" t="str">
        <v>已透传cdc</v>
      </c>
      <c r="K289" s="26" t="str">
        <v>老司机</v>
      </c>
      <c r="L289" s="29">
        <v>46216</v>
      </c>
      <c r="P289" s="26" t="str">
        <v>P0</v>
      </c>
      <c r="Q289" s="30">
        <v>6.6</v>
      </c>
      <c r="R289" s="17" t="str">
        <v>✅ 架构已提供</v>
      </c>
      <c r="S289" s="28" t="str">
        <v>Pre-OTS版本-0804座舱转测</v>
      </c>
      <c r="T289" s="44" t="str">
        <v>车服务原子能力清单 </v>
      </c>
      <c r="U289" s="28" t="str">
        <v>ACTION_VEHICLE_ADS_LIGHT_ON_OFF</v>
      </c>
      <c r="V289" s="45" t="str">
        <v>0624</v>
      </c>
      <c r="W289" s="28" t="str">
        <v>王越强</v>
      </c>
      <c r="X289" s="28" t="str">
        <v>ACS301Adapter</v>
      </c>
      <c r="Y289" s="28" t="inlineStr">
        <is>
          <r>
            <t>@陈杰</t>
          </r>
        </is>
      </c>
    </row>
    <row r="290" spans="3:25">
      <c r="C290" s="21" t="str">
        <v>智驾灯设置</v>
      </c>
      <c r="D290" s="13" t="str">
        <v>智驾信号灯设置项</v>
      </c>
      <c r="E290" s="13" t="str">
        <v>0=关闭, 1=开启</v>
      </c>
      <c r="G290" s="28" t="str">
        <v>DZT0510</v>
      </c>
      <c r="L290" s="29">
        <v>46216</v>
      </c>
      <c r="Q290" s="30">
        <v>7.15</v>
      </c>
      <c r="X290" s="28" t="str">
        <v>ACS301Adapter</v>
      </c>
      <c r="Y290" s="28" t="inlineStr">
        <is>
          <r>
            <t>@陈精桂</t>
          </r>
        </is>
      </c>
    </row>
    <row r="291" spans="3:25">
      <c r="C291" s="21" t="str">
        <v>前向识别到斑马线</v>
      </c>
      <c r="D291" s="22" t="str">
        <v>前向识别到斑马线</v>
      </c>
      <c r="E291" s="22" t="str">
        <v>0/1</v>
      </c>
      <c r="G291" s="23" t="str">
        <v>DZT0372</v>
      </c>
      <c r="H291" s="14" t="str">
        <v>已透传cdc</v>
      </c>
      <c r="K291" s="15" t="str">
        <v>情感空间</v>
      </c>
      <c r="P291" s="15" t="str">
        <v>P0</v>
      </c>
      <c r="Q291" s="16">
        <v>6.13</v>
      </c>
      <c r="R291" s="17" t="str">
        <v>✅ 架构已提供</v>
      </c>
      <c r="S291" s="14" t="str">
        <v>Pre-OTS版本-0804座舱转测</v>
      </c>
      <c r="X291" s="14" t="str">
        <v>ACS301Adapter</v>
      </c>
      <c r="Y291" s="20" t="inlineStr">
        <is>
          <r>
            <t>@朱婧雯</t>
          </r>
        </is>
      </c>
    </row>
    <row r="292" spans="3:25">
      <c r="C292" s="21" t="str">
        <v>前向识别到行人</v>
      </c>
      <c r="D292" s="22" t="str">
        <v>前向识别到行人</v>
      </c>
      <c r="E292" s="22" t="str">
        <v>0/1</v>
      </c>
      <c r="G292" s="14" t="str">
        <v>DZT0072</v>
      </c>
      <c r="H292" s="14" t="str">
        <v>已透传cdc</v>
      </c>
      <c r="K292" s="15" t="str">
        <v>情感空间</v>
      </c>
      <c r="P292" s="15" t="str">
        <v>P0</v>
      </c>
      <c r="Q292" s="16">
        <v>6.6</v>
      </c>
      <c r="R292" s="17" t="str">
        <v>✅ 架构已提供</v>
      </c>
      <c r="S292" s="14" t="str">
        <v>Pre-OTS版本-0804座舱转测</v>
      </c>
      <c r="X292" s="14" t="str">
        <v>ACS301Adapter</v>
      </c>
      <c r="Y292" s="20" t="inlineStr">
        <is>
          <r>
            <t>@朱婧雯</t>
          </r>
        </is>
      </c>
    </row>
    <row r="293" spans="3:25">
      <c r="C293" s="21" t="str">
        <v>识别到正在跟车</v>
      </c>
      <c r="D293" s="22" t="str">
        <v>识别到正在跟车</v>
      </c>
      <c r="E293" s="22" t="str">
        <v>0/1</v>
      </c>
      <c r="G293" s="14" t="str">
        <v>DZT0073</v>
      </c>
      <c r="H293" s="14" t="str">
        <v>已透传cdc</v>
      </c>
      <c r="K293" s="15" t="str">
        <v>情感空间</v>
      </c>
      <c r="P293" s="15" t="str">
        <v>P0</v>
      </c>
      <c r="Q293" s="16">
        <v>6.6</v>
      </c>
      <c r="R293" s="17" t="str">
        <v>✅ 架构已提供</v>
      </c>
      <c r="S293" s="14" t="str">
        <v>Pre-OTS版本-0804座舱转测</v>
      </c>
      <c r="X293" s="14" t="str">
        <v>ACS301Adapter</v>
      </c>
      <c r="Y293" s="20" t="inlineStr">
        <is>
          <r>
            <t>@朱婧雯</t>
          </r>
        </is>
      </c>
    </row>
    <row r="294" spans="3:25">
      <c r="C294" s="21" t="str">
        <v>识别到对向来车</v>
      </c>
      <c r="D294" s="22" t="str">
        <v>识别到对向来车</v>
      </c>
      <c r="E294" s="22" t="str">
        <v>0/1</v>
      </c>
      <c r="G294" s="14" t="str">
        <v>DZT0074</v>
      </c>
      <c r="H294" s="14" t="str">
        <v>已透传cdc</v>
      </c>
      <c r="K294" s="15" t="str">
        <v>情感空间</v>
      </c>
      <c r="P294" s="15" t="str">
        <v>P0</v>
      </c>
      <c r="Q294" s="16">
        <v>6.6</v>
      </c>
      <c r="R294" s="17" t="str">
        <v>✅ 架构已提供</v>
      </c>
      <c r="S294" s="14" t="str">
        <v>Pre-OTS版本-0804座舱转测</v>
      </c>
      <c r="X294" s="14" t="str">
        <v>ACS301Adapter</v>
      </c>
      <c r="Y294" s="20" t="inlineStr">
        <is>
          <r>
            <t>@朱婧雯</t>
          </r>
        </is>
      </c>
    </row>
    <row r="295" spans="2:25">
      <c r="B295" s="22" t="str">
        <v>5.2 NCA状态机</v>
      </c>
      <c r="C295" s="21" t="str">
        <v>智驾_NCA状态</v>
      </c>
      <c r="D295" s="22" t="str">
        <v>智驾_NCA状态</v>
      </c>
      <c r="E295" s="22" t="str">
        <v>0=未激活, 1=已激活, 2=激活失败</v>
      </c>
      <c r="G295" s="14" t="str">
        <v>DZT0075</v>
      </c>
      <c r="H295" s="14" t="str">
        <v>已透传cdc</v>
      </c>
      <c r="I295" s="15" t="str">
        <v>总线信号</v>
      </c>
      <c r="J295" s="15" t="str">
        <v>ADS_NcaFctSta</v>
      </c>
      <c r="K295" s="15" t="str">
        <v>情感空间; 出行主动服务</v>
      </c>
      <c r="P295" s="15" t="str">
        <v>P0</v>
      </c>
      <c r="Q295" s="16">
        <v>6.6</v>
      </c>
      <c r="R295" s="17" t="str">
        <v>✅ 架构已提供</v>
      </c>
      <c r="S295" s="14" t="str">
        <v>Pre-OTS版本-0804座舱转测</v>
      </c>
      <c r="T295" s="18" t="str">
        <v>车服务原子能力清单 </v>
      </c>
      <c r="U295" s="14" t="str">
        <v>ACTION_VEHICLE_ASSIST_DRIVE_TYPE</v>
      </c>
      <c r="V295" s="43" t="str">
        <v>0624</v>
      </c>
      <c r="W295" s="14" t="str">
        <v>王越强</v>
      </c>
      <c r="X295" s="14" t="str">
        <v>ACS301Adapter</v>
      </c>
      <c r="Y295" s="20" t="inlineStr">
        <is>
          <r>
            <t>@朱婧雯</t>
          </r>
        </is>
      </c>
    </row>
    <row r="296" spans="2:25">
      <c r="B296" s="22" t="str">
        <v>5.3 TSR交通标志识别</v>
      </c>
      <c r="C296" s="21" t="str">
        <v>智驾_TSR限速识别状态</v>
      </c>
      <c r="D296" s="22" t="str">
        <v>智驾_TSR限速识别状态</v>
      </c>
      <c r="E296" s="22" t="str">
        <v>0=未识别, 1=已识别(显示限速值), 2=识别异常</v>
      </c>
      <c r="G296" s="14" t="str">
        <v>DZT0076</v>
      </c>
      <c r="H296" s="14" t="str">
        <v>已透传cdc</v>
      </c>
      <c r="P296" s="15" t="str">
        <v>P0</v>
      </c>
      <c r="Q296" s="16">
        <v>6.6</v>
      </c>
      <c r="R296" s="17" t="str">
        <v>✅ 架构已提供</v>
      </c>
      <c r="S296" s="14" t="str">
        <v>Pre-OTS版本-0804座舱转测</v>
      </c>
      <c r="T296" s="18" t="str">
        <v>车服务原子能力清单 </v>
      </c>
      <c r="U296" s="14" t="str">
        <v>ACTION_VEHICLE_SPEEDING_ALERT_ON_OFF</v>
      </c>
      <c r="V296" s="43" t="str">
        <v>0624</v>
      </c>
      <c r="W296" s="14" t="str">
        <v>王越强</v>
      </c>
      <c r="X296" s="14" t="str">
        <v>ACS301Adapter</v>
      </c>
      <c r="Y296" s="20" t="inlineStr">
        <is>
          <r>
            <t>@陈杰</t>
          </r>
        </is>
      </c>
    </row>
    <row r="297" spans="2:25">
      <c r="B297" s="22" t="str">
        <v>5.4 AEB自动紧急制动</v>
      </c>
      <c r="C297" s="21" t="str">
        <v>智驾_FCTA状态</v>
      </c>
      <c r="D297" s="22" t="str">
        <v>智驾_FCTA状态</v>
      </c>
      <c r="E297" s="22" t="str">
        <v>0=未激活, 1=预警激活, 2=预警解除, 3=故障</v>
      </c>
      <c r="G297" s="14" t="str">
        <v>DZT0077</v>
      </c>
      <c r="H297" s="14" t="str">
        <v>已透传cdc</v>
      </c>
      <c r="P297" s="15" t="str">
        <v>P0</v>
      </c>
      <c r="Q297" s="16">
        <v>6.6</v>
      </c>
      <c r="R297" s="17" t="str">
        <v>✅ 架构已提供</v>
      </c>
      <c r="S297" s="14" t="str">
        <v>Pre-OTS版本-0804座舱转测</v>
      </c>
      <c r="T297" s="18" t="str">
        <v>车服务原子能力清单 </v>
      </c>
      <c r="U297" s="14" t="str">
        <v>ACTION_VEHICLE_COLLISION_WARNING</v>
      </c>
      <c r="V297" s="43" t="str">
        <v>0624</v>
      </c>
      <c r="W297" s="14" t="str">
        <v>王越强</v>
      </c>
      <c r="X297" s="14" t="str">
        <v>ACS301Adapter</v>
      </c>
      <c r="Y297" s="20" t="inlineStr">
        <is>
          <r>
            <t>@陈杰</t>
          </r>
        </is>
      </c>
    </row>
    <row r="298" spans="2:25">
      <c r="B298" s="22" t="str">
        <v>5.5 AEB自动紧急制动</v>
      </c>
      <c r="C298" s="21" t="str">
        <v>智驾_GAEB状态</v>
      </c>
      <c r="D298" s="22" t="str">
        <v>智驾_GAEB状态</v>
      </c>
      <c r="E298" s="22" t="str">
        <v>0=未激活, 1=部分制动, 2=全力制动, 3=故障</v>
      </c>
      <c r="G298" s="14" t="str">
        <v>DZT0078</v>
      </c>
      <c r="H298" s="14" t="str">
        <v>已透传cdc</v>
      </c>
      <c r="P298" s="15" t="str">
        <v>P0</v>
      </c>
      <c r="Q298" s="16">
        <v>6.6</v>
      </c>
      <c r="R298" s="17" t="str">
        <v>✅ 架构已提供</v>
      </c>
      <c r="S298" s="14" t="str">
        <v>Pre-OTS版本-0804座舱转测</v>
      </c>
      <c r="T298" s="18" t="str">
        <v>车服务原子能力清单 </v>
      </c>
      <c r="U298" s="14" t="str">
        <v>ACTION_VEHICLE_COLLISION_BRAKING_ON_OFF</v>
      </c>
      <c r="V298" s="43" t="str">
        <v>0624</v>
      </c>
      <c r="W298" s="14" t="str">
        <v>王越强</v>
      </c>
      <c r="X298" s="14" t="str">
        <v>ACS301Adapter</v>
      </c>
      <c r="Y298" s="20" t="inlineStr">
        <is>
          <r>
            <t>@陈杰</t>
          </r>
        </is>
      </c>
    </row>
    <row r="299" spans="2:25">
      <c r="B299" s="22" t="str">
        <v>5.6 AEB自动紧急制动</v>
      </c>
      <c r="C299" s="21" t="str">
        <v>智驾_AEB功能开关状态</v>
      </c>
      <c r="D299" s="22" t="str">
        <v>智驾_AEB功能开关状态</v>
      </c>
      <c r="E299" s="22" t="str">
        <v>0=关闭, 1=开启</v>
      </c>
      <c r="G299" s="14" t="str">
        <v>DZT0079</v>
      </c>
      <c r="H299" s="14" t="str">
        <v>已透传cdc</v>
      </c>
      <c r="P299" s="15" t="str">
        <v>P0</v>
      </c>
      <c r="Q299" s="16">
        <v>6.6</v>
      </c>
      <c r="R299" s="17" t="str">
        <v>✅ 架构已提供</v>
      </c>
      <c r="S299" s="14" t="str">
        <v>Pre-OTS版本-0804座舱转测</v>
      </c>
      <c r="T299" s="18" t="str">
        <v>车服务原子能力清单 </v>
      </c>
      <c r="U299" s="14" t="str">
        <v>ACTION_VEHICLE_COLLISION_BRAKING_ON_OFF</v>
      </c>
      <c r="V299" s="43" t="str">
        <v>0624</v>
      </c>
      <c r="W299" s="14" t="str">
        <v>王越强</v>
      </c>
      <c r="X299" s="14" t="str">
        <v>ACS301Adapter</v>
      </c>
      <c r="Y299" s="20" t="inlineStr">
        <is>
          <r>
            <t>@陈杰</t>
          </r>
        </is>
      </c>
    </row>
    <row r="300" spans="2:25">
      <c r="B300" s="22" t="str">
        <v>5.7 后向碰撞预警与制动</v>
      </c>
      <c r="C300" s="21" t="str">
        <v>智驾_RCTA状态</v>
      </c>
      <c r="D300" s="22" t="str">
        <v>智驾_RCTA状态</v>
      </c>
      <c r="E300" s="22" t="str">
        <v>0=未激活, 1=预警激活, 2=预警解除, 3=故障</v>
      </c>
      <c r="G300" s="14" t="str">
        <v>DZT0080</v>
      </c>
      <c r="H300" s="14" t="str">
        <v>已透传cdc</v>
      </c>
      <c r="P300" s="15" t="str">
        <v>P0</v>
      </c>
      <c r="Q300" s="16">
        <v>6.6</v>
      </c>
      <c r="R300" s="17" t="str">
        <v>✅ 架构已提供</v>
      </c>
      <c r="S300" s="14" t="str">
        <v>Pre-OTS版本-0804座舱转测</v>
      </c>
      <c r="T300" s="18" t="str">
        <v>车服务原子能力清单 </v>
      </c>
      <c r="U300" s="14" t="str">
        <v>ACTION_VEHICLE_COLLISION_WARNING</v>
      </c>
      <c r="V300" s="43" t="str">
        <v>0624</v>
      </c>
      <c r="W300" s="14" t="str">
        <v>王越强</v>
      </c>
      <c r="X300" s="14" t="str">
        <v>ACS301Adapter</v>
      </c>
      <c r="Y300" s="20" t="inlineStr">
        <is>
          <r>
            <t>@陈杰</t>
          </r>
        </is>
      </c>
    </row>
    <row r="301" spans="2:25">
      <c r="B301" s="22" t="str">
        <v>5.8 后向碰撞预警与制动</v>
      </c>
      <c r="C301" s="21" t="str">
        <v>智驾_RCTB状态</v>
      </c>
      <c r="D301" s="22" t="str">
        <v>智驾_RCTB状态</v>
      </c>
      <c r="E301" s="22" t="str">
        <v>0=未激活, 1=部分制动, 2=全力制动, 3=故障</v>
      </c>
      <c r="G301" s="14" t="str">
        <v>DZT0081</v>
      </c>
      <c r="H301" s="14" t="str">
        <v>已透传cdc</v>
      </c>
      <c r="P301" s="15" t="str">
        <v>P0</v>
      </c>
      <c r="Q301" s="16">
        <v>6.6</v>
      </c>
      <c r="R301" s="17" t="str">
        <v>✅ 架构已提供</v>
      </c>
      <c r="S301" s="14" t="str">
        <v>Pre-OTS版本-0804座舱转测</v>
      </c>
      <c r="T301" s="18" t="str">
        <v>车服务原子能力清单 </v>
      </c>
      <c r="U301" s="14" t="str">
        <v>ACTION_VEHICLE_COLLISION_BRAKING_ON_OFF</v>
      </c>
      <c r="V301" s="19">
        <v>46204</v>
      </c>
      <c r="W301" s="14" t="str">
        <v>王越强</v>
      </c>
      <c r="X301" s="14" t="str">
        <v>ACS301Adapter</v>
      </c>
      <c r="Y301" s="20" t="inlineStr">
        <is>
          <r>
            <t>@陈杰</t>
          </r>
        </is>
      </c>
    </row>
    <row r="302" spans="2:25">
      <c r="B302" s="22" t="str">
        <v>5.9 后向碰撞预警与制动</v>
      </c>
      <c r="C302" s="21" t="str">
        <v>智驾_RAEB状态</v>
      </c>
      <c r="D302" s="22" t="str">
        <v>智驾_RAEB状态</v>
      </c>
      <c r="E302" s="22" t="str">
        <v>0=未激活, 1=部分制动, 2=全力制动, 3=故障</v>
      </c>
      <c r="G302" s="14" t="str">
        <v>DZT0082</v>
      </c>
      <c r="H302" s="14" t="str">
        <v>已透传cdc</v>
      </c>
      <c r="P302" s="15" t="str">
        <v>P0</v>
      </c>
      <c r="Q302" s="16">
        <v>6.6</v>
      </c>
      <c r="R302" s="17" t="str">
        <v>✅ 架构已提供</v>
      </c>
      <c r="S302" s="14" t="str">
        <v>Pre-OTS版本-0804座舱转测</v>
      </c>
      <c r="T302" s="18" t="str">
        <v>车服务原子能力清单 </v>
      </c>
      <c r="U302" s="14" t="str">
        <v>ACTION_VEHICLE_COLLISION_BRAKING_ON_OFF</v>
      </c>
      <c r="V302" s="19">
        <v>46204</v>
      </c>
      <c r="W302" s="14" t="str">
        <v>王越强</v>
      </c>
      <c r="X302" s="14" t="str">
        <v>ACS301Adapter</v>
      </c>
      <c r="Y302" s="20" t="inlineStr">
        <is>
          <r>
            <t>@陈杰</t>
          </r>
        </is>
      </c>
    </row>
    <row r="303" spans="2:25">
      <c r="B303" s="22" t="str">
        <v>5.10 转向辅助</v>
      </c>
      <c r="C303" s="21" t="str">
        <v>智驾_防误踩状态</v>
      </c>
      <c r="D303" s="22" t="str">
        <v>智驾_防误踩状态</v>
      </c>
      <c r="E303" s="22" t="str">
        <v>0=未激活, 1=防误踩激活(已阻止加速), 2=故障</v>
      </c>
      <c r="G303" s="14" t="str">
        <v>DZT0083</v>
      </c>
      <c r="H303" s="14" t="str">
        <v>已透传cdc</v>
      </c>
      <c r="P303" s="15" t="str">
        <v>P0</v>
      </c>
      <c r="Q303" s="16">
        <v>6.6</v>
      </c>
      <c r="R303" s="17" t="str">
        <v>✅ 架构已提供</v>
      </c>
      <c r="S303" s="14" t="str">
        <v>Pre-OTS版本-0804座舱转测</v>
      </c>
      <c r="T303" s="18" t="str">
        <v>车服务原子能力清单 </v>
      </c>
      <c r="U303" s="14" t="str">
        <v>ACTION_VEHICLE_ACCELERATE_ON_OFF</v>
      </c>
      <c r="V303" s="19">
        <v>46204</v>
      </c>
      <c r="W303" s="14" t="str">
        <v>王越强</v>
      </c>
      <c r="X303" s="14" t="str">
        <v>ACS301Adapter</v>
      </c>
      <c r="Y303" s="20" t="inlineStr">
        <is>
          <r>
            <t>@陈杰</t>
          </r>
        </is>
      </c>
    </row>
    <row r="304" spans="2:25">
      <c r="B304" s="46" t="str">
        <v>5.11 特殊领航与失能辅助</v>
      </c>
      <c r="C304" s="47" t="str">
        <v>智驾_驾驶员失能辅助状态</v>
      </c>
      <c r="D304" s="46" t="str">
        <v>智驾_驾驶员失能辅助状态</v>
      </c>
      <c r="E304" s="46" t="str">
        <v>0=未激活, 1=检测中, 2=失能确认-接管请求, 3=失能确认-靠边停车, 4=故障</v>
      </c>
      <c r="G304" s="48" t="str">
        <v>DZT0084</v>
      </c>
      <c r="H304" s="49" t="str">
        <v>？</v>
      </c>
      <c r="O304" s="49" t="str">
        <v>无该功能</v>
      </c>
      <c r="P304" s="50" t="str">
        <v>P1</v>
      </c>
      <c r="Q304" s="51">
        <v>6.6</v>
      </c>
      <c r="R304" s="52" t="str">
        <v>✅ 架构已提供</v>
      </c>
      <c r="S304" s="14" t="str">
        <v>Pre-OTS版本-0804座舱转测</v>
      </c>
      <c r="X304" s="48" t="str">
        <v>ACS301Adapter</v>
      </c>
      <c r="Y304" s="53" t="inlineStr">
        <is>
          <r>
            <t>@陈杰</t>
          </r>
        </is>
      </c>
    </row>
    <row r="305" spans="2:25">
      <c r="B305" s="22" t="str">
        <v>5.12 泊车辅助</v>
      </c>
      <c r="C305" s="21" t="str">
        <v>智驾_AVM状态</v>
      </c>
      <c r="D305" s="22" t="str">
        <v>智驾_AVM状态</v>
      </c>
      <c r="E305" s="22" t="str">
        <v>0=关闭, 1=2D全景, 2=3D全景, 3=故障</v>
      </c>
      <c r="G305" s="14" t="str">
        <v>DZT0085</v>
      </c>
      <c r="H305" s="14" t="str">
        <v>已透传cdc</v>
      </c>
      <c r="P305" s="15" t="str">
        <v>P0</v>
      </c>
      <c r="Q305" s="16">
        <v>6.6</v>
      </c>
      <c r="R305" s="17" t="str">
        <v>✅ 架构已提供</v>
      </c>
      <c r="S305" s="14" t="str">
        <v>原定Pre-OTS版本-0804座舱转测—后延</v>
      </c>
      <c r="T305" s="18" t="str">
        <v>AVM原子服务说明 </v>
      </c>
      <c r="U305" s="14" t="str">
        <v>SeresAvm</v>
      </c>
      <c r="V305" s="19">
        <v>46228</v>
      </c>
      <c r="W305" s="26" t="str">
        <v>李红灿</v>
      </c>
      <c r="X305" s="14" t="str">
        <v>ACS301Adapter</v>
      </c>
      <c r="Y305" s="20" t="inlineStr">
        <is>
          <r>
            <t>@陈杰</t>
          </r>
        </is>
      </c>
    </row>
    <row r="306" spans="3:25">
      <c r="C306" s="21" t="str">
        <v>智驾_透明底盘状态</v>
      </c>
      <c r="D306" s="22" t="str">
        <v>智驾_透明底盘状态</v>
      </c>
      <c r="E306" s="22" t="str">
        <v>0=关闭, 1=开启</v>
      </c>
      <c r="G306" s="14" t="str">
        <v>DZT0086</v>
      </c>
      <c r="H306" s="14" t="str">
        <v>已透传cdc</v>
      </c>
      <c r="P306" s="15" t="str">
        <v>P0</v>
      </c>
      <c r="Q306" s="16">
        <v>6.6</v>
      </c>
      <c r="R306" s="17" t="str">
        <v>✅ 架构已提供</v>
      </c>
      <c r="S306" s="14" t="str">
        <v>原定Pre-OTS版本-0804座舱转测—后延</v>
      </c>
      <c r="T306" s="18" t="str">
        <v>AVM原子服务说明 </v>
      </c>
      <c r="U306" s="14" t="str">
        <v>SeresAvm</v>
      </c>
      <c r="V306" s="19">
        <v>46228</v>
      </c>
      <c r="W306" s="26" t="str">
        <v>李红灿</v>
      </c>
      <c r="X306" s="14" t="str">
        <v>ACS301Adapter</v>
      </c>
      <c r="Y306" s="20" t="inlineStr">
        <is>
          <r>
            <t>@陈杰</t>
          </r>
        </is>
      </c>
    </row>
    <row r="307" spans="3:25">
      <c r="C307" s="21" t="str">
        <v>泊车辅助</v>
      </c>
      <c r="D307" s="13" t="str">
        <v>泊车是否使能状态中</v>
      </c>
      <c r="E307" s="13" t="str">
        <v>0=关闭, 1=开启</v>
      </c>
      <c r="G307" s="28" t="str">
        <v>DZT0511</v>
      </c>
      <c r="K307" s="26" t="str">
        <v>老司机</v>
      </c>
      <c r="L307" s="29">
        <v>46216</v>
      </c>
      <c r="Q307" s="30">
        <v>7.15</v>
      </c>
      <c r="X307" s="28" t="str">
        <v>ACS301Adapter</v>
      </c>
      <c r="Y307" s="28" t="inlineStr">
        <is>
          <r>
            <t>@陈精桂</t>
          </r>
        </is>
      </c>
    </row>
    <row r="308" spans="1:25">
      <c r="A308" s="22" t="str">
        <v>六、网联域</v>
      </c>
      <c r="B308" s="22" t="str">
        <v>6.1 网络连接状态</v>
      </c>
      <c r="C308" s="27" t="str">
        <v>网络链接</v>
      </c>
      <c r="D308" s="22" t="str">
        <v>网联_WiFi连接状态</v>
      </c>
      <c r="E308" s="22" t="str">
        <v>0=未连接, 1=连接中, 2=已连接(无网络), 3=已连接(有网络),</v>
      </c>
      <c r="G308" s="14" t="str">
        <v>DZT0087</v>
      </c>
      <c r="H308" s="14" t="str">
        <v>座舱内部</v>
      </c>
      <c r="I308" s="15" t="str">
        <v>CDC内部</v>
      </c>
      <c r="J308" s="15" t="str">
        <v>网联模块</v>
      </c>
      <c r="P308" s="15" t="str">
        <v>P0</v>
      </c>
      <c r="Q308" s="16">
        <v>6.6</v>
      </c>
      <c r="R308" s="17" t="str">
        <v>—（无需跨域接口）</v>
      </c>
      <c r="S308" s="14" t="str">
        <v>Pre-OTS版本-0804座舱转测</v>
      </c>
      <c r="T308" s="14" t="str">
        <v>系统原生功能
使用Settings.Global值读取状态值</v>
      </c>
      <c r="U308" s="14" t="str">
        <v>Settings.Global.getInt(resolver, "key_wifi_connection_state", 0)</v>
      </c>
      <c r="V308" s="19">
        <v>46228</v>
      </c>
      <c r="W308" s="14" t="str">
        <v>颜长青</v>
      </c>
      <c r="X308" s="14" t="str">
        <v>ACS31车辆设置</v>
      </c>
      <c r="Y308" s="20" t="inlineStr">
        <is>
          <r>
            <t>@王月伟</t>
          </r>
        </is>
      </c>
    </row>
    <row r="309" spans="3:25">
      <c r="C309" s="27" t="str">
        <v>网络链接</v>
      </c>
      <c r="D309" s="22" t="str">
        <v>网联_蓝牙连接状态</v>
      </c>
      <c r="E309" s="22" t="str">
        <v>0=关闭, 1=可发现, 2=配对中, 3=已连接HFP, 4=已连接A2DP, 5=已连接HFP+A2DP, 6=SPP已连接</v>
      </c>
      <c r="G309" s="14" t="str">
        <v>DZT0088</v>
      </c>
      <c r="H309" s="14" t="str">
        <v>座舱内部</v>
      </c>
      <c r="I309" s="15" t="str">
        <v>CDC内部</v>
      </c>
      <c r="J309" s="15" t="str">
        <v>网联模块</v>
      </c>
      <c r="P309" s="15" t="str">
        <v>P0</v>
      </c>
      <c r="Q309" s="16">
        <v>6.6</v>
      </c>
      <c r="R309" s="17" t="str">
        <v>—（无需跨域接口）</v>
      </c>
      <c r="S309" s="14" t="str">
        <v>Pre-OTS版本-0804座舱转测</v>
      </c>
      <c r="X309" s="14" t="str">
        <v>ACS31车辆设置</v>
      </c>
      <c r="Y309" s="20" t="inlineStr">
        <is>
          <r>
            <t>@王月伟</t>
          </r>
        </is>
      </c>
    </row>
    <row r="310" spans="3:25">
      <c r="C310" s="27" t="str">
        <v>网络链接</v>
      </c>
      <c r="D310" s="22" t="str">
        <v>网联_热点开关状态</v>
      </c>
      <c r="E310" s="22" t="str">
        <v>0=关闭, 1=开启(无客户端), 2=开启(有客户端), 3=开启(满客户端), 4=错误</v>
      </c>
      <c r="G310" s="14" t="str">
        <v>DZT0089</v>
      </c>
      <c r="H310" s="14" t="str">
        <v>座舱内部</v>
      </c>
      <c r="I310" s="15" t="str">
        <v>CDC内部</v>
      </c>
      <c r="J310" s="15" t="str">
        <v>网联模块</v>
      </c>
      <c r="P310" s="15" t="str">
        <v>P0</v>
      </c>
      <c r="Q310" s="16">
        <v>6.6</v>
      </c>
      <c r="R310" s="17" t="str">
        <v>—（无需跨域接口）</v>
      </c>
      <c r="S310" s="14" t="str">
        <v>Pre-OTS版本-0804座舱转测</v>
      </c>
      <c r="X310" s="14" t="str">
        <v>ACS31车辆设置</v>
      </c>
      <c r="Y310" s="20" t="inlineStr">
        <is>
          <r>
            <t>@王月伟</t>
          </r>
        </is>
      </c>
    </row>
    <row r="311" spans="3:25">
      <c r="C311" s="27" t="str">
        <v>网络链接</v>
      </c>
      <c r="D311" s="22" t="str">
        <v>蜂窝网信号强度</v>
      </c>
      <c r="E311" s="25" t="str">
        <v>网络信号强度（0~5）</v>
      </c>
      <c r="G311" s="14" t="str">
        <v>DZT0090</v>
      </c>
      <c r="H311" s="14" t="str">
        <v>座舱内部</v>
      </c>
      <c r="I311" s="15" t="str">
        <v>CDC内部</v>
      </c>
      <c r="J311" s="15" t="str">
        <v>网联模块</v>
      </c>
      <c r="P311" s="15" t="str">
        <v>P0</v>
      </c>
      <c r="Q311" s="16">
        <v>6.6</v>
      </c>
      <c r="R311" s="17" t="str">
        <v>—（无需跨域接口）</v>
      </c>
      <c r="S311" s="14" t="str">
        <v>Pre-OTS版本-0804座舱转测</v>
      </c>
      <c r="T311" s="18" t="str">
        <v>Adapter_SD_keys 
E68 Adapter方案:https://sai-seres.feishu.cn/wiki/S2H1wC6vAiAYYEkvt7Wcif57nQg </v>
      </c>
      <c r="U311" s="14" t="str">
        <v>SeresPlatformSDK.getSeresAdapter().registerCallback
SeresPlatformSDK.getSeresAdapter().getValue</v>
      </c>
      <c r="V311" s="19">
        <v>46204</v>
      </c>
      <c r="W311" s="14" t="str">
        <v>冯鑫林</v>
      </c>
      <c r="X311" s="14" t="str">
        <v>ACS31车辆设置</v>
      </c>
      <c r="Y311" s="20" t="inlineStr">
        <is>
          <r>
            <t>@王月伟</t>
          </r>
        </is>
      </c>
    </row>
    <row r="312" spans="3:25">
      <c r="C312" s="27" t="str">
        <v>网络链接</v>
      </c>
      <c r="D312" s="22" t="str">
        <v>蜂窝网服务状态</v>
      </c>
      <c r="E312" s="22" t="str">
        <v>可用/不可用</v>
      </c>
      <c r="G312" s="14" t="str">
        <v>DZT0091</v>
      </c>
      <c r="H312" s="14" t="str">
        <v>座舱内部</v>
      </c>
      <c r="I312" s="15" t="str">
        <v>CDC内部</v>
      </c>
      <c r="J312" s="15" t="str">
        <v>网联模块</v>
      </c>
      <c r="P312" s="15" t="str">
        <v>P0</v>
      </c>
      <c r="Q312" s="16">
        <v>6.6</v>
      </c>
      <c r="R312" s="17" t="str">
        <v>—（无需跨域接口）</v>
      </c>
      <c r="S312" s="14" t="str">
        <v>Pre-OTS版本-0804座舱转测</v>
      </c>
      <c r="T312" s="18" t="str">
        <v>Adapter_SD_keys 
E68 Adapter方案:https://sai-seres.feishu.cn/wiki/S2H1wC6vAiAYYEkvt7Wcif57nQg </v>
      </c>
      <c r="U312" s="14" t="str">
        <v>SeresPlatformSDK.getSeresAdapter().registerCallback
SeresPlatformSDK.getSeresAdapter().getValue</v>
      </c>
      <c r="V312" s="19">
        <v>46204</v>
      </c>
      <c r="W312" s="14" t="str">
        <v>冯鑫林</v>
      </c>
      <c r="X312" s="14" t="str">
        <v>ACS31车辆设置</v>
      </c>
      <c r="Y312" s="20" t="inlineStr">
        <is>
          <r>
            <t>@王月伟</t>
          </r>
        </is>
      </c>
    </row>
    <row r="313" spans="3:25">
      <c r="C313" s="21" t="str">
        <v>UTC时间</v>
      </c>
      <c r="D313" s="22" t="str">
        <v>UTC时间</v>
      </c>
      <c r="E313" s="22" t="str">
        <v>车辆系统时间戳/当前时间与日期</v>
      </c>
      <c r="G313" s="14" t="str">
        <v>DZT0092</v>
      </c>
      <c r="H313" s="14" t="str">
        <v>座舱内部</v>
      </c>
      <c r="I313" s="15" t="str">
        <v>CDC内部</v>
      </c>
      <c r="J313" s="15" t="str">
        <v>网联模块</v>
      </c>
      <c r="P313" s="15" t="str">
        <v>P0</v>
      </c>
      <c r="Q313" s="16">
        <v>6.6</v>
      </c>
      <c r="R313" s="17" t="str">
        <v>—（无需跨域接口）</v>
      </c>
      <c r="S313" s="14" t="str">
        <v>Pre-OTS版本-0804座舱转测</v>
      </c>
      <c r="X313" s="14" t="str">
        <v>ACS31车辆设置</v>
      </c>
      <c r="Y313" s="20" t="inlineStr">
        <is>
          <r>
            <t>@王月伟</t>
          </r>
        </is>
      </c>
    </row>
    <row r="314" spans="3:25">
      <c r="C314" s="22" t="str">
        <v>提车日期</v>
      </c>
      <c r="D314" s="22" t="str">
        <v>提车日期</v>
      </c>
      <c r="E314" s="22" t="str">
        <v>当前时间与日期</v>
      </c>
      <c r="G314" s="24" t="str">
        <v>DZT0512</v>
      </c>
      <c r="K314" s="15" t="str">
        <v>情感空间</v>
      </c>
      <c r="Q314" s="16">
        <v>7.15</v>
      </c>
      <c r="X314" s="24" t="str">
        <v>ACS31车辆设置</v>
      </c>
      <c r="Y314" s="20" t="inlineStr">
        <is>
          <r>
            <t>@朱婧雯</t>
          </r>
        </is>
      </c>
    </row>
    <row r="315" spans="2:25">
      <c r="B315" s="22" t="str">
        <v>6.2云端天气数据</v>
      </c>
      <c r="C315" s="21" t="str">
        <v>空气温度</v>
      </c>
      <c r="D315" s="22" t="str">
        <v>空气温度</v>
      </c>
      <c r="E315" s="22" t="str">
        <v>℃</v>
      </c>
      <c r="G315" s="14" t="str">
        <v>DZT0093</v>
      </c>
      <c r="H315" s="14" t="str">
        <v>座舱内部</v>
      </c>
      <c r="I315" s="15" t="str">
        <v>CDC内部</v>
      </c>
      <c r="J315" s="15" t="str">
        <v>网联模块</v>
      </c>
      <c r="P315" s="15" t="str">
        <v>P0</v>
      </c>
      <c r="Q315" s="16">
        <v>6.6</v>
      </c>
      <c r="R315" s="17" t="str">
        <v>—（无需跨域接口）</v>
      </c>
      <c r="S315" s="14" t="str">
        <v>Pre-OTS版本-0804座舱转测</v>
      </c>
      <c r="T315" s="44" t="str">
        <v>天气原子能力API </v>
      </c>
      <c r="U315" s="28" t="str">
        <v>observer_air_temp</v>
      </c>
      <c r="V315" s="19">
        <v>46200</v>
      </c>
      <c r="W315" s="28" t="str">
        <v>杨壮</v>
      </c>
      <c r="X315" s="28" t="str">
        <v>ACS43天气</v>
      </c>
      <c r="Y315" s="20" t="inlineStr">
        <is>
          <r>
            <t>@王月伟</t>
          </r>
        </is>
      </c>
    </row>
    <row r="316" spans="3:25">
      <c r="C316" s="21" t="str">
        <v>空气湿度</v>
      </c>
      <c r="D316" s="22" t="str">
        <v>空气湿度</v>
      </c>
      <c r="E316" s="22" t="str">
        <v>0~100 %RH</v>
      </c>
      <c r="G316" s="14" t="str">
        <v>DZT0094</v>
      </c>
      <c r="H316" s="14" t="str">
        <v>座舱内部</v>
      </c>
      <c r="I316" s="15" t="str">
        <v>CDC内部</v>
      </c>
      <c r="J316" s="15" t="str">
        <v>网联模块</v>
      </c>
      <c r="P316" s="15" t="str">
        <v>P0</v>
      </c>
      <c r="Q316" s="16">
        <v>6.6</v>
      </c>
      <c r="R316" s="17" t="str">
        <v>—（无需跨域接口）</v>
      </c>
      <c r="S316" s="14" t="str">
        <v>Pre-OTS版本-0804座舱转测</v>
      </c>
      <c r="T316" s="44" t="str">
        <v>天气原子能力API </v>
      </c>
      <c r="U316" s="28" t="str">
        <v>observer_air_humidity</v>
      </c>
      <c r="V316" s="19">
        <v>46200</v>
      </c>
      <c r="W316" s="28" t="str">
        <v>杨壮</v>
      </c>
      <c r="X316" s="28" t="str">
        <v>ACS43天气</v>
      </c>
      <c r="Y316" s="20" t="inlineStr">
        <is>
          <r>
            <t>@王月伟</t>
          </r>
        </is>
      </c>
    </row>
    <row r="317" spans="3:25">
      <c r="C317" s="21" t="str">
        <v>天气类型</v>
      </c>
      <c r="D317" s="22" t="str">
        <v>天气类型</v>
      </c>
      <c r="E317" s="22" t="str">
        <v>晴/雨/阴/雪/雾等</v>
      </c>
      <c r="G317" s="14" t="str">
        <v>DZT0095</v>
      </c>
      <c r="H317" s="14" t="str">
        <v>座舱内部</v>
      </c>
      <c r="I317" s="15" t="str">
        <v>CDC内部</v>
      </c>
      <c r="J317" s="15" t="str">
        <v>网联模块</v>
      </c>
      <c r="O317" s="28" t="str">
        <v>依赖天气信源</v>
      </c>
      <c r="P317" s="15" t="str">
        <v>P0</v>
      </c>
      <c r="Q317" s="16">
        <v>6.6</v>
      </c>
      <c r="R317" s="17" t="str">
        <v>—（无需跨域接口）</v>
      </c>
      <c r="S317" s="14" t="str">
        <v>Pre-OTS版本-0804座舱转测</v>
      </c>
      <c r="T317" s="44" t="str">
        <v>天气原子能力API </v>
      </c>
      <c r="U317" s="28" t="str">
        <v>observer_weather_type</v>
      </c>
      <c r="V317" s="19">
        <v>46200</v>
      </c>
      <c r="W317" s="28" t="str">
        <v>杨壮</v>
      </c>
      <c r="X317" s="28" t="str">
        <v>ACS43天气</v>
      </c>
      <c r="Y317" s="20" t="inlineStr">
        <is>
          <r>
            <t>@王月伟</t>
          </r>
        </is>
      </c>
    </row>
    <row r="318" spans="3:25">
      <c r="C318" s="21" t="str">
        <v>极端天气预警信息</v>
      </c>
      <c r="D318" s="22" t="str">
        <v>极端天气预警信息</v>
      </c>
      <c r="E318" s="22" t="str">
        <v>高温/霜冻/暴雨等</v>
      </c>
      <c r="G318" s="14" t="str">
        <v>DZT0096</v>
      </c>
      <c r="H318" s="14" t="str">
        <v>座舱内部</v>
      </c>
      <c r="I318" s="15" t="str">
        <v>CDC内部</v>
      </c>
      <c r="J318" s="15" t="str">
        <v>网联模块</v>
      </c>
      <c r="O318" s="28" t="str">
        <v>依赖天气信源</v>
      </c>
      <c r="P318" s="15" t="str">
        <v>P0</v>
      </c>
      <c r="Q318" s="16">
        <v>6.6</v>
      </c>
      <c r="R318" s="17" t="str">
        <v>—（无需跨域接口）</v>
      </c>
      <c r="S318" s="14" t="str">
        <v>Pre-OTS版本-0804座舱转测</v>
      </c>
      <c r="T318" s="44" t="str">
        <v>天气原子能力API </v>
      </c>
      <c r="U318" s="28" t="str">
        <v>observer_warn</v>
      </c>
      <c r="V318" s="19">
        <v>46200</v>
      </c>
      <c r="W318" s="28" t="str">
        <v>杨壮</v>
      </c>
      <c r="X318" s="28" t="str">
        <v>ACS43天气</v>
      </c>
      <c r="Y318" s="20" t="inlineStr">
        <is>
          <r>
            <t>@王月伟</t>
          </r>
        </is>
      </c>
    </row>
    <row r="319" spans="2:25">
      <c r="B319" s="22" t="str">
        <v>6.3tsp备车指令</v>
      </c>
      <c r="C319" s="21" t="str">
        <v>预计用车时间</v>
      </c>
      <c r="D319" s="22" t="str">
        <v>预计用车时间</v>
      </c>
      <c r="E319" s="22" t="str">
        <v>min</v>
      </c>
      <c r="G319" s="24" t="str">
        <v>DZT0513</v>
      </c>
      <c r="H319" s="14" t="str">
        <v>待定</v>
      </c>
      <c r="I319" s="15" t="str">
        <v>CDC内部</v>
      </c>
      <c r="J319" s="15" t="str">
        <v>网联模块</v>
      </c>
      <c r="P319" s="15" t="str">
        <v>P0</v>
      </c>
      <c r="Q319" s="16">
        <v>6.13</v>
      </c>
      <c r="R319" s="25" t="str">
        <v>🟡架构待新增</v>
      </c>
      <c r="X319" s="54" t="str">
        <v>座舱域外需求，待策略确认</v>
      </c>
      <c r="Y319" s="20" t="inlineStr">
        <is>
          <r>
            <t>@陈杰</t>
          </r>
        </is>
      </c>
    </row>
    <row r="320" spans="2:25">
      <c r="B320" s="21" t="str">
        <v>6.4 XCALL状态</v>
      </c>
      <c r="C320" s="21" t="str">
        <v>网联_XCALL功能状态</v>
      </c>
      <c r="D320" s="21" t="str">
        <v>网联_XCALL功能状态</v>
      </c>
      <c r="E320" s="13" t="str">
        <v>0=空闲, 1=ECALL激活, 2=BCALL激活, 3=ICALL激活, 4=ECALL注册中, 5=BCALL注册中, 7=通话建立, 8=通话结束, 9=麦克风静音, 10=通话中，0xF=系统故障</v>
      </c>
      <c r="G320" s="28" t="str">
        <v>DZT0097</v>
      </c>
      <c r="H320" s="28" t="str">
        <v>座舱内部</v>
      </c>
      <c r="I320" s="26" t="str">
        <v>CDC内部</v>
      </c>
      <c r="J320" s="26" t="str">
        <v>网联模块</v>
      </c>
      <c r="K320" s="26" t="str">
        <v>车外语音</v>
      </c>
      <c r="L320" s="29">
        <v>46203</v>
      </c>
      <c r="P320" s="26" t="str">
        <v>P0</v>
      </c>
      <c r="Q320" s="30">
        <v>6.6</v>
      </c>
      <c r="R320" s="17" t="str">
        <v>—（无需跨域接口）</v>
      </c>
      <c r="S320" s="28" t="str">
        <v>Pre-OTS版本-0804座舱转测</v>
      </c>
      <c r="T320" s="44" t="str">
        <v>Adapter_SD_keys 
E68 Adapter方案:https://sai-seres.feishu.cn/wiki/S2H1wC6vAiAYYEkvt7Wcif57nQg </v>
      </c>
      <c r="U320" s="28" t="str">
        <v>ID_BCALL_STATUS,ID_EALL_STATUS,ID_ICALL_STATUS
SeresPlatformSDK.getSeresAdapter().registerCallback
SeresPlatformSDK.getSeresAdapter().getValue</v>
      </c>
      <c r="V320" s="29">
        <v>46206</v>
      </c>
      <c r="W320" s="28" t="str">
        <v>冯鑫林</v>
      </c>
      <c r="X320" s="28" t="str">
        <v>ACS09救援服务</v>
      </c>
      <c r="Y320" s="28" t="inlineStr">
        <is>
          <r>
            <t>@陈杰</t>
          </r>
        </is>
      </c>
    </row>
    <row r="321" spans="2:25">
      <c r="B321" s="22" t="str">
        <v>6.5 蓝牙钥匙和UWB钥匙离实车距离</v>
      </c>
      <c r="C321" s="28" t="str">
        <v>蓝牙钥匙和UWB钥匙离实车距离</v>
      </c>
      <c r="D321" s="14" t="str">
        <v>蓝牙钥匙和UWB钥匙离实车距离</v>
      </c>
      <c r="E321" s="22" t="str">
        <v>0=实车未识别到蓝牙钥匙及UWB钥匙；1=蓝牙钥匙及UWB钥匙距离实车3米以内；2=蓝牙钥匙及UWB钥匙距离实车3米外10米内；3=蓝牙钥匙及UWB钥匙距离实车10米外</v>
      </c>
      <c r="G321" s="14" t="str">
        <v>DZT0098</v>
      </c>
      <c r="H321" s="14" t="str">
        <v>座舱内部</v>
      </c>
      <c r="I321" s="15" t="str">
        <v>CDC内部</v>
      </c>
      <c r="J321" s="55" t="str">
        <v>网联模块</v>
      </c>
      <c r="P321" s="15" t="str">
        <v>P0</v>
      </c>
      <c r="Q321" s="16">
        <v>6.6</v>
      </c>
      <c r="R321" s="17" t="str">
        <v>—（无需跨域接口）</v>
      </c>
      <c r="S321" s="14" t="str">
        <v>Pre-OTS版本-0804座舱转测</v>
      </c>
      <c r="T321" s="18" t="str">
        <v>Adapter_SD_keys 
E68 Adapter方案:https://sai-seres.feishu.cn/wiki/S2H1wC6vAiAYYEkvt7Wcif57nQg </v>
      </c>
      <c r="U321" s="14" t="str">
        <v>ID_KEY_UWB_DISTANCE_1，ID_KEY_UWB_DISTANCE_2
SeresPlatformSDK.getSeresAdapter().registerCallback
SeresPlatformSDK.getSeresAdapter().getValue</v>
      </c>
      <c r="V321" s="19">
        <v>46206</v>
      </c>
      <c r="W321" s="14" t="str">
        <v>冯鑫林</v>
      </c>
      <c r="X321" s="14" t="str">
        <v>ACS301Adapter</v>
      </c>
      <c r="Y321" s="20" t="inlineStr">
        <is>
          <r>
            <t>@宋章仪</t>
          </r>
        </is>
      </c>
    </row>
    <row r="322" spans="3:25">
      <c r="C322" s="28" t="str">
        <v>蓝牙及UWB钥匙和实车匹配成功（10米）</v>
      </c>
      <c r="D322" s="28" t="str">
        <v>蓝牙及UWB钥匙和实车匹配状态</v>
      </c>
      <c r="E322" s="28" t="str">
        <v>0=未匹配成功
1=匹配成功
2=空</v>
      </c>
      <c r="G322" s="28" t="str">
        <v>DZT0514</v>
      </c>
      <c r="K322" s="17" t="str">
        <v>车外语音</v>
      </c>
      <c r="L322" s="29">
        <v>46203</v>
      </c>
      <c r="Q322" s="30">
        <v>7.15</v>
      </c>
      <c r="X322" s="28" t="str">
        <v>ACS301Adapter</v>
      </c>
      <c r="Y322" s="28" t="inlineStr">
        <is>
          <r>
            <t>@赵益乐</t>
          </r>
        </is>
      </c>
    </row>
    <row r="323" spans="1:25">
      <c r="A323" s="22" t="str">
        <v>七、座舱域</v>
      </c>
      <c r="B323" s="22" t="str">
        <v>7.1 HUD状态</v>
      </c>
      <c r="C323" s="21" t="str">
        <v>座舱_HUD工作状态</v>
      </c>
      <c r="D323" s="22" t="str">
        <v>座舱_HUD工作状态</v>
      </c>
      <c r="E323" s="22" t="str">
        <v>0=关闭, 1=待机, 2=正常, 3=亮度调节中, 4=故障, 5=升级中</v>
      </c>
      <c r="G323" s="14" t="str">
        <v>DZT0099</v>
      </c>
      <c r="H323" s="14" t="str">
        <v>座舱内部</v>
      </c>
      <c r="I323" s="15" t="str">
        <v>CDC内部</v>
      </c>
      <c r="J323" s="15" t="str">
        <v>多媒体模块</v>
      </c>
      <c r="K323" s="15" t="str">
        <v>充电管家; 松弛模式（AI）; AI娱乐搭子</v>
      </c>
      <c r="P323" s="15" t="str">
        <v>P0</v>
      </c>
      <c r="Q323" s="16">
        <v>6.6</v>
      </c>
      <c r="R323" s="17" t="str">
        <v>—（无需跨域接口）</v>
      </c>
      <c r="S323" s="14" t="str">
        <v>Pre-OTS版本-0804座舱转测</v>
      </c>
      <c r="T323" s="18" t="str">
        <v>Adapter_SD_keys 
E68 Adapter方案:https://sai-seres.feishu.cn/wiki/S2H1wC6vAiAYYEkvt7Wcif57nQg </v>
      </c>
      <c r="U323" s="14" t="str">
        <v>ID_IC_SCREEN_ON
SeresPlatformSDK.getSeresAdapter().registerCallback
SeresPlatformSDK.getSeresAdapter().getValue</v>
      </c>
      <c r="V323" s="19">
        <v>46204</v>
      </c>
      <c r="W323" s="14" t="str">
        <v>冯鑫林</v>
      </c>
      <c r="X323" s="28" t="str">
        <v>ACS31车辆设置</v>
      </c>
      <c r="Y323" s="20" t="inlineStr">
        <is>
          <r>
            <t>@陈杰</t>
          </r>
        </is>
      </c>
    </row>
    <row r="324" spans="2:25">
      <c r="B324" s="22" t="str">
        <v>7.2 中控屏/吸顶屏状态</v>
      </c>
      <c r="C324" s="21" t="str">
        <v>座舱_中控屏状态</v>
      </c>
      <c r="D324" s="22" t="str">
        <v>座舱_中控屏状态</v>
      </c>
      <c r="E324" s="22" t="str">
        <v>0=关闭, 1=开启, 2=待机, 3=升级中, 4=故障</v>
      </c>
      <c r="G324" s="14" t="str">
        <v>DZT0100</v>
      </c>
      <c r="H324" s="14" t="str">
        <v>座舱内部</v>
      </c>
      <c r="I324" s="15" t="str">
        <v>CDC内部</v>
      </c>
      <c r="J324" s="15" t="str">
        <v>多媒体模块</v>
      </c>
      <c r="K324" s="15" t="str">
        <v>充电管家; 松弛模式（AI）; AI娱乐搭子</v>
      </c>
      <c r="P324" s="15" t="str">
        <v>P0</v>
      </c>
      <c r="Q324" s="16">
        <v>6.6</v>
      </c>
      <c r="R324" s="17" t="str">
        <v>—（无需跨域接口）</v>
      </c>
      <c r="S324" s="14" t="str">
        <v>Pre-OTS版本-0804座舱转测</v>
      </c>
      <c r="T324" s="18" t="str">
        <v>Adapter_SD_keys 
E68 Adapter方案:https://sai-seres.feishu.cn/wiki/S2H1wC6vAiAYYEkvt7Wcif57nQg </v>
      </c>
      <c r="U324" s="14" t="str">
        <v>ID_IVI_SCREEN_ON
SeresPlatformSDK.getSeresAdapter().registerCallback
SeresPlatformSDK.getSeresAdapter().getValue</v>
      </c>
      <c r="V324" s="19">
        <v>46204</v>
      </c>
      <c r="W324" s="14" t="str">
        <v>冯鑫林</v>
      </c>
      <c r="X324" s="28" t="str">
        <v>ACS31车辆设置</v>
      </c>
      <c r="Y324" s="20" t="inlineStr">
        <is>
          <r>
            <t>@陈杰</t>
          </r>
        </is>
      </c>
    </row>
    <row r="325" spans="3:25">
      <c r="C325" s="21" t="str">
        <v>座舱_吸顶屏状态</v>
      </c>
      <c r="D325" s="22" t="str">
        <v>座舱_吸顶屏状态</v>
      </c>
      <c r="E325" s="22" t="str">
        <v>0=关闭, 1=开启, 2=待机, 3=升级中, 4=故障</v>
      </c>
      <c r="G325" s="14" t="str">
        <v>DZT0101</v>
      </c>
      <c r="H325" s="14" t="str">
        <v>座舱内部</v>
      </c>
      <c r="I325" s="15" t="str">
        <v>CDC内部</v>
      </c>
      <c r="J325" s="15" t="str">
        <v>多媒体模块</v>
      </c>
      <c r="K325" s="15" t="str">
        <v>充电管家; 松弛模式（AI）; AI娱乐搭子</v>
      </c>
      <c r="P325" s="15" t="str">
        <v>P0</v>
      </c>
      <c r="Q325" s="16">
        <v>6.6</v>
      </c>
      <c r="R325" s="17" t="str">
        <v>—（无需跨域接口）</v>
      </c>
      <c r="S325" s="14" t="str">
        <v>Pre-OTS版本-0804座舱转测</v>
      </c>
      <c r="T325" s="18" t="str">
        <v>Adapter_SD_keys 
E68 Adapter方案:https://sai-seres.feishu.cn/wiki/S2H1wC6vAiAYYEkvt7Wcif57nQg </v>
      </c>
      <c r="U325" s="14" t="str">
        <v>ID_REAR_SCREEN_ON
SeresPlatformSDK.getSeresAdapter().registerCallback
SeresPlatformSDK.getSeresAdapter().getValue</v>
      </c>
      <c r="V325" s="19">
        <v>46204</v>
      </c>
      <c r="W325" s="14" t="str">
        <v>冯鑫林</v>
      </c>
      <c r="X325" s="28" t="str">
        <v>ACS31车辆设置</v>
      </c>
      <c r="Y325" s="20" t="inlineStr">
        <is>
          <r>
            <t>@陈杰</t>
          </r>
        </is>
      </c>
    </row>
    <row r="326" spans="2:25">
      <c r="B326" s="22" t="str">
        <v>7.3 AI设置</v>
      </c>
      <c r="C326" s="21" t="str">
        <v>座舱_AI交互屏状态</v>
      </c>
      <c r="D326" s="22" t="str">
        <v>座舱_AI交互屏状态</v>
      </c>
      <c r="E326" s="22" t="str">
        <v>0=关闭, 1=开启</v>
      </c>
      <c r="G326" s="14" t="str">
        <v>DZT0102</v>
      </c>
      <c r="H326" s="14" t="str">
        <v>座舱内部</v>
      </c>
      <c r="I326" s="15" t="str">
        <v>CDC内部</v>
      </c>
      <c r="J326" s="15" t="str">
        <v>多媒体模块</v>
      </c>
      <c r="K326" s="15" t="str">
        <v>充电管家; 松弛模式（AI）; AI娱乐搭子</v>
      </c>
      <c r="P326" s="15" t="str">
        <v>P0</v>
      </c>
      <c r="Q326" s="16">
        <v>6.6</v>
      </c>
      <c r="R326" s="17" t="str">
        <v>—（无需跨域接口）</v>
      </c>
      <c r="S326" s="14" t="str">
        <v>Pre-OTS版本-0804座舱转测</v>
      </c>
      <c r="T326" s="18" t="str">
        <v>Adapter_SD_keys 
E68 Adapter方案:https://sai-seres.feishu.cn/wiki/S2H1wC6vAiAYYEkvt7Wcif57nQg </v>
      </c>
      <c r="U326" s="14" t="str">
        <v>ID_AI_SCREEN_ON
SeresPlatformSDK.getSeresAdapter().registerCallback
SeresPlatformSDK.getSeresAdapter().getValue</v>
      </c>
      <c r="V326" s="19">
        <v>46204</v>
      </c>
      <c r="W326" s="14" t="str">
        <v>冯鑫林</v>
      </c>
      <c r="X326" s="28" t="str">
        <v>ACS31车辆设置</v>
      </c>
      <c r="Y326" s="20" t="inlineStr">
        <is>
          <r>
            <t>@陈杰</t>
          </r>
        </is>
      </c>
    </row>
    <row r="327" spans="3:25">
      <c r="C327" s="21" t="str">
        <v>超级语音</v>
      </c>
      <c r="D327" s="22" t="str">
        <v>超级语音开关状态</v>
      </c>
      <c r="E327" s="12" t="str">
        <v>0=关闭, 1=开启</v>
      </c>
      <c r="G327" s="14" t="str">
        <v>DZT0103</v>
      </c>
      <c r="H327" s="14" t="str">
        <v>座舱内部</v>
      </c>
      <c r="I327" s="15" t="str">
        <v>CDC内部</v>
      </c>
      <c r="O327" s="56" t="str">
        <v>此功能需要豆包开发并提供豆包语音设置sdk</v>
      </c>
      <c r="P327" s="15" t="str">
        <v>P0</v>
      </c>
      <c r="Q327" s="16">
        <v>6.6</v>
      </c>
      <c r="R327" s="17" t="str">
        <v>—（无需跨域接口）</v>
      </c>
      <c r="S327" s="14" t="str">
        <v>原定Pre-OTS版本-0804座舱转测—后延</v>
      </c>
      <c r="X327" s="28" t="str">
        <v>ACS31车辆设置</v>
      </c>
      <c r="Y327" s="20" t="inlineStr">
        <is>
          <r>
            <t>@陆云帆</t>
          </r>
        </is>
      </c>
    </row>
    <row r="328" spans="3:25">
      <c r="C328" s="21" t="str">
        <v>语音形象</v>
      </c>
      <c r="D328" s="22" t="str">
        <v>语音形象</v>
      </c>
      <c r="E328" s="22" t="str">
        <v>默认态/抽象态</v>
      </c>
      <c r="G328" s="14" t="str">
        <v>DZT0104</v>
      </c>
      <c r="H328" s="14" t="str">
        <v>座舱内部</v>
      </c>
      <c r="I328" s="15" t="str">
        <v>CDC内部</v>
      </c>
      <c r="O328" s="54" t="str">
        <v>此功能需要豆包开发并提供豆包语音设置sdk</v>
      </c>
      <c r="P328" s="15" t="str">
        <v>P0</v>
      </c>
      <c r="Q328" s="16">
        <v>6.6</v>
      </c>
      <c r="R328" s="17" t="str">
        <v>—（无需跨域接口）</v>
      </c>
      <c r="S328" s="14" t="str">
        <v>原定Pre-OTS版本-0804座舱转测—后延</v>
      </c>
      <c r="X328" s="28" t="str">
        <v>ACS31车辆设置</v>
      </c>
      <c r="Y328" s="20" t="inlineStr">
        <is>
          <r>
            <t>@陆云帆</t>
          </r>
        </is>
      </c>
    </row>
    <row r="329" spans="3:25">
      <c r="C329" s="21" t="str">
        <v>播报风格</v>
      </c>
      <c r="D329" s="22" t="str">
        <v>播报风格</v>
      </c>
      <c r="E329" s="22" t="str">
        <v>预设、温柔体贴、简洁专业、元气活泼、高冷傲娇、赛博极客、吐槽达人、松弛佛系、荒诞抽象、自定义</v>
      </c>
      <c r="G329" s="14" t="str">
        <v>DZT0105</v>
      </c>
      <c r="H329" s="14" t="str">
        <v>座舱内部</v>
      </c>
      <c r="I329" s="15" t="str">
        <v>CDC内部</v>
      </c>
      <c r="O329" s="54" t="str">
        <v>此功能需要豆包开发并提供豆包语音设置sdk</v>
      </c>
      <c r="P329" s="15" t="str">
        <v>P0</v>
      </c>
      <c r="Q329" s="16">
        <v>6.6</v>
      </c>
      <c r="R329" s="17" t="str">
        <v>—（无需跨域接口）</v>
      </c>
      <c r="S329" s="14" t="str">
        <v>Pre-OTS版本-0804座舱转测</v>
      </c>
      <c r="X329" s="28" t="str">
        <v>ACS31车辆设置</v>
      </c>
      <c r="Y329" s="20" t="inlineStr">
        <is>
          <r>
            <t>@陆云帆</t>
          </r>
        </is>
      </c>
    </row>
    <row r="330" spans="3:25">
      <c r="C330" s="21" t="str">
        <v>AlwaysOn</v>
      </c>
      <c r="D330" s="22" t="str">
        <v>AlwaysOn开关</v>
      </c>
      <c r="E330" s="12" t="str">
        <v>0=关闭, 1=开启</v>
      </c>
      <c r="G330" s="14" t="str">
        <v>DZT0106</v>
      </c>
      <c r="H330" s="14" t="str">
        <v>座舱内部</v>
      </c>
      <c r="I330" s="15" t="str">
        <v>CDC内部</v>
      </c>
      <c r="O330" s="54" t="str">
        <v>该功能需要豆包提供sdk及调用api说明</v>
      </c>
      <c r="P330" s="15" t="str">
        <v>P0</v>
      </c>
      <c r="Q330" s="16">
        <v>6.6</v>
      </c>
      <c r="R330" s="17" t="str">
        <v>—（无需跨域接口）</v>
      </c>
      <c r="S330" s="14" t="str">
        <v>Pre-OTS版本-0804座舱转测</v>
      </c>
      <c r="X330" s="28" t="str">
        <v>ACS31车辆设置</v>
      </c>
      <c r="Y330" s="20" t="inlineStr">
        <is>
          <r>
            <t>@陆云帆</t>
          </r>
        </is>
      </c>
    </row>
    <row r="331" spans="4:25">
      <c r="D331" s="22" t="str">
        <v>持续聆听开关</v>
      </c>
      <c r="E331" s="12" t="str">
        <v>0=关闭, 1=开启</v>
      </c>
      <c r="G331" s="14" t="str">
        <v>DZT0107</v>
      </c>
      <c r="H331" s="14" t="str">
        <v>座舱内部</v>
      </c>
      <c r="I331" s="15" t="str">
        <v>CDC内部</v>
      </c>
      <c r="O331" s="54" t="str">
        <v>此功能需要豆包开发并提供豆包语音设置sdk</v>
      </c>
      <c r="P331" s="15" t="str">
        <v>P0</v>
      </c>
      <c r="Q331" s="16">
        <v>6.6</v>
      </c>
      <c r="R331" s="17" t="str">
        <v>—（无需跨域接口）</v>
      </c>
      <c r="S331" s="14" t="str">
        <v>Pre-OTS版本-0804座舱转测</v>
      </c>
      <c r="X331" s="28" t="str">
        <v>ACS31车辆设置</v>
      </c>
      <c r="Y331" s="20" t="inlineStr">
        <is>
          <r>
            <t>@陆云帆</t>
          </r>
        </is>
      </c>
    </row>
    <row r="332" spans="4:25">
      <c r="D332" s="22" t="str">
        <v>持续观察开关</v>
      </c>
      <c r="E332" s="12" t="str">
        <v>0=关闭, 1=开启</v>
      </c>
      <c r="G332" s="14" t="str">
        <v>DZT0108</v>
      </c>
      <c r="H332" s="14" t="str">
        <v>座舱内部</v>
      </c>
      <c r="I332" s="15" t="str">
        <v>CDC内部</v>
      </c>
      <c r="O332" s="54" t="str">
        <v>此功能需要豆包开发并提供豆包语音设置sdk</v>
      </c>
      <c r="P332" s="15" t="str">
        <v>P0</v>
      </c>
      <c r="Q332" s="16">
        <v>6.6</v>
      </c>
      <c r="R332" s="17" t="str">
        <v>—（无需跨域接口）</v>
      </c>
      <c r="S332" s="14" t="str">
        <v>Pre-OTS版本-0804座舱转测</v>
      </c>
      <c r="X332" s="28" t="str">
        <v>ACS31车辆设置</v>
      </c>
      <c r="Y332" s="20" t="inlineStr">
        <is>
          <r>
            <t>@陆云帆</t>
          </r>
        </is>
      </c>
    </row>
    <row r="333" spans="3:25">
      <c r="C333" s="21" t="str">
        <v>主动服务</v>
      </c>
      <c r="D333" s="22" t="str">
        <v>主动服务开关</v>
      </c>
      <c r="E333" s="12" t="str">
        <v>0=关闭, 1=开启</v>
      </c>
      <c r="G333" s="14" t="str">
        <v>DZT0109</v>
      </c>
      <c r="H333" s="14" t="str">
        <v>座舱内部</v>
      </c>
      <c r="I333" s="15" t="str">
        <v>CDC内部</v>
      </c>
      <c r="O333" s="54" t="str">
        <v>此功能需要豆包开发并提供豆包语音设置sdk</v>
      </c>
      <c r="P333" s="15" t="str">
        <v>P0</v>
      </c>
      <c r="Q333" s="16">
        <v>6.6</v>
      </c>
      <c r="R333" s="17" t="str">
        <v>—（无需跨域接口）</v>
      </c>
      <c r="S333" s="14" t="str">
        <v>Pre-OTS版本-0804座舱转测</v>
      </c>
      <c r="X333" s="28" t="str">
        <v>ACS31车辆设置</v>
      </c>
      <c r="Y333" s="20" t="inlineStr">
        <is>
          <r>
            <t>@陆云帆</t>
          </r>
        </is>
      </c>
    </row>
    <row r="334" spans="3:25">
      <c r="C334" s="21" t="str">
        <v>车外语音</v>
      </c>
      <c r="D334" s="22" t="str">
        <v>车外语音开关</v>
      </c>
      <c r="E334" s="12" t="str">
        <v>0=关闭, 1=开启</v>
      </c>
      <c r="G334" s="14" t="str">
        <v>DZT0110</v>
      </c>
      <c r="H334" s="14" t="str">
        <v>座舱内部</v>
      </c>
      <c r="I334" s="15" t="str">
        <v>CDC内部</v>
      </c>
      <c r="O334" s="54" t="str">
        <v>此功能需要豆包开发并提供豆包语音设置sdk</v>
      </c>
      <c r="P334" s="15" t="str">
        <v>P0</v>
      </c>
      <c r="Q334" s="16">
        <v>6.6</v>
      </c>
      <c r="R334" s="17" t="str">
        <v>—（无需跨域接口）</v>
      </c>
      <c r="S334" s="14" t="str">
        <v>原定Pre-OTS版本-0804座舱转测—后延</v>
      </c>
      <c r="X334" s="28" t="str">
        <v>ACS31车辆设置</v>
      </c>
      <c r="Y334" s="20" t="inlineStr">
        <is>
          <r>
            <t>@陆云帆</t>
          </r>
        </is>
      </c>
    </row>
    <row r="335" spans="3:25">
      <c r="C335" s="21" t="str">
        <v>记忆开关</v>
      </c>
      <c r="D335" s="22" t="str">
        <v>记忆开关</v>
      </c>
      <c r="E335" s="12" t="str">
        <v>0=关闭, 1=开启</v>
      </c>
      <c r="G335" s="14" t="str">
        <v>DZT0111</v>
      </c>
      <c r="H335" s="14" t="str">
        <v>座舱内部</v>
      </c>
      <c r="I335" s="15" t="str">
        <v>CDC内部</v>
      </c>
      <c r="O335" s="54" t="str">
        <v>此功能需要豆包开发并提供豆包语音设置sdk</v>
      </c>
      <c r="P335" s="15" t="str">
        <v>P0</v>
      </c>
      <c r="Q335" s="16">
        <v>6.6</v>
      </c>
      <c r="R335" s="17" t="str">
        <v>—（无需跨域接口）</v>
      </c>
      <c r="S335" s="14" t="str">
        <v>原定Pre-OTS版本-0804座舱转测—后延</v>
      </c>
      <c r="X335" s="28" t="str">
        <v>ACS31车辆设置</v>
      </c>
      <c r="Y335" s="20" t="inlineStr">
        <is>
          <r>
            <t>@陆云帆</t>
          </r>
        </is>
      </c>
    </row>
    <row r="336" spans="2:25">
      <c r="B336" s="22" t="str">
        <v>7.4 导航</v>
      </c>
      <c r="C336" s="21" t="str">
        <v>导航活跃状态</v>
      </c>
      <c r="D336" s="22" t="str">
        <v>导航活跃状态</v>
      </c>
      <c r="E336" s="22" t="str">
        <v>0=未激活, 1=激活</v>
      </c>
      <c r="G336" s="14" t="str">
        <v>DZT0112</v>
      </c>
      <c r="H336" s="14" t="str">
        <v>座舱内部</v>
      </c>
      <c r="I336" s="15" t="str">
        <v>CDC内部</v>
      </c>
      <c r="J336" s="15" t="str">
        <v>导航模块</v>
      </c>
      <c r="K336" s="15" t="str">
        <v>充电管家; 行程管家; 出行主动服务</v>
      </c>
      <c r="P336" s="15" t="str">
        <v>P0</v>
      </c>
      <c r="Q336" s="16">
        <v>6.6</v>
      </c>
      <c r="R336" s="17" t="str">
        <v>—（无需跨域接口）</v>
      </c>
      <c r="S336" s="14" t="str">
        <v>Pre-OTS版本-0804座舱转测</v>
      </c>
      <c r="X336" s="14" t="str">
        <v>ACS06地图导航</v>
      </c>
      <c r="Y336" s="20" t="inlineStr">
        <is>
          <r>
            <t>@冯艺玮</t>
          </r>
        </is>
      </c>
    </row>
    <row r="337" spans="3:25">
      <c r="C337" s="21" t="str">
        <v>导航设置</v>
      </c>
      <c r="D337" s="13" t="str">
        <v>导航低电量提醒阈值</v>
      </c>
      <c r="E337" s="13" t="str">
        <v>5-60%</v>
      </c>
      <c r="G337" s="28" t="str">
        <v>DZT0515</v>
      </c>
      <c r="K337" s="26" t="str">
        <v>充电管家</v>
      </c>
      <c r="L337" s="29">
        <v>46203</v>
      </c>
      <c r="Q337" s="30">
        <v>7.15</v>
      </c>
      <c r="X337" s="28" t="str">
        <v>ACS06地图导航</v>
      </c>
      <c r="Y337" s="28" t="inlineStr">
        <is>
          <r>
            <t>@刘多</t>
          </r>
        </is>
      </c>
    </row>
    <row r="338" spans="3:27">
      <c r="C338" s="21" t="str">
        <v>目的地信息</v>
      </c>
      <c r="D338" s="22" t="str">
        <v>导航目的地名称</v>
      </c>
      <c r="E338" s="22" t="str">
        <v>String, 最长64字符 (UTF-8)</v>
      </c>
      <c r="G338" s="14" t="str">
        <v>DZT0113</v>
      </c>
      <c r="H338" s="14" t="str">
        <v>座舱内部</v>
      </c>
      <c r="I338" s="15" t="str">
        <v>CDC内部</v>
      </c>
      <c r="J338" s="15" t="str">
        <v>导航模块</v>
      </c>
      <c r="K338" s="15" t="str">
        <v>充电管家; 行程管家; 出行主动服务</v>
      </c>
      <c r="P338" s="15" t="str">
        <v>P0</v>
      </c>
      <c r="Q338" s="16">
        <v>6.6</v>
      </c>
      <c r="R338" s="17" t="str">
        <v>—（无需跨域接口）</v>
      </c>
      <c r="S338" s="14" t="str">
        <v>Pre-OTS版本-0804座舱转测</v>
      </c>
      <c r="X338" s="14" t="str">
        <v>ACS06地图导航</v>
      </c>
      <c r="Y338" s="20" t="inlineStr">
        <is>
          <r>
            <t>@冯艺玮</t>
          </r>
        </is>
      </c>
      <c r="Z338" s="14" t="str">
        <v>风险</v>
      </c>
      <c r="AA338" s="14" t="str">
        <v>获取目的地信息综合进行充电规划推荐</v>
      </c>
    </row>
    <row r="339" spans="3:27">
      <c r="C339" s="21" t="str">
        <v>目的地信息</v>
      </c>
      <c r="D339" s="22" t="str">
        <v>导航目的地地址</v>
      </c>
      <c r="E339" s="22" t="str">
        <v>String, 最长128字符 (UTF-8)</v>
      </c>
      <c r="G339" s="14" t="str">
        <v>DZT0114</v>
      </c>
      <c r="H339" s="14" t="str">
        <v>座舱内部</v>
      </c>
      <c r="I339" s="15" t="str">
        <v>CDC内部</v>
      </c>
      <c r="J339" s="15" t="str">
        <v>导航模块</v>
      </c>
      <c r="K339" s="15" t="str">
        <v>充电管家; 行程管家; 出行主动服务</v>
      </c>
      <c r="P339" s="15" t="str">
        <v>P0</v>
      </c>
      <c r="Q339" s="16">
        <v>6.6</v>
      </c>
      <c r="R339" s="17" t="str">
        <v>—（无需跨域接口）</v>
      </c>
      <c r="S339" s="14" t="str">
        <v>Pre-OTS版本-0804座舱转测</v>
      </c>
      <c r="X339" s="14" t="str">
        <v>ACS06地图导航</v>
      </c>
      <c r="Y339" s="20" t="inlineStr">
        <is>
          <r>
            <t>@冯艺玮</t>
          </r>
        </is>
      </c>
      <c r="Z339" s="14" t="str">
        <v>风险</v>
      </c>
      <c r="AA339" s="14" t="str">
        <v>获取目的地信息综合进行充电规划推荐</v>
      </c>
    </row>
    <row r="340" spans="3:27">
      <c r="C340" s="21" t="str">
        <v>目的地信息</v>
      </c>
      <c r="D340" s="22" t="str">
        <v>导航目的地坐标</v>
      </c>
      <c r="E340" s="22" t="str">
        <v>经度-180~180 deg, 纬度-90~90 deg</v>
      </c>
      <c r="G340" s="14" t="str">
        <v>DZT0115</v>
      </c>
      <c r="H340" s="14" t="str">
        <v>座舱内部</v>
      </c>
      <c r="I340" s="15" t="str">
        <v>CDC内部</v>
      </c>
      <c r="J340" s="15" t="str">
        <v>导航模块</v>
      </c>
      <c r="K340" s="15" t="str">
        <v>充电管家; 行程管家; 出行主动服务</v>
      </c>
      <c r="P340" s="15" t="str">
        <v>P0</v>
      </c>
      <c r="Q340" s="16">
        <v>6.6</v>
      </c>
      <c r="R340" s="17" t="str">
        <v>—（无需跨域接口）</v>
      </c>
      <c r="S340" s="14" t="str">
        <v>Pre-OTS版本-0804座舱转测</v>
      </c>
      <c r="X340" s="14" t="str">
        <v>ACS06地图导航</v>
      </c>
      <c r="Y340" s="20" t="inlineStr">
        <is>
          <r>
            <t>@冯艺玮</t>
          </r>
        </is>
      </c>
      <c r="Z340" s="14" t="str">
        <v>风险</v>
      </c>
      <c r="AA340" s="14" t="str">
        <v>获取目的地信息综合进行充电规划推荐</v>
      </c>
    </row>
    <row r="341" spans="3:25">
      <c r="C341" s="21" t="str">
        <v>目的地信息</v>
      </c>
      <c r="D341" s="22" t="str">
        <v>导航目的地POI类型</v>
      </c>
      <c r="E341" s="22" t="str">
        <v>0=其他, 1=餐饮, 2=充电站, 3=加油站, 4=停车场, 5=酒店, 6=景点, 7=商超, 8=服务区, 9=收费站</v>
      </c>
      <c r="G341" s="14" t="str">
        <v>DZT0116</v>
      </c>
      <c r="H341" s="14" t="str">
        <v>座舱内部</v>
      </c>
      <c r="I341" s="15" t="str">
        <v>CDC内部</v>
      </c>
      <c r="J341" s="15" t="str">
        <v>导航模块</v>
      </c>
      <c r="K341" s="15" t="str">
        <v>充电管家; 行程管家; 出行主动服务</v>
      </c>
      <c r="P341" s="15" t="str">
        <v>P0</v>
      </c>
      <c r="Q341" s="16">
        <v>6.6</v>
      </c>
      <c r="R341" s="17" t="str">
        <v>—（无需跨域接口）</v>
      </c>
      <c r="S341" s="14" t="str">
        <v>Pre-OTS版本-0804座舱转测</v>
      </c>
      <c r="X341" s="14" t="str">
        <v>ACS06地图导航</v>
      </c>
      <c r="Y341" s="20" t="inlineStr">
        <is>
          <r>
            <t>@冯艺玮</t>
          </r>
        </is>
      </c>
    </row>
    <row r="342" spans="3:25">
      <c r="C342" s="57" t="str">
        <v>目的地信息</v>
      </c>
      <c r="D342" s="58" t="str">
        <v>导航目的地POI详细标签</v>
      </c>
      <c r="E342" s="58" t="str">
        <v>文字标签,多个标签用"|"分割,例如,咖啡店|餐厅</v>
      </c>
      <c r="K342" s="15" t="str">
        <v>出行主动服务</v>
      </c>
      <c r="Y342" s="20" t="inlineStr">
        <is>
          <r>
            <t>@冯艺玮</t>
          </r>
        </is>
      </c>
    </row>
    <row r="343" spans="3:25">
      <c r="C343" s="57" t="str">
        <v>目的地信息</v>
      </c>
      <c r="D343" s="58" t="str">
        <v>目的地匹配常用地址/收藏点</v>
      </c>
      <c r="E343" s="58" t="str">
        <v>0-未匹配收藏点,1-匹配配公司,2-匹配家,3-匹配普通收藏点</v>
      </c>
      <c r="K343" s="15" t="str">
        <v>出行主动服务</v>
      </c>
      <c r="Y343" s="20" t="inlineStr">
        <is>
          <r>
            <t>@冯艺玮</t>
          </r>
        </is>
      </c>
    </row>
    <row r="344" spans="3:25">
      <c r="C344" s="21" t="str">
        <v>目的地信息</v>
      </c>
      <c r="D344" s="22" t="str">
        <v>导航剩余距离值</v>
      </c>
      <c r="E344" s="22" t="str">
        <v>0~999999 m, 步长1 m</v>
      </c>
      <c r="G344" s="14" t="str">
        <v>DZT0117</v>
      </c>
      <c r="H344" s="14" t="str">
        <v>座舱内部</v>
      </c>
      <c r="I344" s="15" t="str">
        <v>CDC内部</v>
      </c>
      <c r="J344" s="15" t="str">
        <v>导航模块</v>
      </c>
      <c r="K344" s="15" t="str">
        <v>充电管家; 行程管家; 出行主动服务</v>
      </c>
      <c r="P344" s="15" t="str">
        <v>P0</v>
      </c>
      <c r="Q344" s="16">
        <v>6.6</v>
      </c>
      <c r="R344" s="17" t="str">
        <v>—（无需跨域接口）</v>
      </c>
      <c r="S344" s="14" t="str">
        <v>Pre-OTS版本-0804座舱转测</v>
      </c>
      <c r="X344" s="14" t="str">
        <v>ACS06地图导航</v>
      </c>
      <c r="Y344" s="20" t="inlineStr">
        <is>
          <r>
            <t>@冯艺玮</t>
          </r>
        </is>
      </c>
    </row>
    <row r="345" spans="3:25">
      <c r="C345" s="21" t="str">
        <v>目的地信息</v>
      </c>
      <c r="D345" s="22" t="str">
        <v>导航剩余时间值</v>
      </c>
      <c r="E345" s="22" t="str">
        <v>0~65535 min, 步长1 min</v>
      </c>
      <c r="G345" s="14" t="str">
        <v>DZT0118</v>
      </c>
      <c r="H345" s="14" t="str">
        <v>座舱内部</v>
      </c>
      <c r="I345" s="15" t="str">
        <v>CDC内部</v>
      </c>
      <c r="J345" s="15" t="str">
        <v>导航模块</v>
      </c>
      <c r="K345" s="15" t="str">
        <v>充电管家; 行程管家; 出行主动服务</v>
      </c>
      <c r="P345" s="15" t="str">
        <v>P0</v>
      </c>
      <c r="Q345" s="16">
        <v>6.6</v>
      </c>
      <c r="R345" s="17" t="str">
        <v>—（无需跨域接口）</v>
      </c>
      <c r="S345" s="14" t="str">
        <v>Pre-OTS版本-0804座舱转测</v>
      </c>
      <c r="X345" s="14" t="str">
        <v>ACS06地图导航</v>
      </c>
      <c r="Y345" s="20" t="inlineStr">
        <is>
          <r>
            <t>@冯艺玮</t>
          </r>
        </is>
      </c>
    </row>
    <row r="346" spans="3:25">
      <c r="C346" s="21" t="str">
        <v>目的地信息</v>
      </c>
      <c r="D346" s="22" t="str">
        <v>导航到达目的地预估SOC值</v>
      </c>
      <c r="E346" s="22" t="str">
        <v>0~100%, 步长0.5%</v>
      </c>
      <c r="G346" s="14" t="str">
        <v>DZT0119</v>
      </c>
      <c r="H346" s="14" t="str">
        <v>座舱内部</v>
      </c>
      <c r="I346" s="15" t="str">
        <v>CDC内部</v>
      </c>
      <c r="J346" s="15" t="str">
        <v>导航模块</v>
      </c>
      <c r="K346" s="15" t="str">
        <v>充电管家; 行程管家; 出行主动服务</v>
      </c>
      <c r="P346" s="15" t="str">
        <v>P0</v>
      </c>
      <c r="Q346" s="16">
        <v>6.6</v>
      </c>
      <c r="R346" s="17" t="str">
        <v>—（无需跨域接口）</v>
      </c>
      <c r="S346" s="14" t="str">
        <v>Pre-OTS版本-0804座舱转测</v>
      </c>
      <c r="X346" s="14" t="str">
        <v>ACS06地图导航</v>
      </c>
      <c r="Y346" s="20" t="inlineStr">
        <is>
          <r>
            <t>@冯艺玮</t>
          </r>
        </is>
      </c>
    </row>
    <row r="347" spans="3:25">
      <c r="C347" s="21" t="str">
        <v>目的地信息</v>
      </c>
      <c r="D347" s="22" t="str">
        <v>导航电量可达目的地状态</v>
      </c>
      <c r="E347" s="22" t="str">
        <v>0=可达, 1=不可达</v>
      </c>
      <c r="G347" s="14" t="str">
        <v>DZT0120</v>
      </c>
      <c r="H347" s="14" t="str">
        <v>座舱内部</v>
      </c>
      <c r="I347" s="15" t="str">
        <v>CDC内部</v>
      </c>
      <c r="J347" s="15" t="str">
        <v>导航模块</v>
      </c>
      <c r="K347" s="15" t="str">
        <v>充电管家; 行程管家; 出行主动服务</v>
      </c>
      <c r="P347" s="15" t="str">
        <v>P0</v>
      </c>
      <c r="Q347" s="16">
        <v>6.6</v>
      </c>
      <c r="R347" s="17" t="str">
        <v>—（无需跨域接口）</v>
      </c>
      <c r="S347" s="14" t="str">
        <v>Pre-OTS版本-0804座舱转测</v>
      </c>
      <c r="X347" s="14" t="str">
        <v>ACS06地图导航</v>
      </c>
      <c r="Y347" s="20" t="inlineStr">
        <is>
          <r>
            <t>@冯艺玮</t>
          </r>
        </is>
      </c>
    </row>
    <row r="348" spans="3:25">
      <c r="C348" s="21" t="str">
        <v>路线信息</v>
      </c>
      <c r="D348" s="22" t="str">
        <v>导航路线偏好</v>
      </c>
      <c r="E348" s="22" t="str">
        <v>0=综合推荐, 1=时间最短, 2=少收费, 3=躲避拥堵, 4=避开高速, 5=大路优先, 6=高速优先，7=高速优先，7=AI兜风推荐</v>
      </c>
      <c r="G348" s="14" t="str">
        <v>DZT0121</v>
      </c>
      <c r="H348" s="14" t="str">
        <v>座舱内部</v>
      </c>
      <c r="I348" s="15" t="str">
        <v>CDC内部</v>
      </c>
      <c r="J348" s="15" t="str">
        <v>导航模块</v>
      </c>
      <c r="K348" s="15" t="str">
        <v>充电管家; 行程管家; 出行主动服务</v>
      </c>
      <c r="P348" s="15" t="str">
        <v>P0</v>
      </c>
      <c r="Q348" s="16">
        <v>6.6</v>
      </c>
      <c r="R348" s="17" t="str">
        <v>—（无需跨域接口）</v>
      </c>
      <c r="S348" s="14" t="str">
        <v>Pre-OTS版本-0804座舱转测</v>
      </c>
      <c r="X348" s="14" t="str">
        <v>ACS06地图导航</v>
      </c>
      <c r="Y348" s="20" t="inlineStr">
        <is>
          <r>
            <t>@冯艺玮</t>
          </r>
        </is>
      </c>
    </row>
    <row r="349" spans="3:25">
      <c r="C349" s="21" t="str">
        <v>路线信息</v>
      </c>
      <c r="D349" s="22" t="str">
        <v>导航路线总距离值</v>
      </c>
      <c r="E349" s="22" t="str">
        <v>0~999999999 m</v>
      </c>
      <c r="G349" s="14" t="str">
        <v>DZT0122</v>
      </c>
      <c r="H349" s="14" t="str">
        <v>座舱内部</v>
      </c>
      <c r="I349" s="15" t="str">
        <v>CDC内部</v>
      </c>
      <c r="J349" s="15" t="str">
        <v>导航模块</v>
      </c>
      <c r="K349" s="15" t="str">
        <v>充电管家; 行程管家; 出行主动服务</v>
      </c>
      <c r="P349" s="15" t="str">
        <v>P0</v>
      </c>
      <c r="Q349" s="16">
        <v>6.6</v>
      </c>
      <c r="R349" s="17" t="str">
        <v>—（无需跨域接口）</v>
      </c>
      <c r="S349" s="14" t="str">
        <v>Pre-OTS版本-0804座舱转测</v>
      </c>
      <c r="X349" s="14" t="str">
        <v>ACS06地图导航</v>
      </c>
      <c r="Y349" s="20" t="inlineStr">
        <is>
          <r>
            <t>@冯艺玮</t>
          </r>
        </is>
      </c>
    </row>
    <row r="350" spans="3:25">
      <c r="C350" s="21" t="str">
        <v>路线信息</v>
      </c>
      <c r="D350" s="22" t="str">
        <v>导航路线总时长值</v>
      </c>
      <c r="E350" s="22" t="str">
        <v>0~6553599 min</v>
      </c>
      <c r="G350" s="14" t="str">
        <v>DZT0123</v>
      </c>
      <c r="H350" s="14" t="str">
        <v>座舱内部</v>
      </c>
      <c r="I350" s="15" t="str">
        <v>CDC内部</v>
      </c>
      <c r="J350" s="15" t="str">
        <v>导航模块</v>
      </c>
      <c r="K350" s="15" t="str">
        <v>充电管家; 行程管家; 出行主动服务</v>
      </c>
      <c r="P350" s="15" t="str">
        <v>P0</v>
      </c>
      <c r="Q350" s="16">
        <v>6.6</v>
      </c>
      <c r="R350" s="17" t="str">
        <v>—（无需跨域接口）</v>
      </c>
      <c r="S350" s="14" t="str">
        <v>Pre-OTS版本-0804座舱转测</v>
      </c>
      <c r="X350" s="14" t="str">
        <v>ACS06地图导航</v>
      </c>
      <c r="Y350" s="20" t="inlineStr">
        <is>
          <r>
            <t>@冯艺玮</t>
          </r>
        </is>
      </c>
    </row>
    <row r="351" spans="3:25">
      <c r="C351" s="21" t="str">
        <v>路线信息</v>
      </c>
      <c r="D351" s="22" t="str">
        <v>导航剩余红绿灯数量</v>
      </c>
      <c r="E351" s="22" t="str">
        <v>0~65535个</v>
      </c>
      <c r="G351" s="14" t="str">
        <v>DZT0124</v>
      </c>
      <c r="H351" s="14" t="str">
        <v>座舱内部</v>
      </c>
      <c r="I351" s="15" t="str">
        <v>CDC内部</v>
      </c>
      <c r="J351" s="15" t="str">
        <v>导航模块</v>
      </c>
      <c r="K351" s="15" t="str">
        <v>充电管家; 行程管家; 出行主动服务</v>
      </c>
      <c r="P351" s="15" t="str">
        <v>P0</v>
      </c>
      <c r="Q351" s="16">
        <v>6.6</v>
      </c>
      <c r="R351" s="17" t="str">
        <v>—（无需跨域接口）</v>
      </c>
      <c r="S351" s="14" t="str">
        <v>Pre-OTS版本-0804座舱转测</v>
      </c>
      <c r="X351" s="14" t="str">
        <v>ACS06地图导航</v>
      </c>
      <c r="Y351" s="20" t="inlineStr">
        <is>
          <r>
            <t>@冯艺玮</t>
          </r>
        </is>
      </c>
    </row>
    <row r="352" spans="3:25">
      <c r="C352" s="21" t="str">
        <v>路线信息</v>
      </c>
      <c r="D352" s="22" t="str">
        <v>导航路口红灯剩余时长</v>
      </c>
      <c r="E352" s="22" t="str">
        <v>多少s</v>
      </c>
      <c r="G352" s="14" t="str">
        <v>DZT0125</v>
      </c>
      <c r="H352" s="14" t="str">
        <v>座舱内部</v>
      </c>
      <c r="I352" s="15" t="str">
        <v>CDC内部</v>
      </c>
      <c r="J352" s="15" t="str">
        <v>导航模块</v>
      </c>
      <c r="K352" s="15" t="str">
        <v>充电管家; 行程管家; 出行主动服务</v>
      </c>
      <c r="P352" s="15" t="str">
        <v>P0</v>
      </c>
      <c r="Q352" s="16">
        <v>6.6</v>
      </c>
      <c r="R352" s="17" t="str">
        <v>—（无需跨域接口）</v>
      </c>
      <c r="S352" s="14" t="str">
        <v>Pre-OTS版本-0804座舱转测</v>
      </c>
      <c r="X352" s="14" t="str">
        <v>ACS06地图导航</v>
      </c>
      <c r="Y352" s="20" t="inlineStr">
        <is>
          <r>
            <t>@冯艺玮</t>
          </r>
        </is>
      </c>
    </row>
    <row r="353" spans="3:25">
      <c r="C353" s="21" t="str">
        <v>路线信息</v>
      </c>
      <c r="D353" s="22" t="str">
        <v>拥堵程度</v>
      </c>
      <c r="E353" s="22" t="str">
        <v>红 黄 绿</v>
      </c>
      <c r="G353" s="14" t="str">
        <v>DZT0126</v>
      </c>
      <c r="H353" s="14" t="str">
        <v>座舱内部</v>
      </c>
      <c r="I353" s="15" t="str">
        <v>CDC内部</v>
      </c>
      <c r="J353" s="15" t="str">
        <v>导航模块</v>
      </c>
      <c r="K353" s="15" t="str">
        <v>充电管家; 行程管家; 出行主动服务</v>
      </c>
      <c r="P353" s="15" t="str">
        <v>P0</v>
      </c>
      <c r="Q353" s="16">
        <v>6.6</v>
      </c>
      <c r="R353" s="17" t="str">
        <v>—（无需跨域接口）</v>
      </c>
      <c r="S353" s="14" t="str">
        <v>Pre-OTS版本-0804座舱转测</v>
      </c>
      <c r="X353" s="14" t="str">
        <v>ACS06地图导航</v>
      </c>
      <c r="Y353" s="20" t="inlineStr">
        <is>
          <r>
            <t>@冯艺玮</t>
          </r>
        </is>
      </c>
    </row>
    <row r="354" spans="3:25">
      <c r="C354" s="21" t="str">
        <v>路线信息</v>
      </c>
      <c r="D354" s="22" t="str">
        <v>拥堵时间</v>
      </c>
      <c r="E354" s="22" t="str">
        <v>多少min</v>
      </c>
      <c r="G354" s="14" t="str">
        <v>DZT0127</v>
      </c>
      <c r="H354" s="14" t="str">
        <v>座舱内部</v>
      </c>
      <c r="I354" s="15" t="str">
        <v>CDC内部</v>
      </c>
      <c r="J354" s="15" t="str">
        <v>导航模块</v>
      </c>
      <c r="K354" s="15" t="str">
        <v>充电管家; 行程管家; 出行主动服务</v>
      </c>
      <c r="P354" s="15" t="str">
        <v>P0</v>
      </c>
      <c r="Q354" s="16">
        <v>6.6</v>
      </c>
      <c r="R354" s="17" t="str">
        <v>—（无需跨域接口）</v>
      </c>
      <c r="S354" s="14" t="str">
        <v>Pre-OTS版本-0804座舱转测</v>
      </c>
      <c r="X354" s="14" t="str">
        <v>ACS06地图导航</v>
      </c>
      <c r="Y354" s="20" t="inlineStr">
        <is>
          <r>
            <t>@冯艺玮</t>
          </r>
        </is>
      </c>
    </row>
    <row r="355" spans="3:25">
      <c r="C355" s="21" t="str">
        <v>路线信息</v>
      </c>
      <c r="D355" s="22" t="str">
        <v>拥堵距离</v>
      </c>
      <c r="E355" s="22" t="str">
        <v>多少m</v>
      </c>
      <c r="G355" s="14" t="str">
        <v>DZT0128</v>
      </c>
      <c r="H355" s="14" t="str">
        <v>座舱内部</v>
      </c>
      <c r="I355" s="15" t="str">
        <v>CDC内部</v>
      </c>
      <c r="J355" s="15" t="str">
        <v>导航模块</v>
      </c>
      <c r="K355" s="15" t="str">
        <v>充电管家; 行程管家; 出行主动服务</v>
      </c>
      <c r="P355" s="15" t="str">
        <v>P0</v>
      </c>
      <c r="Q355" s="16">
        <v>6.6</v>
      </c>
      <c r="R355" s="17" t="str">
        <v>—（无需跨域接口）</v>
      </c>
      <c r="S355" s="14" t="str">
        <v>Pre-OTS版本-0804座舱转测</v>
      </c>
      <c r="X355" s="14" t="str">
        <v>ACS06地图导航</v>
      </c>
      <c r="Y355" s="20" t="inlineStr">
        <is>
          <r>
            <t>@冯艺玮</t>
          </r>
        </is>
      </c>
    </row>
    <row r="356" spans="3:25">
      <c r="C356" s="21" t="str">
        <v>路线信息</v>
      </c>
      <c r="D356" s="22" t="str">
        <v>当前位置离拥堵点距离</v>
      </c>
      <c r="E356" s="22" t="str">
        <v>多少m</v>
      </c>
      <c r="G356" s="14" t="str">
        <v>DZT0129</v>
      </c>
      <c r="H356" s="14" t="str">
        <v>座舱内部</v>
      </c>
      <c r="I356" s="15" t="str">
        <v>CDC内部</v>
      </c>
      <c r="J356" s="15" t="str">
        <v>导航模块</v>
      </c>
      <c r="K356" s="15" t="str">
        <v>充电管家; 行程管家; 出行主动服务</v>
      </c>
      <c r="P356" s="15" t="str">
        <v>P0</v>
      </c>
      <c r="Q356" s="16">
        <v>6.6</v>
      </c>
      <c r="R356" s="17" t="str">
        <v>—（无需跨域接口）</v>
      </c>
      <c r="S356" s="14" t="str">
        <v>Pre-OTS版本-0804座舱转测</v>
      </c>
      <c r="X356" s="14" t="str">
        <v>ACS06地图导航</v>
      </c>
      <c r="Y356" s="20" t="inlineStr">
        <is>
          <r>
            <t>@冯艺玮</t>
          </r>
        </is>
      </c>
    </row>
    <row r="357" spans="3:25">
      <c r="C357" s="21" t="str">
        <v>路线信息</v>
      </c>
      <c r="D357" s="22" t="str">
        <v>导航高速下一出口距离值</v>
      </c>
      <c r="E357" s="22" t="str">
        <v>0~999999 m</v>
      </c>
      <c r="G357" s="14" t="str">
        <v>DZT0130</v>
      </c>
      <c r="H357" s="14" t="str">
        <v>座舱内部</v>
      </c>
      <c r="I357" s="15" t="str">
        <v>CDC内部</v>
      </c>
      <c r="J357" s="15" t="str">
        <v>导航模块</v>
      </c>
      <c r="K357" s="15" t="str">
        <v>充电管家; 行程管家; 出行主动服务</v>
      </c>
      <c r="P357" s="15" t="str">
        <v>P0</v>
      </c>
      <c r="Q357" s="16">
        <v>6.6</v>
      </c>
      <c r="R357" s="17" t="str">
        <v>—（无需跨域接口）</v>
      </c>
      <c r="S357" s="14" t="str">
        <v>Pre-OTS版本-0804座舱转测</v>
      </c>
      <c r="X357" s="14" t="str">
        <v>ACS06地图导航</v>
      </c>
      <c r="Y357" s="20" t="inlineStr">
        <is>
          <r>
            <t>@冯艺玮</t>
          </r>
        </is>
      </c>
    </row>
    <row r="358" spans="3:25">
      <c r="C358" s="21" t="str">
        <v>路线信息</v>
      </c>
      <c r="D358" s="22" t="str">
        <v>导航高速下一出口时长值</v>
      </c>
      <c r="E358" s="22" t="str">
        <v>0~65535 min</v>
      </c>
      <c r="G358" s="14" t="str">
        <v>DZT0131</v>
      </c>
      <c r="H358" s="14" t="str">
        <v>座舱内部</v>
      </c>
      <c r="I358" s="15" t="str">
        <v>CDC内部</v>
      </c>
      <c r="J358" s="15" t="str">
        <v>导航模块</v>
      </c>
      <c r="K358" s="15" t="str">
        <v>充电管家; 行程管家; 出行主动服务</v>
      </c>
      <c r="P358" s="15" t="str">
        <v>P0</v>
      </c>
      <c r="Q358" s="16">
        <v>6.6</v>
      </c>
      <c r="R358" s="17" t="str">
        <v>—（无需跨域接口）</v>
      </c>
      <c r="S358" s="14" t="str">
        <v>Pre-OTS版本-0804座舱转测</v>
      </c>
      <c r="X358" s="14" t="str">
        <v>ACS06地图导航</v>
      </c>
      <c r="Y358" s="20" t="inlineStr">
        <is>
          <r>
            <t>@冯艺玮</t>
          </r>
        </is>
      </c>
    </row>
    <row r="359" spans="3:25">
      <c r="C359" s="21" t="str">
        <v>路线信息</v>
      </c>
      <c r="D359" s="22" t="str">
        <v>导航下一收费站距离值</v>
      </c>
      <c r="E359" s="22" t="str">
        <v>0~999999 m</v>
      </c>
      <c r="G359" s="14" t="str">
        <v>DZT0132</v>
      </c>
      <c r="H359" s="14" t="str">
        <v>座舱内部</v>
      </c>
      <c r="I359" s="15" t="str">
        <v>CDC内部</v>
      </c>
      <c r="J359" s="15" t="str">
        <v>导航模块</v>
      </c>
      <c r="K359" s="15" t="str">
        <v>充电管家; 行程管家; 出行主动服务</v>
      </c>
      <c r="P359" s="15" t="str">
        <v>P0</v>
      </c>
      <c r="Q359" s="16">
        <v>6.6</v>
      </c>
      <c r="R359" s="17" t="str">
        <v>—（无需跨域接口）</v>
      </c>
      <c r="S359" s="14" t="str">
        <v>Pre-OTS版本-0804座舱转测</v>
      </c>
      <c r="X359" s="14" t="str">
        <v>ACS06地图导航</v>
      </c>
      <c r="Y359" s="20" t="inlineStr">
        <is>
          <r>
            <t>@冯艺玮</t>
          </r>
        </is>
      </c>
    </row>
    <row r="360" spans="3:25">
      <c r="C360" s="21" t="str">
        <v>途经点信息</v>
      </c>
      <c r="D360" s="22" t="str">
        <v>导航途经点数量</v>
      </c>
      <c r="E360" s="22" t="str">
        <v>0~5 (上限待研发确认)</v>
      </c>
      <c r="G360" s="14" t="str">
        <v>DZT0133</v>
      </c>
      <c r="H360" s="14" t="str">
        <v>座舱内部</v>
      </c>
      <c r="I360" s="15" t="str">
        <v>CDC内部</v>
      </c>
      <c r="J360" s="15" t="str">
        <v>导航模块</v>
      </c>
      <c r="K360" s="15" t="str">
        <v>充电管家; 行程管家; 出行主动服务</v>
      </c>
      <c r="P360" s="15" t="str">
        <v>P0</v>
      </c>
      <c r="Q360" s="16">
        <v>6.6</v>
      </c>
      <c r="R360" s="17" t="str">
        <v>—（无需跨域接口）</v>
      </c>
      <c r="S360" s="14" t="str">
        <v>Pre-OTS版本-0804座舱转测</v>
      </c>
      <c r="X360" s="14" t="str">
        <v>ACS06地图导航</v>
      </c>
      <c r="Y360" s="20" t="inlineStr">
        <is>
          <r>
            <t>@冯艺玮</t>
          </r>
        </is>
      </c>
    </row>
    <row r="361" spans="3:25">
      <c r="C361" s="21" t="str">
        <v>途经点信息</v>
      </c>
      <c r="D361" s="22" t="str">
        <v>导航途经点1名称</v>
      </c>
      <c r="E361" s="22" t="str">
        <v>String, 最长64字符 (UTF-8)</v>
      </c>
      <c r="G361" s="14" t="str">
        <v>DZT0134</v>
      </c>
      <c r="H361" s="14" t="str">
        <v>座舱内部</v>
      </c>
      <c r="I361" s="15" t="str">
        <v>CDC内部</v>
      </c>
      <c r="J361" s="15" t="str">
        <v>导航模块</v>
      </c>
      <c r="K361" s="15" t="str">
        <v>充电管家; 行程管家; 出行主动服务</v>
      </c>
      <c r="P361" s="15" t="str">
        <v>P0</v>
      </c>
      <c r="Q361" s="16">
        <v>6.6</v>
      </c>
      <c r="R361" s="17" t="str">
        <v>—（无需跨域接口）</v>
      </c>
      <c r="S361" s="14" t="str">
        <v>Pre-OTS版本-0804座舱转测</v>
      </c>
      <c r="X361" s="14" t="str">
        <v>ACS06地图导航</v>
      </c>
      <c r="Y361" s="20" t="inlineStr">
        <is>
          <r>
            <t>@冯艺玮</t>
          </r>
        </is>
      </c>
    </row>
    <row r="362" spans="3:25">
      <c r="C362" s="21" t="str">
        <v>途经点信息</v>
      </c>
      <c r="D362" s="22" t="str">
        <v>导航到途经点1距离值</v>
      </c>
      <c r="E362" s="22" t="str">
        <v>0~999999 m</v>
      </c>
      <c r="G362" s="14" t="str">
        <v>DZT0135</v>
      </c>
      <c r="H362" s="14" t="str">
        <v>座舱内部</v>
      </c>
      <c r="I362" s="15" t="str">
        <v>CDC内部</v>
      </c>
      <c r="J362" s="15" t="str">
        <v>导航模块</v>
      </c>
      <c r="K362" s="15" t="str">
        <v>充电管家; 行程管家; 出行主动服务</v>
      </c>
      <c r="P362" s="15" t="str">
        <v>P0</v>
      </c>
      <c r="Q362" s="16">
        <v>6.6</v>
      </c>
      <c r="R362" s="17" t="str">
        <v>—（无需跨域接口）</v>
      </c>
      <c r="S362" s="14" t="str">
        <v>Pre-OTS版本-0804座舱转测</v>
      </c>
      <c r="X362" s="14" t="str">
        <v>ACS06地图导航</v>
      </c>
      <c r="Y362" s="20" t="inlineStr">
        <is>
          <r>
            <t>@冯艺玮</t>
          </r>
        </is>
      </c>
    </row>
    <row r="363" spans="3:25">
      <c r="C363" s="21" t="str">
        <v>途经点信息</v>
      </c>
      <c r="D363" s="22" t="str">
        <v>导航到途经点1时长值</v>
      </c>
      <c r="E363" s="22" t="str">
        <v>0~65535 min</v>
      </c>
      <c r="G363" s="14" t="str">
        <v>DZT0136</v>
      </c>
      <c r="H363" s="14" t="str">
        <v>座舱内部</v>
      </c>
      <c r="I363" s="15" t="str">
        <v>CDC内部</v>
      </c>
      <c r="J363" s="15" t="str">
        <v>导航模块</v>
      </c>
      <c r="K363" s="15" t="str">
        <v>充电管家; 行程管家; 出行主动服务</v>
      </c>
      <c r="P363" s="15" t="str">
        <v>P0</v>
      </c>
      <c r="Q363" s="16">
        <v>6.6</v>
      </c>
      <c r="R363" s="17" t="str">
        <v>—（无需跨域接口）</v>
      </c>
      <c r="S363" s="14" t="str">
        <v>Pre-OTS版本-0804座舱转测</v>
      </c>
      <c r="X363" s="14" t="str">
        <v>ACS06地图导航</v>
      </c>
      <c r="Y363" s="20" t="inlineStr">
        <is>
          <r>
            <t>@冯艺玮</t>
          </r>
        </is>
      </c>
    </row>
    <row r="364" spans="3:25">
      <c r="C364" s="21" t="str">
        <v>途经点信息</v>
      </c>
      <c r="D364" s="22" t="str">
        <v>导航到途经点1预估SOC值</v>
      </c>
      <c r="E364" s="22" t="str">
        <v>0~100%, 步长0.5%</v>
      </c>
      <c r="G364" s="14" t="str">
        <v>DZT0137</v>
      </c>
      <c r="H364" s="14" t="str">
        <v>座舱内部</v>
      </c>
      <c r="I364" s="15" t="str">
        <v>CDC内部</v>
      </c>
      <c r="J364" s="15" t="str">
        <v>导航模块</v>
      </c>
      <c r="K364" s="15" t="str">
        <v>充电管家; 行程管家; 出行主动服务</v>
      </c>
      <c r="P364" s="15" t="str">
        <v>P0</v>
      </c>
      <c r="Q364" s="16">
        <v>6.6</v>
      </c>
      <c r="R364" s="17" t="str">
        <v>—（无需跨域接口）</v>
      </c>
      <c r="S364" s="14" t="str">
        <v>Pre-OTS版本-0804座舱转测</v>
      </c>
      <c r="X364" s="14" t="str">
        <v>ACS06地图导航</v>
      </c>
      <c r="Y364" s="20" t="inlineStr">
        <is>
          <r>
            <t>@冯艺玮</t>
          </r>
        </is>
      </c>
    </row>
    <row r="365" spans="3:25">
      <c r="C365" s="21" t="str">
        <v>途经点信息</v>
      </c>
      <c r="D365" s="22" t="str">
        <v>导航途经点2名称</v>
      </c>
      <c r="E365" s="22" t="str">
        <v>String, 最长64字符 (UTF-8)</v>
      </c>
      <c r="G365" s="14" t="str">
        <v>DZT0138</v>
      </c>
      <c r="H365" s="14" t="str">
        <v>座舱内部</v>
      </c>
      <c r="I365" s="15" t="str">
        <v>CDC内部</v>
      </c>
      <c r="J365" s="15" t="str">
        <v>导航模块</v>
      </c>
      <c r="K365" s="15" t="str">
        <v>充电管家; 行程管家; 出行主动服务</v>
      </c>
      <c r="P365" s="15" t="str">
        <v>P0</v>
      </c>
      <c r="Q365" s="16">
        <v>6.6</v>
      </c>
      <c r="R365" s="17" t="str">
        <v>—（无需跨域接口）</v>
      </c>
      <c r="S365" s="14" t="str">
        <v>Pre-OTS版本-0804座舱转测</v>
      </c>
      <c r="X365" s="14" t="str">
        <v>ACS06地图导航</v>
      </c>
      <c r="Y365" s="20" t="inlineStr">
        <is>
          <r>
            <t>@冯艺玮</t>
          </r>
        </is>
      </c>
    </row>
    <row r="366" spans="3:25">
      <c r="C366" s="21" t="str">
        <v>途经点信息</v>
      </c>
      <c r="D366" s="22" t="str">
        <v>导航到途经点2距离值</v>
      </c>
      <c r="E366" s="22" t="str">
        <v>0~999999 m</v>
      </c>
      <c r="G366" s="14" t="str">
        <v>DZT0139</v>
      </c>
      <c r="H366" s="14" t="str">
        <v>座舱内部</v>
      </c>
      <c r="I366" s="15" t="str">
        <v>CDC内部</v>
      </c>
      <c r="J366" s="15" t="str">
        <v>导航模块</v>
      </c>
      <c r="K366" s="15" t="str">
        <v>充电管家; 行程管家; 出行主动服务</v>
      </c>
      <c r="P366" s="15" t="str">
        <v>P0</v>
      </c>
      <c r="Q366" s="16">
        <v>6.6</v>
      </c>
      <c r="R366" s="17" t="str">
        <v>—（无需跨域接口）</v>
      </c>
      <c r="S366" s="14" t="str">
        <v>Pre-OTS版本-0804座舱转测</v>
      </c>
      <c r="X366" s="14" t="str">
        <v>ACS06地图导航</v>
      </c>
      <c r="Y366" s="20" t="inlineStr">
        <is>
          <r>
            <t>@冯艺玮</t>
          </r>
        </is>
      </c>
    </row>
    <row r="367" spans="3:25">
      <c r="C367" s="21" t="str">
        <v>途经点信息</v>
      </c>
      <c r="D367" s="22" t="str">
        <v>导航到途经点2时长值</v>
      </c>
      <c r="E367" s="22" t="str">
        <v>0~65535 min</v>
      </c>
      <c r="G367" s="14" t="str">
        <v>DZT0140</v>
      </c>
      <c r="H367" s="14" t="str">
        <v>座舱内部</v>
      </c>
      <c r="I367" s="15" t="str">
        <v>CDC内部</v>
      </c>
      <c r="J367" s="15" t="str">
        <v>导航模块</v>
      </c>
      <c r="K367" s="15" t="str">
        <v>充电管家; 行程管家; 出行主动服务</v>
      </c>
      <c r="P367" s="15" t="str">
        <v>P0</v>
      </c>
      <c r="Q367" s="16">
        <v>6.6</v>
      </c>
      <c r="R367" s="17" t="str">
        <v>—（无需跨域接口）</v>
      </c>
      <c r="S367" s="14" t="str">
        <v>Pre-OTS版本-0804座舱转测</v>
      </c>
      <c r="X367" s="14" t="str">
        <v>ACS06地图导航</v>
      </c>
      <c r="Y367" s="20" t="inlineStr">
        <is>
          <r>
            <t>@冯艺玮</t>
          </r>
        </is>
      </c>
    </row>
    <row r="368" spans="3:25">
      <c r="C368" s="21" t="str">
        <v>途经点信息</v>
      </c>
      <c r="D368" s="22" t="str">
        <v>导航到途经点2预估SOC值</v>
      </c>
      <c r="E368" s="22" t="str">
        <v>0~100%, 步长0.5%</v>
      </c>
      <c r="G368" s="14" t="str">
        <v>DZT0141</v>
      </c>
      <c r="H368" s="14" t="str">
        <v>座舱内部</v>
      </c>
      <c r="I368" s="15" t="str">
        <v>CDC内部</v>
      </c>
      <c r="J368" s="15" t="str">
        <v>导航模块</v>
      </c>
      <c r="K368" s="15" t="str">
        <v>充电管家; 行程管家; 出行主动服务</v>
      </c>
      <c r="P368" s="15" t="str">
        <v>P0</v>
      </c>
      <c r="Q368" s="16">
        <v>6.6</v>
      </c>
      <c r="R368" s="17" t="str">
        <v>—（无需跨域接口）</v>
      </c>
      <c r="S368" s="14" t="str">
        <v>Pre-OTS版本-0804座舱转测</v>
      </c>
      <c r="X368" s="14" t="str">
        <v>ACS06地图导航</v>
      </c>
      <c r="Y368" s="20" t="inlineStr">
        <is>
          <r>
            <t>@冯艺玮</t>
          </r>
        </is>
      </c>
    </row>
    <row r="369" spans="3:25">
      <c r="C369" s="21" t="str">
        <v>途经点信息</v>
      </c>
      <c r="D369" s="22" t="str">
        <v>导航途经点3名称</v>
      </c>
      <c r="E369" s="22" t="str">
        <v>String, 最长64字符 (UTF-8)</v>
      </c>
      <c r="G369" s="14" t="str">
        <v>DZT0142</v>
      </c>
      <c r="H369" s="14" t="str">
        <v>座舱内部</v>
      </c>
      <c r="I369" s="15" t="str">
        <v>CDC内部</v>
      </c>
      <c r="J369" s="15" t="str">
        <v>导航模块</v>
      </c>
      <c r="K369" s="15" t="str">
        <v>充电管家; 行程管家; 出行主动服务</v>
      </c>
      <c r="P369" s="15" t="str">
        <v>P0</v>
      </c>
      <c r="Q369" s="16">
        <v>6.6</v>
      </c>
      <c r="R369" s="17" t="str">
        <v>—（无需跨域接口）</v>
      </c>
      <c r="S369" s="14" t="str">
        <v>Pre-OTS版本-0804座舱转测</v>
      </c>
      <c r="X369" s="14" t="str">
        <v>ACS06地图导航</v>
      </c>
      <c r="Y369" s="20" t="inlineStr">
        <is>
          <r>
            <t>@冯艺玮</t>
          </r>
        </is>
      </c>
    </row>
    <row r="370" spans="3:25">
      <c r="C370" s="21" t="str">
        <v>途经点信息</v>
      </c>
      <c r="D370" s="22" t="str">
        <v>导航到途经点3距离值</v>
      </c>
      <c r="E370" s="22" t="str">
        <v>0~999999 m</v>
      </c>
      <c r="G370" s="14" t="str">
        <v>DZT0143</v>
      </c>
      <c r="H370" s="14" t="str">
        <v>座舱内部</v>
      </c>
      <c r="I370" s="15" t="str">
        <v>CDC内部</v>
      </c>
      <c r="J370" s="15" t="str">
        <v>导航模块</v>
      </c>
      <c r="K370" s="15" t="str">
        <v>充电管家; 行程管家; 出行主动服务</v>
      </c>
      <c r="P370" s="15" t="str">
        <v>P0</v>
      </c>
      <c r="Q370" s="16">
        <v>6.6</v>
      </c>
      <c r="R370" s="17" t="str">
        <v>—（无需跨域接口）</v>
      </c>
      <c r="S370" s="14" t="str">
        <v>Pre-OTS版本-0804座舱转测</v>
      </c>
      <c r="X370" s="14" t="str">
        <v>ACS06地图导航</v>
      </c>
      <c r="Y370" s="20" t="inlineStr">
        <is>
          <r>
            <t>@冯艺玮</t>
          </r>
        </is>
      </c>
    </row>
    <row r="371" spans="3:25">
      <c r="C371" s="21" t="str">
        <v>途经点信息</v>
      </c>
      <c r="D371" s="22" t="str">
        <v>导航到途经点3时长值</v>
      </c>
      <c r="E371" s="22" t="str">
        <v>0~65535 min</v>
      </c>
      <c r="G371" s="14" t="str">
        <v>DZT0144</v>
      </c>
      <c r="H371" s="14" t="str">
        <v>座舱内部</v>
      </c>
      <c r="I371" s="15" t="str">
        <v>CDC内部</v>
      </c>
      <c r="J371" s="15" t="str">
        <v>导航模块</v>
      </c>
      <c r="K371" s="15" t="str">
        <v>充电管家; 行程管家; 出行主动服务</v>
      </c>
      <c r="P371" s="15" t="str">
        <v>P0</v>
      </c>
      <c r="Q371" s="16">
        <v>6.6</v>
      </c>
      <c r="R371" s="17" t="str">
        <v>—（无需跨域接口）</v>
      </c>
      <c r="S371" s="14" t="str">
        <v>Pre-OTS版本-0804座舱转测</v>
      </c>
      <c r="X371" s="14" t="str">
        <v>ACS06地图导航</v>
      </c>
      <c r="Y371" s="20" t="inlineStr">
        <is>
          <r>
            <t>@冯艺玮</t>
          </r>
        </is>
      </c>
    </row>
    <row r="372" spans="3:25">
      <c r="C372" s="21" t="str">
        <v>途经点信息</v>
      </c>
      <c r="D372" s="22" t="str">
        <v>导航到途经点3预估SOC值</v>
      </c>
      <c r="E372" s="22" t="str">
        <v>0~100%, 步长0.5%</v>
      </c>
      <c r="G372" s="14" t="str">
        <v>DZT0145</v>
      </c>
      <c r="H372" s="14" t="str">
        <v>座舱内部</v>
      </c>
      <c r="I372" s="15" t="str">
        <v>CDC内部</v>
      </c>
      <c r="J372" s="15" t="str">
        <v>导航模块</v>
      </c>
      <c r="K372" s="15" t="str">
        <v>充电管家; 行程管家; 出行主动服务</v>
      </c>
      <c r="P372" s="15" t="str">
        <v>P0</v>
      </c>
      <c r="Q372" s="16">
        <v>6.6</v>
      </c>
      <c r="R372" s="17" t="str">
        <v>—（无需跨域接口）</v>
      </c>
      <c r="S372" s="14" t="str">
        <v>Pre-OTS版本-0804座舱转测</v>
      </c>
      <c r="X372" s="14" t="str">
        <v>ACS06地图导航</v>
      </c>
      <c r="Y372" s="20" t="inlineStr">
        <is>
          <r>
            <t>@冯艺玮</t>
          </r>
        </is>
      </c>
    </row>
    <row r="373" spans="3:25">
      <c r="C373" s="21" t="str">
        <v>途经点信息</v>
      </c>
      <c r="D373" s="22" t="str">
        <v>导航途经点4名称</v>
      </c>
      <c r="E373" s="22" t="str">
        <v>String, 最长64字符 (UTF-8)</v>
      </c>
      <c r="G373" s="14" t="str">
        <v>DZT0146</v>
      </c>
      <c r="H373" s="14" t="str">
        <v>座舱内部</v>
      </c>
      <c r="I373" s="15" t="str">
        <v>CDC内部</v>
      </c>
      <c r="J373" s="15" t="str">
        <v>导航模块</v>
      </c>
      <c r="K373" s="15" t="str">
        <v>充电管家; 行程管家; 出行主动服务</v>
      </c>
      <c r="P373" s="15" t="str">
        <v>P0</v>
      </c>
      <c r="Q373" s="16">
        <v>6.6</v>
      </c>
      <c r="R373" s="17" t="str">
        <v>—（无需跨域接口）</v>
      </c>
      <c r="S373" s="14" t="str">
        <v>Pre-OTS版本-0804座舱转测</v>
      </c>
      <c r="X373" s="14" t="str">
        <v>ACS06地图导航</v>
      </c>
      <c r="Y373" s="20" t="inlineStr">
        <is>
          <r>
            <t>@冯艺玮</t>
          </r>
        </is>
      </c>
    </row>
    <row r="374" spans="3:25">
      <c r="C374" s="21" t="str">
        <v>途经点信息</v>
      </c>
      <c r="D374" s="22" t="str">
        <v>导航到途经点4距离值</v>
      </c>
      <c r="E374" s="22" t="str">
        <v>0~999999 m</v>
      </c>
      <c r="G374" s="14" t="str">
        <v>DZT0147</v>
      </c>
      <c r="H374" s="14" t="str">
        <v>座舱内部</v>
      </c>
      <c r="I374" s="15" t="str">
        <v>CDC内部</v>
      </c>
      <c r="J374" s="15" t="str">
        <v>导航模块</v>
      </c>
      <c r="K374" s="15" t="str">
        <v>充电管家; 行程管家; 出行主动服务</v>
      </c>
      <c r="P374" s="15" t="str">
        <v>P0</v>
      </c>
      <c r="Q374" s="16">
        <v>6.6</v>
      </c>
      <c r="R374" s="17" t="str">
        <v>—（无需跨域接口）</v>
      </c>
      <c r="S374" s="14" t="str">
        <v>Pre-OTS版本-0804座舱转测</v>
      </c>
      <c r="X374" s="14" t="str">
        <v>ACS06地图导航</v>
      </c>
      <c r="Y374" s="20" t="inlineStr">
        <is>
          <r>
            <t>@冯艺玮</t>
          </r>
        </is>
      </c>
    </row>
    <row r="375" spans="3:25">
      <c r="C375" s="21" t="str">
        <v>途经点信息</v>
      </c>
      <c r="D375" s="22" t="str">
        <v>导航到途经点4时长值</v>
      </c>
      <c r="E375" s="22" t="str">
        <v>0~65535 min</v>
      </c>
      <c r="G375" s="14" t="str">
        <v>DZT0148</v>
      </c>
      <c r="H375" s="14" t="str">
        <v>座舱内部</v>
      </c>
      <c r="I375" s="15" t="str">
        <v>CDC内部</v>
      </c>
      <c r="J375" s="15" t="str">
        <v>导航模块</v>
      </c>
      <c r="K375" s="15" t="str">
        <v>充电管家; 行程管家; 出行主动服务</v>
      </c>
      <c r="P375" s="15" t="str">
        <v>P0</v>
      </c>
      <c r="Q375" s="16">
        <v>6.6</v>
      </c>
      <c r="R375" s="17" t="str">
        <v>—（无需跨域接口）</v>
      </c>
      <c r="S375" s="14" t="str">
        <v>Pre-OTS版本-0804座舱转测</v>
      </c>
      <c r="X375" s="14" t="str">
        <v>ACS06地图导航</v>
      </c>
      <c r="Y375" s="20" t="inlineStr">
        <is>
          <r>
            <t>@冯艺玮</t>
          </r>
        </is>
      </c>
    </row>
    <row r="376" spans="3:25">
      <c r="C376" s="21" t="str">
        <v>途经点信息</v>
      </c>
      <c r="D376" s="22" t="str">
        <v>导航到途经点4预估SOC值</v>
      </c>
      <c r="E376" s="22" t="str">
        <v>0~100%, 步长0.5%</v>
      </c>
      <c r="G376" s="14" t="str">
        <v>DZT0149</v>
      </c>
      <c r="H376" s="14" t="str">
        <v>座舱内部</v>
      </c>
      <c r="I376" s="15" t="str">
        <v>CDC内部</v>
      </c>
      <c r="J376" s="15" t="str">
        <v>导航模块</v>
      </c>
      <c r="K376" s="15" t="str">
        <v>充电管家; 行程管家; 出行主动服务</v>
      </c>
      <c r="P376" s="15" t="str">
        <v>P0</v>
      </c>
      <c r="Q376" s="16">
        <v>6.6</v>
      </c>
      <c r="R376" s="17" t="str">
        <v>—（无需跨域接口）</v>
      </c>
      <c r="S376" s="14" t="str">
        <v>Pre-OTS版本-0804座舱转测</v>
      </c>
      <c r="X376" s="14" t="str">
        <v>ACS06地图导航</v>
      </c>
      <c r="Y376" s="20" t="inlineStr">
        <is>
          <r>
            <t>@冯艺玮</t>
          </r>
        </is>
      </c>
    </row>
    <row r="377" spans="3:25">
      <c r="C377" s="21" t="str">
        <v>途经点信息</v>
      </c>
      <c r="D377" s="13" t="str">
        <v>导航途径的充电站信息</v>
      </c>
      <c r="E377" s="13" t="str">
        <v>数量: 0~99; 空闲: 0~99; 功率: 0~500 kW; 状态: 0=无, 1=快充, 2=慢充, 3=超充</v>
      </c>
      <c r="G377" s="28" t="str">
        <v>DZT0516</v>
      </c>
      <c r="K377" s="26" t="str">
        <v>充电管家</v>
      </c>
      <c r="L377" s="29">
        <v>46216</v>
      </c>
      <c r="Q377" s="30">
        <v>7.15</v>
      </c>
      <c r="X377" s="28" t="str">
        <v>ACS06地图导航</v>
      </c>
      <c r="Y377" s="28" t="inlineStr">
        <is>
          <r>
            <t>@刘多</t>
          </r>
        </is>
      </c>
    </row>
    <row r="378" spans="3:25">
      <c r="C378" s="57" t="str">
        <v>途经点信息</v>
      </c>
      <c r="D378" s="59" t="str">
        <v>导航途径点POI类型</v>
      </c>
      <c r="E378" s="59" t="str">
        <v>0=其他, 1=餐饮, 2=充电站, 3=加油站, 4=停车场, 5=酒店, 6=景点, 7=商超, 8=服务区, 9=收费站</v>
      </c>
      <c r="K378" s="26" t="str">
        <v>出行主动服务</v>
      </c>
      <c r="Y378" s="20" t="inlineStr">
        <is>
          <r>
            <t>@冯艺玮</t>
          </r>
        </is>
      </c>
    </row>
    <row r="379" spans="3:25">
      <c r="C379" s="57" t="str">
        <v>途经点信息</v>
      </c>
      <c r="D379" s="59" t="str">
        <v>导航途径点POI详细标签</v>
      </c>
      <c r="E379" s="59" t="str">
        <v>文字标签,多个标签用“|”分割，例如咖啡店|餐厅</v>
      </c>
      <c r="K379" s="26" t="str">
        <v>出行主动服务</v>
      </c>
      <c r="Y379" s="20" t="inlineStr">
        <is>
          <r>
            <t>@冯艺玮</t>
          </r>
        </is>
      </c>
    </row>
    <row r="380" spans="3:25">
      <c r="C380" s="57" t="str">
        <v>途经点信息</v>
      </c>
      <c r="D380" s="59" t="str">
        <v>途径点匹配常用地址/收藏点</v>
      </c>
      <c r="E380" s="59" t="str">
        <v>0-未匹配收藏点，1-匹配配公司，2-匹配家，3-匹配普通收藏点</v>
      </c>
      <c r="K380" s="26" t="str">
        <v>出行主动服务</v>
      </c>
      <c r="Y380" s="20" t="inlineStr">
        <is>
          <r>
            <t>@冯艺玮</t>
          </r>
        </is>
      </c>
    </row>
    <row r="381" spans="3:25">
      <c r="C381" s="21" t="str">
        <v>服务区信息</v>
      </c>
      <c r="D381" s="22" t="str">
        <v>导航前方服务区名称</v>
      </c>
      <c r="E381" s="22" t="str">
        <v>String, 最长64字符 (UTF-8)</v>
      </c>
      <c r="G381" s="14" t="str">
        <v>DZT0150</v>
      </c>
      <c r="H381" s="14" t="str">
        <v>座舱内部</v>
      </c>
      <c r="I381" s="15" t="str">
        <v>CDC内部</v>
      </c>
      <c r="J381" s="15" t="str">
        <v>导航模块</v>
      </c>
      <c r="K381" s="15" t="str">
        <v>充电管家; 行程管家; 出行主动服务</v>
      </c>
      <c r="P381" s="15" t="str">
        <v>P0</v>
      </c>
      <c r="Q381" s="16">
        <v>6.6</v>
      </c>
      <c r="R381" s="17" t="str">
        <v>—（无需跨域接口）</v>
      </c>
      <c r="S381" s="14" t="str">
        <v>Pre-OTS版本-0804座舱转测</v>
      </c>
      <c r="X381" s="14" t="str">
        <v>ACS06地图导航</v>
      </c>
      <c r="Y381" s="20" t="inlineStr">
        <is>
          <r>
            <t>@冯艺玮</t>
          </r>
        </is>
      </c>
    </row>
    <row r="382" spans="3:25">
      <c r="C382" s="21" t="str">
        <v>服务区信息</v>
      </c>
      <c r="D382" s="22" t="str">
        <v>导航到前方服务区距离值</v>
      </c>
      <c r="E382" s="22" t="str">
        <v>0~999999 m</v>
      </c>
      <c r="G382" s="14" t="str">
        <v>DZT0151</v>
      </c>
      <c r="H382" s="14" t="str">
        <v>座舱内部</v>
      </c>
      <c r="I382" s="15" t="str">
        <v>CDC内部</v>
      </c>
      <c r="J382" s="15" t="str">
        <v>导航模块</v>
      </c>
      <c r="K382" s="15" t="str">
        <v>充电管家; 行程管家; 出行主动服务</v>
      </c>
      <c r="P382" s="15" t="str">
        <v>P0</v>
      </c>
      <c r="Q382" s="16">
        <v>6.6</v>
      </c>
      <c r="R382" s="17" t="str">
        <v>—（无需跨域接口）</v>
      </c>
      <c r="S382" s="14" t="str">
        <v>Pre-OTS版本-0804座舱转测</v>
      </c>
      <c r="X382" s="14" t="str">
        <v>ACS06地图导航</v>
      </c>
      <c r="Y382" s="20" t="inlineStr">
        <is>
          <r>
            <t>@冯艺玮</t>
          </r>
        </is>
      </c>
    </row>
    <row r="383" spans="3:25">
      <c r="C383" s="21" t="str">
        <v>服务区信息</v>
      </c>
      <c r="D383" s="22" t="str">
        <v>导航到前方服务区时长值</v>
      </c>
      <c r="E383" s="22" t="str">
        <v>0~65535 min</v>
      </c>
      <c r="G383" s="14" t="str">
        <v>DZT0152</v>
      </c>
      <c r="H383" s="14" t="str">
        <v>座舱内部</v>
      </c>
      <c r="I383" s="15" t="str">
        <v>CDC内部</v>
      </c>
      <c r="J383" s="15" t="str">
        <v>导航模块</v>
      </c>
      <c r="K383" s="15" t="str">
        <v>充电管家; 行程管家; 出行主动服务</v>
      </c>
      <c r="P383" s="15" t="str">
        <v>P0</v>
      </c>
      <c r="Q383" s="16">
        <v>6.6</v>
      </c>
      <c r="R383" s="17" t="str">
        <v>—（无需跨域接口）</v>
      </c>
      <c r="S383" s="14" t="str">
        <v>Pre-OTS版本-0804座舱转测</v>
      </c>
      <c r="X383" s="14" t="str">
        <v>ACS06地图导航</v>
      </c>
      <c r="Y383" s="20" t="inlineStr">
        <is>
          <r>
            <t>@冯艺玮</t>
          </r>
        </is>
      </c>
    </row>
    <row r="384" spans="3:25">
      <c r="C384" s="21" t="str">
        <v>服务区信息</v>
      </c>
      <c r="D384" s="22" t="str">
        <v>导航到前方服务区预估SOC值</v>
      </c>
      <c r="E384" s="22" t="str">
        <v>0~100%, 步长0.5%</v>
      </c>
      <c r="G384" s="14" t="str">
        <v>DZT0153</v>
      </c>
      <c r="H384" s="14" t="str">
        <v>座舱内部</v>
      </c>
      <c r="I384" s="15" t="str">
        <v>CDC内部</v>
      </c>
      <c r="J384" s="15" t="str">
        <v>导航模块</v>
      </c>
      <c r="K384" s="15" t="str">
        <v>充电管家; 行程管家; 出行主动服务</v>
      </c>
      <c r="P384" s="15" t="str">
        <v>P0</v>
      </c>
      <c r="Q384" s="16">
        <v>6.6</v>
      </c>
      <c r="R384" s="17" t="str">
        <v>—（无需跨域接口）</v>
      </c>
      <c r="S384" s="14" t="str">
        <v>Pre-OTS版本-0804座舱转测</v>
      </c>
      <c r="X384" s="14" t="str">
        <v>ACS06地图导航</v>
      </c>
      <c r="Y384" s="20" t="inlineStr">
        <is>
          <r>
            <t>@冯艺玮</t>
          </r>
        </is>
      </c>
    </row>
    <row r="385" spans="3:25">
      <c r="C385" s="21" t="str">
        <v>服务区信息</v>
      </c>
      <c r="D385" s="22" t="str">
        <v>导航服务区充电桩信息</v>
      </c>
      <c r="E385" s="22" t="str">
        <v>数量: 0~99; 空闲: 0~99; 功率: 0~500 kW; 状态: 0=无, 1=快充, 2=慢充, 3=超充</v>
      </c>
      <c r="G385" s="14" t="str">
        <v>DZT0154</v>
      </c>
      <c r="H385" s="14" t="str">
        <v>座舱内部</v>
      </c>
      <c r="I385" s="15" t="str">
        <v>CDC内部</v>
      </c>
      <c r="J385" s="15" t="str">
        <v>导航模块</v>
      </c>
      <c r="K385" s="15" t="str">
        <v>充电管家; 行程管家; 出行主动服务</v>
      </c>
      <c r="P385" s="15" t="str">
        <v>P0</v>
      </c>
      <c r="Q385" s="16">
        <v>6.6</v>
      </c>
      <c r="R385" s="17" t="str">
        <v>—（无需跨域接口）</v>
      </c>
      <c r="S385" s="14" t="str">
        <v>Pre-OTS版本-0804座舱转测</v>
      </c>
      <c r="X385" s="14" t="str">
        <v>ACS06地图导航</v>
      </c>
      <c r="Y385" s="20" t="inlineStr">
        <is>
          <r>
            <t>@冯艺玮</t>
          </r>
        </is>
      </c>
    </row>
    <row r="386" spans="3:25">
      <c r="C386" s="21" t="str">
        <v>服务区信息</v>
      </c>
      <c r="D386" s="22" t="str">
        <v>导航服务区充电电价值</v>
      </c>
      <c r="E386" s="22" t="str">
        <v>0~99.99 元/kWh, 步长0.01</v>
      </c>
      <c r="G386" s="14" t="str">
        <v>DZT0155</v>
      </c>
      <c r="H386" s="14" t="str">
        <v>座舱内部</v>
      </c>
      <c r="I386" s="15" t="str">
        <v>CDC内部</v>
      </c>
      <c r="J386" s="15" t="str">
        <v>导航模块</v>
      </c>
      <c r="K386" s="15" t="str">
        <v>充电管家; 行程管家; 出行主动服务</v>
      </c>
      <c r="P386" s="15" t="str">
        <v>P0</v>
      </c>
      <c r="Q386" s="16">
        <v>6.6</v>
      </c>
      <c r="R386" s="17" t="str">
        <v>—（无需跨域接口）</v>
      </c>
      <c r="S386" s="14" t="str">
        <v>Pre-OTS版本-0804座舱转测</v>
      </c>
      <c r="X386" s="14" t="str">
        <v>ACS06地图导航</v>
      </c>
      <c r="Y386" s="20" t="inlineStr">
        <is>
          <r>
            <t>@冯艺玮</t>
          </r>
        </is>
      </c>
    </row>
    <row r="387" spans="3:25">
      <c r="C387" s="21" t="str">
        <v>服务区信息</v>
      </c>
      <c r="D387" s="22" t="str">
        <v>导航服务区设施类型</v>
      </c>
      <c r="E387" s="22" t="str">
        <v>Bitmask: Bit0=充电桩, Bit1=加油站, Bit2=餐饮, Bit3=卫生间, Bit4=汽修, Bit5=购物, Bit6=住宿</v>
      </c>
      <c r="G387" s="14" t="str">
        <v>DZT0156</v>
      </c>
      <c r="H387" s="14" t="str">
        <v>座舱内部</v>
      </c>
      <c r="I387" s="15" t="str">
        <v>CDC内部</v>
      </c>
      <c r="J387" s="15" t="str">
        <v>导航模块</v>
      </c>
      <c r="K387" s="15" t="str">
        <v>充电管家; 行程管家; 出行主动服务</v>
      </c>
      <c r="P387" s="15" t="str">
        <v>P0</v>
      </c>
      <c r="Q387" s="16">
        <v>6.6</v>
      </c>
      <c r="R387" s="17" t="str">
        <v>—（无需跨域接口）</v>
      </c>
      <c r="S387" s="14" t="str">
        <v>Pre-OTS版本-0804座舱转测</v>
      </c>
      <c r="X387" s="14" t="str">
        <v>ACS06地图导航</v>
      </c>
      <c r="Y387" s="20" t="inlineStr">
        <is>
          <r>
            <t>@冯艺玮</t>
          </r>
        </is>
      </c>
    </row>
    <row r="388" spans="3:25">
      <c r="C388" s="21" t="str">
        <v>服务区信息</v>
      </c>
      <c r="D388" s="22" t="str">
        <v>导航沿途服务区数量</v>
      </c>
      <c r="E388" s="22" t="str">
        <v>0~99</v>
      </c>
      <c r="G388" s="14" t="str">
        <v>DZT0157</v>
      </c>
      <c r="H388" s="14" t="str">
        <v>座舱内部</v>
      </c>
      <c r="I388" s="15" t="str">
        <v>CDC内部</v>
      </c>
      <c r="J388" s="15" t="str">
        <v>导航模块</v>
      </c>
      <c r="K388" s="15" t="str">
        <v>充电管家; 行程管家; 出行主动服务</v>
      </c>
      <c r="P388" s="15" t="str">
        <v>P0</v>
      </c>
      <c r="Q388" s="16">
        <v>6.6</v>
      </c>
      <c r="R388" s="17" t="str">
        <v>—（无需跨域接口）</v>
      </c>
      <c r="S388" s="14" t="str">
        <v>Pre-OTS版本-0804座舱转测</v>
      </c>
      <c r="X388" s="14" t="str">
        <v>ACS06地图导航</v>
      </c>
      <c r="Y388" s="20" t="inlineStr">
        <is>
          <r>
            <t>@冯艺玮</t>
          </r>
        </is>
      </c>
    </row>
    <row r="389" spans="3:25">
      <c r="C389" s="21" t="str">
        <v>导航设置</v>
      </c>
      <c r="D389" s="22" t="str">
        <v>导航播报风格状态</v>
      </c>
      <c r="E389" s="22" t="str">
        <v>0=AI播报, 1=详细播报, 2=极简播报, 3=简洁播报,</v>
      </c>
      <c r="G389" s="14" t="str">
        <v>DZT0158</v>
      </c>
      <c r="H389" s="14" t="str">
        <v>座舱内部</v>
      </c>
      <c r="I389" s="15" t="str">
        <v>CDC内部</v>
      </c>
      <c r="J389" s="15" t="str">
        <v>导航模块</v>
      </c>
      <c r="K389" s="15" t="str">
        <v>充电管家; 行程管家; 出行主动服务</v>
      </c>
      <c r="P389" s="15" t="str">
        <v>P0</v>
      </c>
      <c r="Q389" s="16">
        <v>6.6</v>
      </c>
      <c r="R389" s="17" t="str">
        <v>—（无需跨域接口）</v>
      </c>
      <c r="S389" s="14" t="str">
        <v>Pre-OTS版本-0804座舱转测</v>
      </c>
      <c r="X389" s="14" t="str">
        <v>ACS06地图导航</v>
      </c>
      <c r="Y389" s="20" t="inlineStr">
        <is>
          <r>
            <t>@冯艺玮</t>
          </r>
        </is>
      </c>
    </row>
    <row r="390" spans="3:25">
      <c r="C390" s="21" t="str">
        <v>导航设置</v>
      </c>
      <c r="D390" s="22" t="str">
        <v>导航静音状态</v>
      </c>
      <c r="E390" s="22" t="str">
        <v>0=关闭, 1=开启</v>
      </c>
      <c r="G390" s="14" t="str">
        <v>DZT0159</v>
      </c>
      <c r="H390" s="14" t="str">
        <v>座舱内部</v>
      </c>
      <c r="I390" s="15" t="str">
        <v>CDC内部</v>
      </c>
      <c r="J390" s="15" t="str">
        <v>导航模块</v>
      </c>
      <c r="K390" s="15" t="str">
        <v>充电管家; 行程管家; 出行主动服务</v>
      </c>
      <c r="P390" s="15" t="str">
        <v>P0</v>
      </c>
      <c r="Q390" s="16">
        <v>6.6</v>
      </c>
      <c r="R390" s="17" t="str">
        <v>—（无需跨域接口）</v>
      </c>
      <c r="S390" s="14" t="str">
        <v>Pre-OTS版本-0804座舱转测</v>
      </c>
      <c r="X390" s="14" t="str">
        <v>ACS06地图导航</v>
      </c>
      <c r="Y390" s="20" t="inlineStr">
        <is>
          <r>
            <t>@冯艺玮</t>
          </r>
        </is>
      </c>
    </row>
    <row r="391" spans="3:25">
      <c r="C391" s="21" t="str">
        <v>导航设置</v>
      </c>
      <c r="D391" s="22" t="str">
        <v>导航实时路况状态</v>
      </c>
      <c r="E391" s="22" t="str">
        <v>0=关闭, 1=开启</v>
      </c>
      <c r="G391" s="14" t="str">
        <v>DZT0160</v>
      </c>
      <c r="H391" s="14" t="str">
        <v>座舱内部</v>
      </c>
      <c r="I391" s="15" t="str">
        <v>CDC内部</v>
      </c>
      <c r="J391" s="15" t="str">
        <v>导航模块</v>
      </c>
      <c r="K391" s="15" t="str">
        <v>充电管家; 行程管家; 出行主动服务</v>
      </c>
      <c r="P391" s="15" t="str">
        <v>P0</v>
      </c>
      <c r="Q391" s="16">
        <v>6.6</v>
      </c>
      <c r="R391" s="17" t="str">
        <v>—（无需跨域接口）</v>
      </c>
      <c r="S391" s="14" t="str">
        <v>Pre-OTS版本-0804座舱转测</v>
      </c>
      <c r="X391" s="14" t="str">
        <v>ACS06地图导航</v>
      </c>
      <c r="Y391" s="20" t="inlineStr">
        <is>
          <r>
            <t>@冯艺玮</t>
          </r>
        </is>
      </c>
    </row>
    <row r="392" spans="3:25">
      <c r="C392" s="21" t="str">
        <v>导航设置</v>
      </c>
      <c r="D392" s="22" t="str">
        <v>导航巡航播报状态</v>
      </c>
      <c r="E392" s="22" t="str">
        <v>0=关闭, 1=开启(=电子眼+安全提醒+实时路况)</v>
      </c>
      <c r="G392" s="14" t="str">
        <v>DZT0161</v>
      </c>
      <c r="H392" s="14" t="str">
        <v>座舱内部</v>
      </c>
      <c r="I392" s="15" t="str">
        <v>CDC内部</v>
      </c>
      <c r="J392" s="15" t="str">
        <v>导航模块</v>
      </c>
      <c r="K392" s="15" t="str">
        <v>充电管家; 行程管家; 出行主动服务</v>
      </c>
      <c r="P392" s="15" t="str">
        <v>P0</v>
      </c>
      <c r="Q392" s="16">
        <v>6.6</v>
      </c>
      <c r="R392" s="17" t="str">
        <v>—（无需跨域接口）</v>
      </c>
      <c r="S392" s="14" t="str">
        <v>Pre-OTS版本-0804座舱转测</v>
      </c>
      <c r="X392" s="14" t="str">
        <v>ACS06地图导航</v>
      </c>
      <c r="Y392" s="20" t="inlineStr">
        <is>
          <r>
            <t>@冯艺玮</t>
          </r>
        </is>
      </c>
    </row>
    <row r="393" spans="3:25">
      <c r="C393" s="21" t="str">
        <v>导航设置</v>
      </c>
      <c r="D393" s="22" t="str">
        <v>导航避开限行状态</v>
      </c>
      <c r="E393" s="22" t="str">
        <v>0=关闭, 1=开启</v>
      </c>
      <c r="G393" s="14" t="str">
        <v>DZT0162</v>
      </c>
      <c r="H393" s="14" t="str">
        <v>座舱内部</v>
      </c>
      <c r="I393" s="15" t="str">
        <v>CDC内部</v>
      </c>
      <c r="J393" s="15" t="str">
        <v>导航模块</v>
      </c>
      <c r="K393" s="15" t="str">
        <v>充电管家; 行程管家; 出行主动服务</v>
      </c>
      <c r="P393" s="15" t="str">
        <v>P0</v>
      </c>
      <c r="Q393" s="16">
        <v>6.6</v>
      </c>
      <c r="R393" s="17" t="str">
        <v>—（无需跨域接口）</v>
      </c>
      <c r="S393" s="14" t="str">
        <v>Pre-OTS版本-0804座舱转测</v>
      </c>
      <c r="X393" s="14" t="str">
        <v>ACS06地图导航</v>
      </c>
      <c r="Y393" s="20" t="inlineStr">
        <is>
          <r>
            <t>@冯艺玮</t>
          </r>
        </is>
      </c>
    </row>
    <row r="394" spans="3:25">
      <c r="C394" s="21" t="str">
        <v>导航设置</v>
      </c>
      <c r="D394" s="22" t="str">
        <v>导航自动比例尺状态</v>
      </c>
      <c r="E394" s="22" t="str">
        <v>0=关闭, 1=开启</v>
      </c>
      <c r="G394" s="14" t="str">
        <v>DZT0163</v>
      </c>
      <c r="H394" s="14" t="str">
        <v>座舱内部</v>
      </c>
      <c r="I394" s="15" t="str">
        <v>CDC内部</v>
      </c>
      <c r="J394" s="15" t="str">
        <v>导航模块</v>
      </c>
      <c r="K394" s="15" t="str">
        <v>充电管家; 行程管家; 出行主动服务</v>
      </c>
      <c r="P394" s="15" t="str">
        <v>P0</v>
      </c>
      <c r="Q394" s="16">
        <v>6.6</v>
      </c>
      <c r="R394" s="17" t="str">
        <v>—（无需跨域接口）</v>
      </c>
      <c r="S394" s="14" t="str">
        <v>Pre-OTS版本-0804座舱转测</v>
      </c>
      <c r="X394" s="14" t="str">
        <v>ACS06地图导航</v>
      </c>
      <c r="Y394" s="20" t="inlineStr">
        <is>
          <r>
            <t>@冯艺玮</t>
          </r>
        </is>
      </c>
    </row>
    <row r="395" spans="3:27">
      <c r="C395" s="21" t="str">
        <v>常用地址</v>
      </c>
      <c r="D395" s="22" t="str">
        <v>导航家地址名称</v>
      </c>
      <c r="E395" s="22" t="str">
        <v>String, 最长64字符 (UTF-8)</v>
      </c>
      <c r="G395" s="14" t="str">
        <v>DZT0164</v>
      </c>
      <c r="H395" s="14" t="str">
        <v>座舱内部</v>
      </c>
      <c r="I395" s="15" t="str">
        <v>CDC内部</v>
      </c>
      <c r="J395" s="15" t="str">
        <v>导航模块</v>
      </c>
      <c r="K395" s="15" t="str">
        <v>充电管家; 行程管家; 出行主动服务</v>
      </c>
      <c r="P395" s="15" t="str">
        <v>P0</v>
      </c>
      <c r="Q395" s="16">
        <v>6.6</v>
      </c>
      <c r="R395" s="17" t="str">
        <v>—（无需跨域接口）</v>
      </c>
      <c r="S395" s="14" t="str">
        <v>Pre-OTS版本-0804座舱转测</v>
      </c>
      <c r="X395" s="14" t="str">
        <v>ACS06地图导航</v>
      </c>
      <c r="Y395" s="20" t="inlineStr">
        <is>
          <r>
            <t>@冯艺玮</t>
          </r>
        </is>
      </c>
      <c r="Z395" s="14" t="str">
        <v>风险</v>
      </c>
      <c r="AA395" s="14" t="str">
        <v>获取常用点信息进行综合的行程推荐</v>
      </c>
    </row>
    <row r="396" spans="3:27">
      <c r="C396" s="21" t="str">
        <v>常用地址</v>
      </c>
      <c r="D396" s="22" t="str">
        <v>导航家地址坐标</v>
      </c>
      <c r="E396" s="22" t="str">
        <v>经度-180~180 deg, 纬度-90~90 deg</v>
      </c>
      <c r="G396" s="14" t="str">
        <v>DZT0165</v>
      </c>
      <c r="H396" s="14" t="str">
        <v>座舱内部</v>
      </c>
      <c r="I396" s="15" t="str">
        <v>CDC内部</v>
      </c>
      <c r="J396" s="15" t="str">
        <v>导航模块</v>
      </c>
      <c r="K396" s="15" t="str">
        <v>充电管家; 行程管家; 出行主动服务</v>
      </c>
      <c r="P396" s="15" t="str">
        <v>P0</v>
      </c>
      <c r="Q396" s="16">
        <v>6.6</v>
      </c>
      <c r="R396" s="17" t="str">
        <v>—（无需跨域接口）</v>
      </c>
      <c r="S396" s="14" t="str">
        <v>Pre-OTS版本-0804座舱转测</v>
      </c>
      <c r="X396" s="14" t="str">
        <v>ACS06地图导航</v>
      </c>
      <c r="Y396" s="20" t="inlineStr">
        <is>
          <r>
            <t>@冯艺玮</t>
          </r>
        </is>
      </c>
      <c r="Z396" s="14" t="str">
        <v>风险</v>
      </c>
      <c r="AA396" s="14" t="str">
        <v>获取常用点信息进行综合的行程推荐</v>
      </c>
    </row>
    <row r="397" spans="3:25">
      <c r="C397" s="21" t="str">
        <v>常用地址</v>
      </c>
      <c r="D397" s="22" t="str">
        <v>导航家地址设置状态</v>
      </c>
      <c r="E397" s="22" t="str">
        <v>0=未设置, 1=已设置</v>
      </c>
      <c r="G397" s="14" t="str">
        <v>DZT0166</v>
      </c>
      <c r="H397" s="14" t="str">
        <v>座舱内部</v>
      </c>
      <c r="I397" s="15" t="str">
        <v>CDC内部</v>
      </c>
      <c r="J397" s="15" t="str">
        <v>导航模块</v>
      </c>
      <c r="K397" s="15" t="str">
        <v>充电管家; 行程管家; 出行主动服务</v>
      </c>
      <c r="P397" s="15" t="str">
        <v>P0</v>
      </c>
      <c r="Q397" s="16">
        <v>6.6</v>
      </c>
      <c r="R397" s="17" t="str">
        <v>—（无需跨域接口）</v>
      </c>
      <c r="S397" s="14" t="str">
        <v>Pre-OTS版本-0804座舱转测</v>
      </c>
      <c r="X397" s="14" t="str">
        <v>ACS06地图导航</v>
      </c>
      <c r="Y397" s="20" t="inlineStr">
        <is>
          <r>
            <t>@冯艺玮</t>
          </r>
        </is>
      </c>
    </row>
    <row r="398" spans="3:27">
      <c r="C398" s="21" t="str">
        <v>常用地址</v>
      </c>
      <c r="D398" s="22" t="str">
        <v>导航公司地址名称</v>
      </c>
      <c r="E398" s="22" t="str">
        <v>String, 最长64字符 (UTF-8)</v>
      </c>
      <c r="G398" s="14" t="str">
        <v>DZT0167</v>
      </c>
      <c r="H398" s="14" t="str">
        <v>座舱内部</v>
      </c>
      <c r="I398" s="15" t="str">
        <v>CDC内部</v>
      </c>
      <c r="J398" s="15" t="str">
        <v>导航模块</v>
      </c>
      <c r="K398" s="15" t="str">
        <v>充电管家; 行程管家; 出行主动服务</v>
      </c>
      <c r="P398" s="15" t="str">
        <v>P0</v>
      </c>
      <c r="Q398" s="16">
        <v>6.6</v>
      </c>
      <c r="R398" s="17" t="str">
        <v>—（无需跨域接口）</v>
      </c>
      <c r="S398" s="14" t="str">
        <v>Pre-OTS版本-0804座舱转测</v>
      </c>
      <c r="X398" s="14" t="str">
        <v>ACS06地图导航</v>
      </c>
      <c r="Y398" s="20" t="inlineStr">
        <is>
          <r>
            <t>@冯艺玮</t>
          </r>
        </is>
      </c>
      <c r="Z398" s="14" t="str">
        <v>风险</v>
      </c>
      <c r="AA398" s="14" t="str">
        <v>获取常用点信息进行综合的行程推荐</v>
      </c>
    </row>
    <row r="399" spans="3:27">
      <c r="C399" s="21" t="str">
        <v>常用地址</v>
      </c>
      <c r="D399" s="22" t="str">
        <v>导航公司地址坐标</v>
      </c>
      <c r="E399" s="22" t="str">
        <v>经度-180~180 deg, 纬度-90~90 deg</v>
      </c>
      <c r="G399" s="14" t="str">
        <v>DZT0168</v>
      </c>
      <c r="H399" s="14" t="str">
        <v>座舱内部</v>
      </c>
      <c r="I399" s="15" t="str">
        <v>CDC内部</v>
      </c>
      <c r="J399" s="15" t="str">
        <v>导航模块</v>
      </c>
      <c r="K399" s="15" t="str">
        <v>充电管家; 行程管家; 出行主动服务</v>
      </c>
      <c r="P399" s="15" t="str">
        <v>P0</v>
      </c>
      <c r="Q399" s="16">
        <v>6.6</v>
      </c>
      <c r="R399" s="17" t="str">
        <v>—（无需跨域接口）</v>
      </c>
      <c r="S399" s="14" t="str">
        <v>Pre-OTS版本-0804座舱转测</v>
      </c>
      <c r="X399" s="14" t="str">
        <v>ACS06地图导航</v>
      </c>
      <c r="Y399" s="20" t="inlineStr">
        <is>
          <r>
            <t>@冯艺玮</t>
          </r>
        </is>
      </c>
      <c r="Z399" s="14" t="str">
        <v>风险</v>
      </c>
      <c r="AA399" s="14" t="str">
        <v>获取常用点信息进行综合的行程推荐</v>
      </c>
    </row>
    <row r="400" spans="3:25">
      <c r="C400" s="21" t="str">
        <v>常用地址</v>
      </c>
      <c r="D400" s="22" t="str">
        <v>导航公司地址设置状态</v>
      </c>
      <c r="E400" s="22" t="str">
        <v>0=未设置, 1=已设置</v>
      </c>
      <c r="G400" s="14" t="str">
        <v>DZT0169</v>
      </c>
      <c r="H400" s="14" t="str">
        <v>座舱内部</v>
      </c>
      <c r="I400" s="15" t="str">
        <v>CDC内部</v>
      </c>
      <c r="J400" s="15" t="str">
        <v>导航模块</v>
      </c>
      <c r="K400" s="15" t="str">
        <v>充电管家; 行程管家; 出行主动服务</v>
      </c>
      <c r="P400" s="15" t="str">
        <v>P0</v>
      </c>
      <c r="Q400" s="16">
        <v>6.6</v>
      </c>
      <c r="R400" s="17" t="str">
        <v>—（无需跨域接口）</v>
      </c>
      <c r="S400" s="14" t="str">
        <v>Pre-OTS版本-0804座舱转测</v>
      </c>
      <c r="X400" s="14" t="str">
        <v>ACS06地图导航</v>
      </c>
      <c r="Y400" s="20" t="inlineStr">
        <is>
          <r>
            <t>@冯艺玮</t>
          </r>
        </is>
      </c>
    </row>
    <row r="401" spans="3:27">
      <c r="C401" s="21" t="str">
        <v>常用地址</v>
      </c>
      <c r="D401" s="22" t="str">
        <v>导航常用地址列表</v>
      </c>
      <c r="E401" s="22" t="str">
        <v>条目数: 0~20; 每条: 名称(String)+坐标+类型(0=家, 1=公司, 2=自定义)</v>
      </c>
      <c r="G401" s="14" t="str">
        <v>DZT0170</v>
      </c>
      <c r="H401" s="14" t="str">
        <v>座舱内部</v>
      </c>
      <c r="I401" s="15" t="str">
        <v>CDC内部</v>
      </c>
      <c r="J401" s="15" t="str">
        <v>导航模块</v>
      </c>
      <c r="K401" s="15" t="str">
        <v>充电管家; 行程管家; 出行主动服务</v>
      </c>
      <c r="P401" s="15" t="str">
        <v>P0</v>
      </c>
      <c r="Q401" s="16">
        <v>6.6</v>
      </c>
      <c r="R401" s="17" t="str">
        <v>—（无需跨域接口）</v>
      </c>
      <c r="S401" s="14" t="str">
        <v>Pre-OTS版本-0804座舱转测</v>
      </c>
      <c r="X401" s="14" t="str">
        <v>ACS06地图导航</v>
      </c>
      <c r="Y401" s="20" t="inlineStr">
        <is>
          <r>
            <t>@冯艺玮</t>
          </r>
        </is>
      </c>
      <c r="Z401" s="14" t="str">
        <v>风险</v>
      </c>
      <c r="AA401" s="14" t="str">
        <v>获取常用点信息进行综合的行程推荐</v>
      </c>
    </row>
    <row r="402" spans="3:25">
      <c r="C402" s="21" t="str">
        <v>收藏点</v>
      </c>
      <c r="D402" s="22" t="str">
        <v>导航收藏点数量</v>
      </c>
      <c r="E402" s="22" t="str">
        <v>0~100</v>
      </c>
      <c r="G402" s="14" t="str">
        <v>DZT0171</v>
      </c>
      <c r="H402" s="14" t="str">
        <v>座舱内部</v>
      </c>
      <c r="I402" s="15" t="str">
        <v>CDC内部</v>
      </c>
      <c r="J402" s="15" t="str">
        <v>导航模块</v>
      </c>
      <c r="K402" s="15" t="str">
        <v>充电管家; 行程管家; 出行主动服务</v>
      </c>
      <c r="P402" s="15" t="str">
        <v>P0</v>
      </c>
      <c r="Q402" s="16">
        <v>6.6</v>
      </c>
      <c r="R402" s="17" t="str">
        <v>—（无需跨域接口）</v>
      </c>
      <c r="S402" s="14" t="str">
        <v>Pre-OTS版本-0804座舱转测</v>
      </c>
      <c r="X402" s="14" t="str">
        <v>ACS06地图导航</v>
      </c>
      <c r="Y402" s="20" t="inlineStr">
        <is>
          <r>
            <t>@冯艺玮</t>
          </r>
        </is>
      </c>
    </row>
    <row r="403" spans="3:27">
      <c r="C403" s="21" t="str">
        <v>收藏点</v>
      </c>
      <c r="D403" s="22" t="str">
        <v>导航收藏点名称</v>
      </c>
      <c r="E403" s="22" t="str">
        <v>String, 最长64字符 (UTF-8); 支持按序号查询</v>
      </c>
      <c r="G403" s="14" t="str">
        <v>DZT0172</v>
      </c>
      <c r="H403" s="14" t="str">
        <v>座舱内部</v>
      </c>
      <c r="I403" s="15" t="str">
        <v>CDC内部</v>
      </c>
      <c r="J403" s="15" t="str">
        <v>导航模块</v>
      </c>
      <c r="K403" s="15" t="str">
        <v>充电管家; 行程管家; 出行主动服务</v>
      </c>
      <c r="P403" s="15" t="str">
        <v>P0</v>
      </c>
      <c r="Q403" s="16">
        <v>6.6</v>
      </c>
      <c r="R403" s="17" t="str">
        <v>—（无需跨域接口）</v>
      </c>
      <c r="S403" s="14" t="str">
        <v>Pre-OTS版本-0804座舱转测</v>
      </c>
      <c r="X403" s="14" t="str">
        <v>ACS06地图导航</v>
      </c>
      <c r="Y403" s="20" t="inlineStr">
        <is>
          <r>
            <t>@冯艺玮</t>
          </r>
        </is>
      </c>
      <c r="Z403" s="14" t="str">
        <v>风险</v>
      </c>
      <c r="AA403" s="14" t="str">
        <v>获取常用点信息进行综合的行程推荐</v>
      </c>
    </row>
    <row r="404" spans="3:27">
      <c r="C404" s="21" t="str">
        <v>收藏点</v>
      </c>
      <c r="D404" s="22" t="str">
        <v>导航收藏点坐标</v>
      </c>
      <c r="E404" s="22" t="str">
        <v>经度-180~180 deg, 纬度-90~90 deg; 支持按序号查询</v>
      </c>
      <c r="G404" s="14" t="str">
        <v>DZT0173</v>
      </c>
      <c r="H404" s="14" t="str">
        <v>座舱内部</v>
      </c>
      <c r="I404" s="15" t="str">
        <v>CDC内部</v>
      </c>
      <c r="J404" s="15" t="str">
        <v>导航模块</v>
      </c>
      <c r="K404" s="15" t="str">
        <v>充电管家; 行程管家; 出行主动服务</v>
      </c>
      <c r="P404" s="15" t="str">
        <v>P0</v>
      </c>
      <c r="Q404" s="16">
        <v>6.6</v>
      </c>
      <c r="R404" s="17" t="str">
        <v>—（无需跨域接口）</v>
      </c>
      <c r="S404" s="14" t="str">
        <v>Pre-OTS版本-0804座舱转测</v>
      </c>
      <c r="X404" s="14" t="str">
        <v>ACS06地图导航</v>
      </c>
      <c r="Y404" s="20" t="inlineStr">
        <is>
          <r>
            <t>@冯艺玮</t>
          </r>
        </is>
      </c>
      <c r="Z404" s="14" t="str">
        <v>风险</v>
      </c>
      <c r="AA404" s="14" t="str">
        <v>获取常用点信息进行综合的行程推荐</v>
      </c>
    </row>
    <row r="405" spans="3:25">
      <c r="C405" s="21" t="str">
        <v>收藏点</v>
      </c>
      <c r="D405" s="22" t="str">
        <v>导航收藏点分类标签</v>
      </c>
      <c r="E405" s="22" t="str">
        <v>0=其他, 1=餐饮, 2=充电站, 3=加油站, 4=停车场, 5=酒店, 6=景点, 7=商超, 8=服务区, 9=收费站</v>
      </c>
      <c r="G405" s="14" t="str">
        <v>DZT0174</v>
      </c>
      <c r="H405" s="14" t="str">
        <v>座舱内部</v>
      </c>
      <c r="I405" s="15" t="str">
        <v>CDC内部</v>
      </c>
      <c r="J405" s="15" t="str">
        <v>导航模块</v>
      </c>
      <c r="K405" s="15" t="str">
        <v>充电管家; 行程管家; 出行主动服务</v>
      </c>
      <c r="P405" s="15" t="str">
        <v>P0</v>
      </c>
      <c r="Q405" s="16">
        <v>6.6</v>
      </c>
      <c r="R405" s="17" t="str">
        <v>—（无需跨域接口）</v>
      </c>
      <c r="S405" s="14" t="str">
        <v>Pre-OTS版本-0804座舱转测</v>
      </c>
      <c r="X405" s="14" t="str">
        <v>ACS06地图导航</v>
      </c>
      <c r="Y405" s="20" t="inlineStr">
        <is>
          <r>
            <t>@冯艺玮</t>
          </r>
        </is>
      </c>
    </row>
    <row r="406" spans="2:25">
      <c r="B406" s="3" t="str">
        <v>7.5 多媒体</v>
      </c>
      <c r="C406" s="21" t="str">
        <v>多媒体状态</v>
      </c>
      <c r="D406" s="22" t="str">
        <v>座舱_静音状态</v>
      </c>
      <c r="E406" s="22" t="str">
        <v>0=未静音, 1=已静音</v>
      </c>
      <c r="G406" s="14" t="str">
        <v>DZT0175</v>
      </c>
      <c r="H406" s="14" t="str">
        <v>座舱内部</v>
      </c>
      <c r="I406" s="15" t="str">
        <v>CDC内部</v>
      </c>
      <c r="J406" s="15" t="str">
        <v>多媒体模块</v>
      </c>
      <c r="K406" s="15" t="str">
        <v>充电管家; 松弛模式（AI）; AI娱乐搭子</v>
      </c>
      <c r="P406" s="15" t="str">
        <v>P0</v>
      </c>
      <c r="Q406" s="16">
        <v>6.6</v>
      </c>
      <c r="R406" s="17" t="str">
        <v>—（无需跨域接口）</v>
      </c>
      <c r="S406" s="14" t="str">
        <v>Pre-OTS版本-0804座舱转测</v>
      </c>
      <c r="X406" s="14" t="str">
        <v>ACS12整车音效</v>
      </c>
      <c r="Y406" s="20" t="inlineStr">
        <is>
          <r>
            <t>@孙含玉</t>
          </r>
        </is>
      </c>
    </row>
    <row r="407" spans="3:25">
      <c r="C407" s="21" t="str">
        <v>音乐信息</v>
      </c>
      <c r="D407" s="22" t="str">
        <v>座舱_音乐播放状态</v>
      </c>
      <c r="E407" s="22" t="str">
        <v>1=播放, 2=暂停</v>
      </c>
      <c r="G407" s="14" t="str">
        <v>DZT0176</v>
      </c>
      <c r="H407" s="14" t="str">
        <v>座舱内部</v>
      </c>
      <c r="I407" s="15" t="str">
        <v>CDC内部</v>
      </c>
      <c r="J407" s="15" t="str">
        <v>多媒体模块</v>
      </c>
      <c r="K407" s="15" t="str">
        <v>充电管家; 松弛模式（AI）; AI娱乐搭子</v>
      </c>
      <c r="O407" s="14" t="str">
        <v>以具体音源的名称定义为准</v>
      </c>
      <c r="P407" s="15" t="str">
        <v>P0</v>
      </c>
      <c r="Q407" s="16">
        <v>6.6</v>
      </c>
      <c r="R407" s="17" t="str">
        <v>—（无需跨域接口）</v>
      </c>
      <c r="S407" s="14" t="str">
        <v>Pre-OTS版本-0804座舱转测</v>
      </c>
      <c r="T407" s="18" t="str">
        <v>多媒原子需求协议文档 </v>
      </c>
      <c r="U407" s="14" t="str">
        <v>mediaSdk.registerParameterUpdatedCallback(callback = object : ParameterUpdatedCallback {
override fun onParameterUpdated(bundle: Bundle)</v>
      </c>
      <c r="V407" s="16">
        <v>716</v>
      </c>
      <c r="W407" s="14" t="str">
        <v>邹世清</v>
      </c>
      <c r="X407" s="14" t="str">
        <v>ACS03多媒体</v>
      </c>
      <c r="Y407" s="20" t="inlineStr">
        <is>
          <r>
            <t>@孙含玉</t>
          </r>
        </is>
      </c>
    </row>
    <row r="408" spans="3:25">
      <c r="C408" s="21" t="str">
        <v>音乐信息</v>
      </c>
      <c r="D408" s="22" t="str">
        <v>座舱_音乐vip信息</v>
      </c>
      <c r="E408" s="22" t="str">
        <v>免费/VIP</v>
      </c>
      <c r="G408" s="14" t="str">
        <v>DZT0177</v>
      </c>
      <c r="H408" s="14" t="str">
        <v>座舱内部</v>
      </c>
      <c r="I408" s="15" t="str">
        <v>CDC内部</v>
      </c>
      <c r="J408" s="15" t="str">
        <v>多媒体模块</v>
      </c>
      <c r="K408" s="15" t="str">
        <v>充电管家; 松弛模式（AI）; AI娱乐搭子</v>
      </c>
      <c r="P408" s="15" t="str">
        <v>P0</v>
      </c>
      <c r="Q408" s="16">
        <v>6.6</v>
      </c>
      <c r="R408" s="17" t="str">
        <v>—（无需跨域接口）</v>
      </c>
      <c r="S408" s="14" t="str">
        <v>原定Pre-OTS版本-0804座舱转测—后延</v>
      </c>
      <c r="T408" s="18" t="str">
        <v>多媒原子需求协议文档 </v>
      </c>
      <c r="U408" s="14" t="str">
        <v>mediaSdk.registerMediaCallback(callback = object : MediaCallback{
override fun onNowPlayingChange(bundle: Bundle)</v>
      </c>
      <c r="V408" s="16">
        <v>722</v>
      </c>
      <c r="W408" s="14" t="str">
        <v>张克喜</v>
      </c>
      <c r="X408" s="14" t="str">
        <v>ACS03多媒体</v>
      </c>
      <c r="Y408" s="20" t="inlineStr">
        <is>
          <r>
            <t>@孙含玉</t>
          </r>
        </is>
      </c>
    </row>
    <row r="409" spans="3:25">
      <c r="C409" s="21" t="str">
        <v>音乐信息</v>
      </c>
      <c r="D409" s="22" t="str">
        <v>座舱_当前歌曲名称</v>
      </c>
      <c r="E409" s="22" t="str">
        <v>String</v>
      </c>
      <c r="G409" s="14" t="str">
        <v>DZT0178</v>
      </c>
      <c r="H409" s="14" t="str">
        <v>座舱内部</v>
      </c>
      <c r="I409" s="15" t="str">
        <v>CDC内部</v>
      </c>
      <c r="J409" s="15" t="str">
        <v>多媒体模块</v>
      </c>
      <c r="K409" s="15" t="str">
        <v>充电管家; 松弛模式（AI）; AI娱乐搭子</v>
      </c>
      <c r="P409" s="15" t="str">
        <v>P0</v>
      </c>
      <c r="Q409" s="16">
        <v>6.6</v>
      </c>
      <c r="R409" s="17" t="str">
        <v>—（无需跨域接口）</v>
      </c>
      <c r="S409" s="14" t="str">
        <v>Pre-OTS版本-0804座舱转测</v>
      </c>
      <c r="T409" s="18" t="str">
        <v>多媒原子需求协议文档 </v>
      </c>
      <c r="U409" s="14" t="str">
        <v>mediaSdk.registerMediaCallback(callback = object : MediaCallback{
override fun onNowPlayingChange(bundle: Bundle)</v>
      </c>
      <c r="V409" s="16">
        <v>722</v>
      </c>
      <c r="W409" s="14" t="str">
        <v>张克喜</v>
      </c>
      <c r="X409" s="14" t="str">
        <v>ACS03多媒体</v>
      </c>
      <c r="Y409" s="20" t="inlineStr">
        <is>
          <r>
            <t>@孙含玉</t>
          </r>
        </is>
      </c>
    </row>
    <row r="410" spans="3:25">
      <c r="C410" s="21" t="str">
        <v>音乐信息</v>
      </c>
      <c r="D410" s="22" t="str">
        <v>座舱_当前歌手名称</v>
      </c>
      <c r="E410" s="22" t="str">
        <v>String</v>
      </c>
      <c r="G410" s="14" t="str">
        <v>DZT0179</v>
      </c>
      <c r="H410" s="14" t="str">
        <v>座舱内部</v>
      </c>
      <c r="I410" s="15" t="str">
        <v>CDC内部</v>
      </c>
      <c r="J410" s="15" t="str">
        <v>多媒体模块</v>
      </c>
      <c r="K410" s="15" t="str">
        <v>充电管家; 松弛模式（AI）; AI娱乐搭子</v>
      </c>
      <c r="P410" s="15" t="str">
        <v>P0</v>
      </c>
      <c r="Q410" s="16">
        <v>6.6</v>
      </c>
      <c r="R410" s="17" t="str">
        <v>—（无需跨域接口）</v>
      </c>
      <c r="S410" s="14" t="str">
        <v>Pre-OTS版本-0804座舱转测</v>
      </c>
      <c r="T410" s="18" t="str">
        <v>多媒原子需求协议文档 </v>
      </c>
      <c r="U410" s="14" t="str">
        <v>mediaSdk.registerMediaCallback(callback = object : MediaCallback{
override fun onNowPlayingChange(bundle: Bundle)</v>
      </c>
      <c r="V410" s="16">
        <v>722</v>
      </c>
      <c r="W410" s="14" t="str">
        <v>张克喜</v>
      </c>
      <c r="X410" s="14" t="str">
        <v>ACS03多媒体</v>
      </c>
      <c r="Y410" s="20" t="inlineStr">
        <is>
          <r>
            <t>@孙含玉</t>
          </r>
        </is>
      </c>
    </row>
    <row r="411" spans="3:25">
      <c r="C411" s="21" t="str">
        <v>音乐信息</v>
      </c>
      <c r="D411" s="22" t="str">
        <v>座舱_当前专辑名称</v>
      </c>
      <c r="E411" s="22" t="str">
        <v>String</v>
      </c>
      <c r="G411" s="14" t="str">
        <v>DZT0180</v>
      </c>
      <c r="H411" s="14" t="str">
        <v>座舱内部</v>
      </c>
      <c r="I411" s="15" t="str">
        <v>CDC内部</v>
      </c>
      <c r="J411" s="15" t="str">
        <v>多媒体模块</v>
      </c>
      <c r="K411" s="15" t="str">
        <v>充电管家; 松弛模式（AI）; AI娱乐搭子</v>
      </c>
      <c r="P411" s="15" t="str">
        <v>P0</v>
      </c>
      <c r="Q411" s="16">
        <v>6.6</v>
      </c>
      <c r="R411" s="17" t="str">
        <v>—（无需跨域接口）</v>
      </c>
      <c r="S411" s="14" t="str">
        <v>Pre-OTS版本-0804座舱转测</v>
      </c>
      <c r="T411" s="18" t="str">
        <v>多媒原子需求协议文档 </v>
      </c>
      <c r="U411" s="14" t="str">
        <v>mediaSdk.registerMediaCallback(callback = object : MediaCallback{
override fun onNowPlayingChange(bundle: Bundle)</v>
      </c>
      <c r="V411" s="16">
        <v>722</v>
      </c>
      <c r="W411" s="14" t="str">
        <v>张克喜</v>
      </c>
      <c r="X411" s="14" t="str">
        <v>ACS03多媒体</v>
      </c>
      <c r="Y411" s="20" t="inlineStr">
        <is>
          <r>
            <t>@孙含玉</t>
          </r>
        </is>
      </c>
    </row>
    <row r="412" spans="3:25">
      <c r="C412" s="21" t="str">
        <v>音乐信息</v>
      </c>
      <c r="D412" s="22" t="str">
        <v>座舱_播放进度值</v>
      </c>
      <c r="E412" s="22" t="str">
        <v>0~86400000 ms, 步长1000 ms</v>
      </c>
      <c r="G412" s="14" t="str">
        <v>DZT0181</v>
      </c>
      <c r="H412" s="14" t="str">
        <v>座舱内部</v>
      </c>
      <c r="I412" s="15" t="str">
        <v>CDC内部</v>
      </c>
      <c r="J412" s="15" t="str">
        <v>多媒体模块</v>
      </c>
      <c r="K412" s="15" t="str">
        <v>充电管家; 松弛模式（AI）; AI娱乐搭子</v>
      </c>
      <c r="P412" s="15" t="str">
        <v>P0</v>
      </c>
      <c r="Q412" s="16">
        <v>6.6</v>
      </c>
      <c r="R412" s="17" t="str">
        <v>—（无需跨域接口）</v>
      </c>
      <c r="S412" s="14" t="str">
        <v>Pre-OTS版本-0804座舱转测</v>
      </c>
      <c r="T412" s="18" t="str">
        <v>多媒原子需求协议文档 </v>
      </c>
      <c r="U412" s="14" t="str">
        <v>mediaSdk.registerParameterUpdatedCallback(callback = object : ParameterUpdatedCallback {
override fun onParameterUpdated(bundle: Bundle)</v>
      </c>
      <c r="V412" s="16">
        <v>716</v>
      </c>
      <c r="W412" s="14" t="str">
        <v>邹世清</v>
      </c>
      <c r="X412" s="14" t="str">
        <v>ACS03多媒体</v>
      </c>
      <c r="Y412" s="20" t="inlineStr">
        <is>
          <r>
            <t>@孙含玉</t>
          </r>
        </is>
      </c>
    </row>
    <row r="413" spans="3:25">
      <c r="C413" s="21" t="str">
        <v>音乐信息</v>
      </c>
      <c r="D413" s="22" t="str">
        <v>座舱_歌曲总时长值</v>
      </c>
      <c r="E413" s="22" t="str">
        <v>0~86400000 ms, 步长1000 ms</v>
      </c>
      <c r="G413" s="14" t="str">
        <v>DZT0182</v>
      </c>
      <c r="H413" s="14" t="str">
        <v>座舱内部</v>
      </c>
      <c r="I413" s="15" t="str">
        <v>CDC内部</v>
      </c>
      <c r="J413" s="15" t="str">
        <v>多媒体模块</v>
      </c>
      <c r="K413" s="15" t="str">
        <v>充电管家; 松弛模式（AI）; AI娱乐搭子</v>
      </c>
      <c r="P413" s="15" t="str">
        <v>P0</v>
      </c>
      <c r="Q413" s="16">
        <v>6.6</v>
      </c>
      <c r="R413" s="17" t="str">
        <v>—（无需跨域接口）</v>
      </c>
      <c r="S413" s="14" t="str">
        <v>Pre-OTS版本-0804座舱转测</v>
      </c>
      <c r="T413" s="18" t="str">
        <v>多媒原子需求协议文档 </v>
      </c>
      <c r="U413" s="14" t="str">
        <v>mediaSdk.registerParameterUpdatedCallback(callback = object : ParameterUpdatedCallback {
override fun onParameterUpdated(bundle: Bundle)</v>
      </c>
      <c r="V413" s="16">
        <v>722</v>
      </c>
      <c r="W413" s="14" t="str">
        <v>张克喜</v>
      </c>
      <c r="X413" s="14" t="str">
        <v>ACS03多媒体</v>
      </c>
      <c r="Y413" s="20" t="inlineStr">
        <is>
          <r>
            <t>@孙含玉</t>
          </r>
        </is>
      </c>
    </row>
    <row r="414" spans="3:25">
      <c r="C414" s="21" t="str">
        <v>音乐信息</v>
      </c>
      <c r="D414" s="22" t="str">
        <v>座舱_播放模式</v>
      </c>
      <c r="E414" s="22" t="str">
        <v>0=顺序, 1=列表循环, 2=单曲循环, 3=随机</v>
      </c>
      <c r="G414" s="14" t="str">
        <v>DZT0183</v>
      </c>
      <c r="H414" s="14" t="str">
        <v>座舱内部</v>
      </c>
      <c r="I414" s="15" t="str">
        <v>CDC内部</v>
      </c>
      <c r="J414" s="15" t="str">
        <v>多媒体模块</v>
      </c>
      <c r="K414" s="15" t="str">
        <v>充电管家; 松弛模式（AI）; AI娱乐搭子</v>
      </c>
      <c r="O414" s="14" t="str">
        <v>以具体音源的名称定义为准</v>
      </c>
      <c r="P414" s="15" t="str">
        <v>P0</v>
      </c>
      <c r="Q414" s="16">
        <v>6.6</v>
      </c>
      <c r="R414" s="17" t="str">
        <v>—（无需跨域接口）</v>
      </c>
      <c r="S414" s="14" t="str">
        <v>原定Pre-OTS版本-0804座舱转测—后延</v>
      </c>
      <c r="T414" s="18" t="str">
        <v>多媒原子需求协议文档 </v>
      </c>
      <c r="U414" s="14" t="str">
        <v>mediaSdk.registerParameterUpdatedCallback(callback = object : ParameterUpdatedCallback {
override fun onParameterUpdated(bundle: Bundle)</v>
      </c>
      <c r="V414" s="16">
        <v>716</v>
      </c>
      <c r="W414" s="14" t="str">
        <v>邹世清</v>
      </c>
      <c r="X414" s="14" t="str">
        <v>ACS03多媒体</v>
      </c>
      <c r="Y414" s="20" t="inlineStr">
        <is>
          <r>
            <t>@孙含玉</t>
          </r>
        </is>
      </c>
    </row>
    <row r="415" spans="3:25">
      <c r="C415" s="21" t="str">
        <v>音乐信息</v>
      </c>
      <c r="D415" s="22" t="str">
        <v>座舱_音乐音质状态</v>
      </c>
      <c r="E415" s="22" t="str">
        <v>0=标准, 1=高品质, 2=无损</v>
      </c>
      <c r="G415" s="14" t="str">
        <v>DZT0184</v>
      </c>
      <c r="H415" s="14" t="str">
        <v>座舱内部</v>
      </c>
      <c r="I415" s="15" t="str">
        <v>CDC内部</v>
      </c>
      <c r="J415" s="15" t="str">
        <v>多媒体模块</v>
      </c>
      <c r="K415" s="15" t="str">
        <v>充电管家; 松弛模式（AI）; AI娱乐搭子</v>
      </c>
      <c r="O415" s="14" t="str">
        <v>以具体音源的名称定义为准</v>
      </c>
      <c r="P415" s="15" t="str">
        <v>P0</v>
      </c>
      <c r="Q415" s="16">
        <v>6.6</v>
      </c>
      <c r="R415" s="17" t="str">
        <v>—（无需跨域接口）</v>
      </c>
      <c r="S415" s="14" t="str">
        <v>原定Pre-OTS版本-0804座舱转测—后延</v>
      </c>
      <c r="T415" s="18" t="str">
        <v>多媒原子需求协议文档 </v>
      </c>
      <c r="U415" s="14" t="str">
        <v>mediaSdk.registerParameterUpdatedCallback(callback = object : ParameterUpdatedCallback {
override fun onParameterUpdated(bundle: Bundle)</v>
      </c>
      <c r="V415" s="16">
        <v>722</v>
      </c>
      <c r="W415" s="14" t="str">
        <v>张克喜</v>
      </c>
      <c r="X415" s="14" t="str">
        <v>ACS03多媒体</v>
      </c>
      <c r="Y415" s="20" t="inlineStr">
        <is>
          <r>
            <t>@孙含玉</t>
          </r>
        </is>
      </c>
    </row>
    <row r="416" spans="3:25">
      <c r="C416" s="21" t="str">
        <v>音乐信息</v>
      </c>
      <c r="D416" s="22" t="str">
        <v>座舱_音乐音效状态</v>
      </c>
      <c r="E416" s="22" t="str">
        <v>0=默认, 1=流行, 2=摇滚, 3=古典</v>
      </c>
      <c r="G416" s="14" t="str">
        <v>DZT0185</v>
      </c>
      <c r="H416" s="14" t="str">
        <v>座舱内部</v>
      </c>
      <c r="I416" s="15" t="str">
        <v>CDC内部</v>
      </c>
      <c r="J416" s="15" t="str">
        <v>多媒体模块</v>
      </c>
      <c r="K416" s="15" t="str">
        <v>充电管家; 松弛模式（AI）; AI娱乐搭子</v>
      </c>
      <c r="O416" s="14" t="str">
        <v>以具体音源的名称定义为准</v>
      </c>
      <c r="P416" s="15" t="str">
        <v>P0</v>
      </c>
      <c r="Q416" s="16">
        <v>6.6</v>
      </c>
      <c r="R416" s="17" t="str">
        <v>—（无需跨域接口）</v>
      </c>
      <c r="S416" s="14" t="str">
        <v>原定Pre-OTS版本-0804座舱转测—后延</v>
      </c>
      <c r="T416" s="18" t="str">
        <v>多媒原子需求协议文档 </v>
      </c>
      <c r="U416" s="14" t="str">
        <v>mediaSdk.registerParameterUpdatedCallback(callback = object : ParameterUpdatedCallback {
override fun onParameterUpdated(bundle: Bundle)</v>
      </c>
      <c r="V416" s="16">
        <v>722</v>
      </c>
      <c r="W416" s="14" t="str">
        <v>张克喜</v>
      </c>
      <c r="X416" s="14" t="str">
        <v>ACS03多媒体</v>
      </c>
      <c r="Y416" s="20" t="inlineStr">
        <is>
          <r>
            <t>@孙含玉</t>
          </r>
        </is>
      </c>
    </row>
    <row r="417" spans="3:25">
      <c r="C417" s="21" t="str">
        <v>音乐信息</v>
      </c>
      <c r="D417" s="22" t="str">
        <v>座舱_歌词显示状态</v>
      </c>
      <c r="E417" s="22" t="str">
        <v>0=关闭, 1=开启</v>
      </c>
      <c r="G417" s="14" t="str">
        <v>DZT0186</v>
      </c>
      <c r="H417" s="14" t="str">
        <v>座舱内部</v>
      </c>
      <c r="I417" s="15" t="str">
        <v>CDC内部</v>
      </c>
      <c r="J417" s="15" t="str">
        <v>多媒体模块</v>
      </c>
      <c r="K417" s="15" t="str">
        <v>充电管家; 松弛模式（AI）; AI娱乐搭子</v>
      </c>
      <c r="O417" s="14" t="str">
        <v>以具体音源的名称定义为准</v>
      </c>
      <c r="P417" s="15" t="str">
        <v>P0</v>
      </c>
      <c r="Q417" s="16">
        <v>6.6</v>
      </c>
      <c r="R417" s="17" t="str">
        <v>—（无需跨域接口）</v>
      </c>
      <c r="S417" s="14" t="str">
        <v>原定Pre-OTS版本-0804座舱转测—后延</v>
      </c>
      <c r="T417" s="18" t="str">
        <v>多媒原子需求协议文档 </v>
      </c>
      <c r="U417" s="14" t="str">
        <v>mediaSdk.registerParameterUpdatedCallback(callback = object : ParameterUpdatedCallback {
override fun onParameterUpdated(bundle: Bundle)</v>
      </c>
      <c r="V417" s="16">
        <v>722</v>
      </c>
      <c r="W417" s="14" t="str">
        <v>张克喜</v>
      </c>
      <c r="X417" s="14" t="str">
        <v>ACS03多媒体</v>
      </c>
      <c r="Y417" s="20" t="inlineStr">
        <is>
          <r>
            <t>@孙含玉</t>
          </r>
        </is>
      </c>
    </row>
    <row r="418" spans="3:25">
      <c r="C418" s="21" t="str">
        <v>音乐信息</v>
      </c>
      <c r="D418" s="21" t="str">
        <v>音源媒介</v>
      </c>
      <c r="E418" s="21" t="str">
        <v>QQ音源/网易云音乐/汽水音乐/蓝牙音乐/U盘音乐/酷狗音乐</v>
      </c>
      <c r="G418" s="28" t="str">
        <v>DZT0187</v>
      </c>
      <c r="H418" s="28" t="str">
        <v>座舱内部</v>
      </c>
      <c r="I418" s="26" t="str">
        <v>CDC内部</v>
      </c>
      <c r="J418" s="26" t="str">
        <v>多媒体/应用模块</v>
      </c>
      <c r="P418" s="26" t="str">
        <v>P0</v>
      </c>
      <c r="Q418" s="30">
        <v>6.6</v>
      </c>
      <c r="R418" s="17" t="str">
        <v>—（无需跨域接口）</v>
      </c>
      <c r="S418" s="28" t="str">
        <v>原定Pre-OTS版本-0804座舱转测—后延</v>
      </c>
      <c r="T418" s="44" t="str">
        <v>多媒原子需求协议文档 </v>
      </c>
      <c r="U418" s="28" t="str">
        <v>mediaSdk.registerParameterUpdatedCallback(callback = object : ParameterUpdatedCallback {
override fun onParameterUpdated(bundle: Bundle){</v>
      </c>
      <c r="V418" s="30">
        <v>721</v>
      </c>
      <c r="W418" s="28" t="str">
        <v>张克喜</v>
      </c>
      <c r="X418" s="28" t="str">
        <v>ACS03多媒体</v>
      </c>
      <c r="Y418" s="28" t="inlineStr">
        <is>
          <r>
            <t>@孙含玉</t>
          </r>
        </is>
      </c>
    </row>
    <row r="419" spans="3:25">
      <c r="C419" s="21" t="str">
        <v>音乐信息</v>
      </c>
      <c r="D419" s="22" t="str">
        <v>音乐歌单信息</v>
      </c>
      <c r="E419" s="22" t="str">
        <v>String</v>
      </c>
      <c r="G419" s="14" t="str">
        <v>DZT0188</v>
      </c>
      <c r="H419" s="14" t="str">
        <v>座舱内部</v>
      </c>
      <c r="I419" s="15" t="str">
        <v>CDC内部</v>
      </c>
      <c r="J419" s="15" t="str">
        <v>多媒体/应用模块</v>
      </c>
      <c r="P419" s="15" t="str">
        <v>P0</v>
      </c>
      <c r="Q419" s="16">
        <v>6.6</v>
      </c>
      <c r="R419" s="17" t="str">
        <v>—（无需跨域接口）</v>
      </c>
      <c r="S419" s="14" t="str">
        <v>Pre-OTS版本-0804座舱转测</v>
      </c>
      <c r="T419" s="18" t="str">
        <v>多媒原子需求协议文档 </v>
      </c>
      <c r="U419" s="14" t="str">
        <v>mediaSdk.registerParameterUpdatedCallback(callback = object : ParameterUpdatedCallback {
override fun onParameterUpdated(bundle: Bundle)</v>
      </c>
      <c r="V419" s="16">
        <v>716</v>
      </c>
      <c r="W419" s="14" t="str">
        <v>邹世清</v>
      </c>
      <c r="X419" s="14" t="str">
        <v>ACS03多媒体</v>
      </c>
      <c r="Y419" s="20" t="inlineStr">
        <is>
          <r>
            <t>@孙含玉</t>
          </r>
        </is>
      </c>
    </row>
    <row r="420" spans="3:25">
      <c r="C420" s="21" t="str">
        <v>音乐信息</v>
      </c>
      <c r="D420" s="22" t="str">
        <v>音乐播放列表信息</v>
      </c>
      <c r="E420" s="22" t="str">
        <v>String</v>
      </c>
      <c r="G420" s="14" t="str">
        <v>DZT0189</v>
      </c>
      <c r="H420" s="14" t="str">
        <v>座舱内部</v>
      </c>
      <c r="I420" s="15" t="str">
        <v>CDC内部</v>
      </c>
      <c r="J420" s="15" t="str">
        <v>多媒体/应用模块</v>
      </c>
      <c r="P420" s="15" t="str">
        <v>P0</v>
      </c>
      <c r="Q420" s="16">
        <v>6.6</v>
      </c>
      <c r="R420" s="17" t="str">
        <v>—（无需跨域接口）</v>
      </c>
      <c r="S420" s="14" t="str">
        <v>Pre-OTS版本-0804座舱转测</v>
      </c>
      <c r="T420" s="18" t="str">
        <v>多媒原子需求协议文档 </v>
      </c>
      <c r="U420" s="14" t="str">
        <v>mediaSdk.registerParameterUpdatedCallback(callback = object : ParameterUpdatedCallback {
override fun onParameterUpdated(bundle: Bundle)</v>
      </c>
      <c r="V420" s="16">
        <v>716</v>
      </c>
      <c r="W420" s="14" t="str">
        <v>邹世清</v>
      </c>
      <c r="X420" s="14" t="str">
        <v>ACS03多媒体</v>
      </c>
      <c r="Y420" s="20" t="inlineStr">
        <is>
          <r>
            <t>@孙含玉</t>
          </r>
        </is>
      </c>
    </row>
    <row r="421" spans="3:25">
      <c r="C421" s="21" t="str">
        <v>视频信息</v>
      </c>
      <c r="D421" s="22" t="str">
        <v>座舱_视频播放状态</v>
      </c>
      <c r="E421" s="22" t="str">
        <v>0=停止, 1=播放, 2=暂停, 3=缓冲, 4=加载</v>
      </c>
      <c r="G421" s="14" t="str">
        <v>DZT0190</v>
      </c>
      <c r="H421" s="14" t="str">
        <v>座舱内部</v>
      </c>
      <c r="I421" s="15" t="str">
        <v>CDC内部</v>
      </c>
      <c r="J421" s="15" t="str">
        <v>多媒体模块</v>
      </c>
      <c r="K421" s="15" t="str">
        <v>充电管家; 松弛模式（AI）; AI娱乐搭子</v>
      </c>
      <c r="P421" s="15" t="str">
        <v>P0</v>
      </c>
      <c r="Q421" s="16">
        <v>6.6</v>
      </c>
      <c r="R421" s="17" t="str">
        <v>—（无需跨域接口）</v>
      </c>
      <c r="S421" s="14" t="str">
        <v>Pre-OTS版本-0804座舱转测</v>
      </c>
      <c r="T421" s="18" t="str">
        <v>多媒原子需求协议文档 </v>
      </c>
      <c r="U421" s="14" t="str">
        <v>mediaSdk.registerParameterUpdatedCallback(callback = object : ParameterUpdatedCallback {
override fun onParameterUpdated(bundle: Bundle)</v>
      </c>
      <c r="V421" s="16">
        <v>724</v>
      </c>
      <c r="W421" s="14" t="str">
        <v>张克喜</v>
      </c>
      <c r="X421" s="14" t="str">
        <v>ACS03多媒体</v>
      </c>
      <c r="Y421" s="20" t="inlineStr">
        <is>
          <r>
            <t>@孙含玉</t>
          </r>
        </is>
      </c>
    </row>
    <row r="422" spans="3:25">
      <c r="C422" s="21" t="str">
        <v>视频信息</v>
      </c>
      <c r="D422" s="22" t="str">
        <v>座舱_当前视频名称</v>
      </c>
      <c r="E422" s="22" t="str">
        <v>String, 最长128字符 (UTF-8)</v>
      </c>
      <c r="G422" s="14" t="str">
        <v>DZT0191</v>
      </c>
      <c r="H422" s="14" t="str">
        <v>座舱内部</v>
      </c>
      <c r="I422" s="15" t="str">
        <v>CDC内部</v>
      </c>
      <c r="J422" s="15" t="str">
        <v>多媒体模块</v>
      </c>
      <c r="K422" s="15" t="str">
        <v>充电管家; 松弛模式（AI）; AI娱乐搭子</v>
      </c>
      <c r="P422" s="15" t="str">
        <v>P0</v>
      </c>
      <c r="Q422" s="16">
        <v>6.6</v>
      </c>
      <c r="R422" s="17" t="str">
        <v>—（无需跨域接口）</v>
      </c>
      <c r="S422" s="14" t="str">
        <v>Pre-OTS版本-0804座舱转测</v>
      </c>
      <c r="T422" s="18" t="str">
        <v>多媒原子需求协议文档 </v>
      </c>
      <c r="U422" s="14" t="str">
        <v>mediaSdk.registerParameterUpdatedCallback(callback = object : ParameterUpdatedCallback {
override fun onParameterUpdated(bundle: Bundle)</v>
      </c>
      <c r="V422" s="16">
        <v>724</v>
      </c>
      <c r="W422" s="14" t="str">
        <v>张克喜</v>
      </c>
      <c r="X422" s="14" t="str">
        <v>ACS03多媒体</v>
      </c>
      <c r="Y422" s="20" t="inlineStr">
        <is>
          <r>
            <t>@孙含玉</t>
          </r>
        </is>
      </c>
    </row>
    <row r="423" spans="3:25">
      <c r="C423" s="21" t="str">
        <v>视频信息</v>
      </c>
      <c r="D423" s="22" t="str">
        <v>视频综合信息</v>
      </c>
      <c r="E423" s="14" t="str">
        <v>以官方视频流提供简介信息为准</v>
      </c>
      <c r="G423" s="14" t="str">
        <v>DZT0192</v>
      </c>
      <c r="H423" s="14" t="str">
        <v>座舱内部</v>
      </c>
      <c r="I423" s="15" t="str">
        <v>CDC内部</v>
      </c>
      <c r="J423" s="15" t="str">
        <v>多媒体/应用模块</v>
      </c>
      <c r="P423" s="15" t="str">
        <v>P0</v>
      </c>
      <c r="Q423" s="16">
        <v>6.6</v>
      </c>
      <c r="R423" s="17" t="str">
        <v>—（无需跨域接口）</v>
      </c>
      <c r="S423" s="14" t="str">
        <v>Pre-OTS版本-0804座舱转测</v>
      </c>
      <c r="T423" s="18" t="str">
        <v>多媒原子需求协议文档 </v>
      </c>
      <c r="U423" s="14" t="str">
        <v>mediaSdk.registerParameterUpdatedCallback(callback = object : ParameterUpdatedCallback {
override fun onParameterUpdated(bundle: Bundle)</v>
      </c>
      <c r="V423" s="16">
        <v>724</v>
      </c>
      <c r="W423" s="14" t="str">
        <v>张克喜</v>
      </c>
      <c r="X423" s="14" t="str">
        <v>ACS03多媒体</v>
      </c>
      <c r="Y423" s="20" t="inlineStr">
        <is>
          <r>
            <t>@孙含玉</t>
          </r>
        </is>
      </c>
    </row>
    <row r="424" spans="3:25">
      <c r="C424" s="21" t="str">
        <v>视频信息</v>
      </c>
      <c r="D424" s="22" t="str">
        <v>座舱_当前视频集数</v>
      </c>
      <c r="E424" s="22" t="str">
        <v>0=非连续剧, 1~9999集</v>
      </c>
      <c r="G424" s="14" t="str">
        <v>DZT0193</v>
      </c>
      <c r="H424" s="14" t="str">
        <v>座舱内部</v>
      </c>
      <c r="I424" s="15" t="str">
        <v>CDC内部</v>
      </c>
      <c r="J424" s="15" t="str">
        <v>多媒体模块</v>
      </c>
      <c r="K424" s="15" t="str">
        <v>充电管家; 松弛模式（AI）; AI娱乐搭子</v>
      </c>
      <c r="P424" s="15" t="str">
        <v>P0</v>
      </c>
      <c r="Q424" s="16">
        <v>6.6</v>
      </c>
      <c r="R424" s="17" t="str">
        <v>—（无需跨域接口）</v>
      </c>
      <c r="S424" s="14" t="str">
        <v>Pre-OTS版本-0804座舱转测</v>
      </c>
      <c r="T424" s="18" t="str">
        <v>多媒原子需求协议文档 </v>
      </c>
      <c r="U424" s="14" t="str">
        <v>mediaSdk.registerParameterUpdatedCallback(callback = object : ParameterUpdatedCallback {
override fun onParameterUpdated(bundle: Bundle) {
getString("video_episode","5")
getString("source") // 源}})</v>
      </c>
      <c r="V424" s="16">
        <v>729</v>
      </c>
      <c r="W424" s="14" t="str">
        <v>尹鑫</v>
      </c>
      <c r="X424" s="14" t="str">
        <v>ACS03多媒体</v>
      </c>
      <c r="Y424" s="20" t="inlineStr">
        <is>
          <r>
            <t>@孙含玉</t>
          </r>
        </is>
      </c>
    </row>
    <row r="425" spans="3:25">
      <c r="C425" s="21" t="str">
        <v>视频信息</v>
      </c>
      <c r="D425" s="22" t="str">
        <v>座舱_视频播放进度值</v>
      </c>
      <c r="E425" s="22" t="str">
        <v>0~86400000 ms, 步长1000 ms</v>
      </c>
      <c r="G425" s="14" t="str">
        <v>DZT0194</v>
      </c>
      <c r="H425" s="14" t="str">
        <v>座舱内部</v>
      </c>
      <c r="I425" s="15" t="str">
        <v>CDC内部</v>
      </c>
      <c r="J425" s="15" t="str">
        <v>多媒体模块</v>
      </c>
      <c r="K425" s="15" t="str">
        <v>充电管家; 松弛模式（AI）; AI娱乐搭子</v>
      </c>
      <c r="P425" s="15" t="str">
        <v>P0</v>
      </c>
      <c r="Q425" s="16">
        <v>6.6</v>
      </c>
      <c r="R425" s="17" t="str">
        <v>—（无需跨域接口）</v>
      </c>
      <c r="S425" s="14" t="str">
        <v>Pre-OTS版本-0804座舱转测</v>
      </c>
      <c r="T425" s="18" t="str">
        <v>多媒原子需求协议文档 </v>
      </c>
      <c r="U425" s="14" t="str">
        <v>mediaSdk.registerParameterUpdatedCallback(callback = object : ParameterUpdatedCallback {
override fun onParameterUpdated(bundle: Bundle)</v>
      </c>
      <c r="V425" s="16">
        <v>724</v>
      </c>
      <c r="W425" s="14" t="str">
        <v>张克喜</v>
      </c>
      <c r="X425" s="14" t="str">
        <v>ACS03多媒体</v>
      </c>
      <c r="Y425" s="20" t="inlineStr">
        <is>
          <r>
            <t>@孙含玉</t>
          </r>
        </is>
      </c>
    </row>
    <row r="426" spans="3:25">
      <c r="C426" s="21" t="str">
        <v>视频信息</v>
      </c>
      <c r="D426" s="22" t="str">
        <v>座舱_视频总时长值</v>
      </c>
      <c r="E426" s="22" t="str">
        <v>0~86400000 ms, 步长1000 ms</v>
      </c>
      <c r="G426" s="14" t="str">
        <v>DZT0195</v>
      </c>
      <c r="H426" s="14" t="str">
        <v>座舱内部</v>
      </c>
      <c r="I426" s="15" t="str">
        <v>CDC内部</v>
      </c>
      <c r="J426" s="15" t="str">
        <v>多媒体模块</v>
      </c>
      <c r="K426" s="15" t="str">
        <v>充电管家; 松弛模式（AI）; AI娱乐搭子</v>
      </c>
      <c r="P426" s="15" t="str">
        <v>P0</v>
      </c>
      <c r="Q426" s="16">
        <v>6.6</v>
      </c>
      <c r="R426" s="17" t="str">
        <v>—（无需跨域接口）</v>
      </c>
      <c r="S426" s="14" t="str">
        <v>Pre-OTS版本-0804座舱转测</v>
      </c>
      <c r="T426" s="18" t="str">
        <v>多媒原子需求协议文档 </v>
      </c>
      <c r="U426" s="14" t="str">
        <v>mediaSdk.registerParameterUpdatedCallback(callback = object : ParameterUpdatedCallback {
override fun onParameterUpdated(bundle: Bundle)</v>
      </c>
      <c r="V426" s="16">
        <v>724</v>
      </c>
      <c r="W426" s="14" t="str">
        <v>张克喜</v>
      </c>
      <c r="X426" s="14" t="str">
        <v>ACS03多媒体</v>
      </c>
      <c r="Y426" s="20" t="inlineStr">
        <is>
          <r>
            <t>@孙含玉</t>
          </r>
        </is>
      </c>
    </row>
    <row r="427" spans="3:25">
      <c r="C427" s="21" t="str">
        <v>视频信息</v>
      </c>
      <c r="D427" s="22" t="str">
        <v>座舱_视频倍速状态</v>
      </c>
      <c r="E427" s="22" t="str">
        <v>0=0.75x, 1=1.0x, 2=1.25x, 3=1.5x, 4=2.0x</v>
      </c>
      <c r="G427" s="14" t="str">
        <v>DZT0196</v>
      </c>
      <c r="H427" s="14" t="str">
        <v>座舱内部</v>
      </c>
      <c r="I427" s="15" t="str">
        <v>CDC内部</v>
      </c>
      <c r="J427" s="15" t="str">
        <v>多媒体模块</v>
      </c>
      <c r="K427" s="15" t="str">
        <v>充电管家; 松弛模式（AI）; AI娱乐搭子</v>
      </c>
      <c r="P427" s="15" t="str">
        <v>P0</v>
      </c>
      <c r="Q427" s="16">
        <v>6.6</v>
      </c>
      <c r="R427" s="17" t="str">
        <v>—（无需跨域接口）</v>
      </c>
      <c r="S427" s="14" t="str">
        <v>Pre-OTS版本-0804座舱转测</v>
      </c>
      <c r="T427" s="18" t="str">
        <v>多媒原子需求协议文档 </v>
      </c>
      <c r="U427" s="14" t="str">
        <v>mediaSdk.registerParameterUpdatedCallback(callback = object : ParameterUpdatedCallback {
override fun onParameterUpdated(bundle: Bundle)</v>
      </c>
      <c r="V427" s="16">
        <v>724</v>
      </c>
      <c r="W427" s="14" t="str">
        <v>张克喜</v>
      </c>
      <c r="X427" s="14" t="str">
        <v>ACS03多媒体</v>
      </c>
      <c r="Y427" s="20" t="inlineStr">
        <is>
          <r>
            <t>@孙含玉</t>
          </r>
        </is>
      </c>
    </row>
    <row r="428" spans="3:25">
      <c r="C428" s="21" t="str">
        <v>视频信息</v>
      </c>
      <c r="D428" s="22" t="str">
        <v>座舱_视频分辨率状态</v>
      </c>
      <c r="E428" s="22" t="str">
        <v>0=流畅, 1=标清, 2=高清, 3=超清, 4=蓝光, 5=4K</v>
      </c>
      <c r="G428" s="14" t="str">
        <v>DZT0197</v>
      </c>
      <c r="H428" s="14" t="str">
        <v>座舱内部</v>
      </c>
      <c r="I428" s="15" t="str">
        <v>CDC内部</v>
      </c>
      <c r="J428" s="15" t="str">
        <v>多媒体模块</v>
      </c>
      <c r="K428" s="15" t="str">
        <v>充电管家; 松弛模式（AI）; AI娱乐搭子</v>
      </c>
      <c r="P428" s="15" t="str">
        <v>P0</v>
      </c>
      <c r="Q428" s="16">
        <v>6.6</v>
      </c>
      <c r="R428" s="17" t="str">
        <v>—（无需跨域接口）</v>
      </c>
      <c r="S428" s="14" t="str">
        <v>Pre-OTS版本-0804座舱转测</v>
      </c>
      <c r="T428" s="18" t="str">
        <v>多媒原子需求协议文档 </v>
      </c>
      <c r="U428" s="14" t="str">
        <v>mediaSdk.registerParameterUpdatedCallback(callback = object : ParameterUpdatedCallback {
override fun onParameterUpdated(bundle: Bundle) {
getString("video_resolution","2")
getString("source") // 源}})</v>
      </c>
      <c r="V428" s="16">
        <v>729</v>
      </c>
      <c r="W428" s="14" t="str">
        <v>尹鑫</v>
      </c>
      <c r="X428" s="14" t="str">
        <v>ACS03多媒体</v>
      </c>
      <c r="Y428" s="20" t="inlineStr">
        <is>
          <r>
            <t>@孙含玉</t>
          </r>
        </is>
      </c>
    </row>
    <row r="429" spans="3:25">
      <c r="C429" s="21" t="str">
        <v>视频信息</v>
      </c>
      <c r="D429" s="22" t="str">
        <v>座舱_视频全屏状态</v>
      </c>
      <c r="E429" s="22" t="str">
        <v>0=窗口, 1=全屏</v>
      </c>
      <c r="G429" s="14" t="str">
        <v>DZT0198</v>
      </c>
      <c r="H429" s="14" t="str">
        <v>座舱内部</v>
      </c>
      <c r="I429" s="15" t="str">
        <v>CDC内部</v>
      </c>
      <c r="J429" s="15" t="str">
        <v>多媒体模块</v>
      </c>
      <c r="K429" s="15" t="str">
        <v>充电管家; 松弛模式（AI）; AI娱乐搭子</v>
      </c>
      <c r="P429" s="15" t="str">
        <v>P0</v>
      </c>
      <c r="Q429" s="16">
        <v>6.6</v>
      </c>
      <c r="R429" s="17" t="str">
        <v>—（无需跨域接口）</v>
      </c>
      <c r="S429" s="14" t="str">
        <v>Pre-OTS版本-0804座舱转测</v>
      </c>
      <c r="T429" s="18" t="str">
        <v>多媒原子需求协议文档 </v>
      </c>
      <c r="U429" s="14" t="str">
        <v>mediaSdk.registerParameterUpdatedCallback(callback = object : ParameterUpdatedCallback {
override fun onParameterUpdated(bundle: Bundle) {
getString("video_fullscreen","1")
getString("source") // 源}})</v>
      </c>
      <c r="V429" s="16">
        <v>729</v>
      </c>
      <c r="W429" s="14" t="str">
        <v>尹鑫</v>
      </c>
      <c r="X429" s="14" t="str">
        <v>ACS03多媒体</v>
      </c>
      <c r="Y429" s="20" t="inlineStr">
        <is>
          <r>
            <t>@孙含玉</t>
          </r>
        </is>
      </c>
    </row>
    <row r="430" spans="3:25">
      <c r="C430" s="21" t="str">
        <v>视频信息</v>
      </c>
      <c r="D430" s="22" t="str">
        <v>座舱_弹幕状态</v>
      </c>
      <c r="E430" s="22" t="str">
        <v>0=关闭, 1=开启</v>
      </c>
      <c r="G430" s="14" t="str">
        <v>DZT0199</v>
      </c>
      <c r="H430" s="14" t="str">
        <v>座舱内部</v>
      </c>
      <c r="I430" s="15" t="str">
        <v>CDC内部</v>
      </c>
      <c r="J430" s="15" t="str">
        <v>多媒体模块</v>
      </c>
      <c r="K430" s="15" t="str">
        <v>充电管家; 松弛模式（AI）; AI娱乐搭子</v>
      </c>
      <c r="P430" s="15" t="str">
        <v>P0</v>
      </c>
      <c r="Q430" s="16">
        <v>6.6</v>
      </c>
      <c r="R430" s="17" t="str">
        <v>—（无需跨域接口）</v>
      </c>
      <c r="S430" s="14" t="str">
        <v>Pre-OTS版本-0804座舱转测</v>
      </c>
      <c r="T430" s="18" t="str">
        <v>多媒原子需求协议文档 </v>
      </c>
      <c r="U430" s="14" t="str">
        <v>mediaSdk.registerParameterUpdatedCallback(callback = object : ParameterUpdatedCallback {
override fun onParameterUpdated(bundle: Bundle) {
getString("video_danmaku","1")
getString("source") // 源}})</v>
      </c>
      <c r="V430" s="16">
        <v>729</v>
      </c>
      <c r="W430" s="14" t="str">
        <v>尹鑫</v>
      </c>
      <c r="X430" s="14" t="str">
        <v>ACS03多媒体</v>
      </c>
      <c r="Y430" s="20" t="inlineStr">
        <is>
          <r>
            <t>@孙含玉</t>
          </r>
        </is>
      </c>
    </row>
    <row r="431" spans="3:25">
      <c r="C431" s="21" t="str">
        <v>视频信息</v>
      </c>
      <c r="D431" s="22" t="str">
        <v>座舱_视频CP来源</v>
      </c>
      <c r="E431" s="22" t="str">
        <v>0=本地, 1=爱奇艺, 2=哔哩哔哩, 3=芒果TV, 4=腾讯视频, 5=车鱼视听</v>
      </c>
      <c r="G431" s="14" t="str">
        <v>DZT0200</v>
      </c>
      <c r="H431" s="14" t="str">
        <v>座舱内部</v>
      </c>
      <c r="I431" s="15" t="str">
        <v>CDC内部</v>
      </c>
      <c r="J431" s="15" t="str">
        <v>多媒体模块</v>
      </c>
      <c r="K431" s="15" t="str">
        <v>充电管家; 松弛模式（AI）; AI娱乐搭子</v>
      </c>
      <c r="P431" s="15" t="str">
        <v>P0</v>
      </c>
      <c r="Q431" s="16">
        <v>6.6</v>
      </c>
      <c r="R431" s="17" t="str">
        <v>—（无需跨域接口）</v>
      </c>
      <c r="S431" s="14" t="str">
        <v>Pre-OTS版本-0804座舱转测</v>
      </c>
      <c r="T431" s="18" t="str">
        <v>多媒原子需求协议文档 </v>
      </c>
      <c r="U431" s="14" t="str">
        <v>mediaSdk.registerParameterUpdatedCallback(callback = object : ParameterUpdatedCallback {
override fun onParameterUpdated(bundle: Bundle) {
val source= bundle.getString("source")</v>
      </c>
      <c r="V431" s="16">
        <v>729</v>
      </c>
      <c r="W431" s="14" t="str">
        <v>尹鑫</v>
      </c>
      <c r="X431" s="14" t="str">
        <v>ACS03多媒体</v>
      </c>
      <c r="Y431" s="20" t="inlineStr">
        <is>
          <r>
            <t>@孙含玉</t>
          </r>
        </is>
      </c>
    </row>
    <row r="432" spans="3:25">
      <c r="C432" s="21" t="str">
        <v>有声/电台状态</v>
      </c>
      <c r="D432" s="22" t="str">
        <v>座舱_有声播放状态</v>
      </c>
      <c r="E432" s="22" t="str">
        <v>0=停止, 1=播放, 2=暂停, 3=缓冲</v>
      </c>
      <c r="G432" s="14" t="str">
        <v>DZT0201</v>
      </c>
      <c r="H432" s="14" t="str">
        <v>座舱内部</v>
      </c>
      <c r="I432" s="15" t="str">
        <v>CDC内部</v>
      </c>
      <c r="J432" s="15" t="str">
        <v>多媒体模块</v>
      </c>
      <c r="K432" s="15" t="str">
        <v>充电管家; 松弛模式（AI）; AI娱乐搭子</v>
      </c>
      <c r="P432" s="15" t="str">
        <v>P0</v>
      </c>
      <c r="Q432" s="16">
        <v>6.6</v>
      </c>
      <c r="R432" s="17" t="str">
        <v>—（无需跨域接口）</v>
      </c>
      <c r="S432" s="14" t="str">
        <v>Pre-OTS版本-0804座舱转测</v>
      </c>
      <c r="T432" s="18" t="str">
        <v> 多媒原子需求协议文档 </v>
      </c>
      <c r="U432" s="14" t="str">
        <v>mediaSdk.registerParameterUpdatedCallback(callback = object : ParameterUpdatedCallback {
override fun onParameterUpdated(bundle: Bundle)</v>
      </c>
      <c r="V432" s="16">
        <v>716</v>
      </c>
      <c r="W432" s="14" t="str">
        <v>邹世清</v>
      </c>
      <c r="X432" s="14" t="str">
        <v>ACS03多媒体</v>
      </c>
      <c r="Y432" s="20" t="inlineStr">
        <is>
          <r>
            <t>@孙含玉</t>
          </r>
        </is>
      </c>
    </row>
    <row r="433" spans="3:25">
      <c r="C433" s="21" t="str">
        <v>有声/电台状态</v>
      </c>
      <c r="D433" s="22" t="str">
        <v>节目综合信息</v>
      </c>
      <c r="E433" s="14" t="str">
        <v>宇宙节目类型等综合信息</v>
      </c>
      <c r="G433" s="14" t="str">
        <v>DZT0202</v>
      </c>
      <c r="H433" s="14" t="str">
        <v>座舱内部</v>
      </c>
      <c r="I433" s="15" t="str">
        <v>CDC内部</v>
      </c>
      <c r="J433" s="15" t="str">
        <v>多媒体/应用模块</v>
      </c>
      <c r="O433" s="14" t="str">
        <v>小宇宙</v>
      </c>
      <c r="P433" s="15" t="str">
        <v>P0</v>
      </c>
      <c r="Q433" s="16">
        <v>6.6</v>
      </c>
      <c r="R433" s="17" t="str">
        <v>—（无需跨域接口）</v>
      </c>
      <c r="S433" s="14" t="str">
        <v>Pre-OTS版本-0804座舱转测</v>
      </c>
      <c r="T433" s="18" t="str">
        <v> 多媒原子需求协议文档 </v>
      </c>
      <c r="U433" s="14" t="str">
        <v>mediaSdk.registerParameterUpdatedCallback(callback = object : ParameterUpdatedCallback {
override fun onParameterUpdated(bundle: Bundle)</v>
      </c>
      <c r="V433" s="16">
        <v>722</v>
      </c>
      <c r="W433" s="14" t="str">
        <v>张克喜</v>
      </c>
      <c r="X433" s="14" t="str">
        <v>ACS03多媒体</v>
      </c>
      <c r="Y433" s="20" t="inlineStr">
        <is>
          <r>
            <t>@孙含玉</t>
          </r>
        </is>
      </c>
    </row>
    <row r="434" spans="3:25">
      <c r="C434" s="21" t="str">
        <v>有声/电台状态</v>
      </c>
      <c r="D434" s="22" t="str">
        <v>座舱_当前有声节目名称</v>
      </c>
      <c r="E434" s="22" t="str">
        <v>String, 最长128字符 (UTF-8)</v>
      </c>
      <c r="G434" s="14" t="str">
        <v>DZT0203</v>
      </c>
      <c r="H434" s="14" t="str">
        <v>座舱内部</v>
      </c>
      <c r="I434" s="15" t="str">
        <v>CDC内部</v>
      </c>
      <c r="J434" s="15" t="str">
        <v>多媒体模块</v>
      </c>
      <c r="K434" s="15" t="str">
        <v>充电管家; 松弛模式（AI）; AI娱乐搭子</v>
      </c>
      <c r="P434" s="15" t="str">
        <v>P0</v>
      </c>
      <c r="Q434" s="16">
        <v>6.6</v>
      </c>
      <c r="R434" s="17" t="str">
        <v>—（无需跨域接口）</v>
      </c>
      <c r="S434" s="14" t="str">
        <v>Pre-OTS版本-0804座舱转测</v>
      </c>
      <c r="T434" s="18" t="str">
        <v> 多媒原子需求协议文档 </v>
      </c>
      <c r="U434" s="14" t="str">
        <v>mediaSdk.registerParameterUpdatedCallback(callback = object : ParameterUpdatedCallback {
override fun onParameterUpdated(bundle: Bundle)</v>
      </c>
      <c r="V434" s="16">
        <v>722</v>
      </c>
      <c r="W434" s="14" t="str">
        <v>张克喜</v>
      </c>
      <c r="X434" s="14" t="str">
        <v>ACS03多媒体</v>
      </c>
      <c r="Y434" s="20" t="inlineStr">
        <is>
          <r>
            <t>@孙含玉</t>
          </r>
        </is>
      </c>
    </row>
    <row r="435" spans="3:25">
      <c r="C435" s="21" t="str">
        <v>有声/电台状态</v>
      </c>
      <c r="D435" s="22" t="str">
        <v>座舱_当前有声集数</v>
      </c>
      <c r="E435" s="22" t="str">
        <v>0~9999集</v>
      </c>
      <c r="G435" s="14" t="str">
        <v>DZT0204</v>
      </c>
      <c r="H435" s="14" t="str">
        <v>座舱内部</v>
      </c>
      <c r="I435" s="15" t="str">
        <v>CDC内部</v>
      </c>
      <c r="J435" s="15" t="str">
        <v>多媒体模块</v>
      </c>
      <c r="K435" s="15" t="str">
        <v>充电管家; 松弛模式（AI）; AI娱乐搭子</v>
      </c>
      <c r="P435" s="15" t="str">
        <v>P0</v>
      </c>
      <c r="Q435" s="16">
        <v>6.6</v>
      </c>
      <c r="R435" s="17" t="str">
        <v>—（无需跨域接口）</v>
      </c>
      <c r="S435" s="14" t="str">
        <v>Pre-OTS版本-0804座舱转测</v>
      </c>
      <c r="T435" s="18" t="str">
        <v> 多媒原子需求协议文档 </v>
      </c>
      <c r="U435" s="14" t="str">
        <v>mediaSdk.registerParameterUpdatedCallback(callback = object : ParameterUpdatedCallback {
override fun onParameterUpdated(bundle: Bundle)</v>
      </c>
      <c r="V435" s="16">
        <v>722</v>
      </c>
      <c r="W435" s="14" t="str">
        <v>张克喜</v>
      </c>
      <c r="X435" s="14" t="str">
        <v>ACS03多媒体</v>
      </c>
      <c r="Y435" s="20" t="inlineStr">
        <is>
          <r>
            <t>@孙含玉</t>
          </r>
        </is>
      </c>
    </row>
    <row r="436" spans="3:25">
      <c r="C436" s="21" t="str">
        <v>有声/电台状态</v>
      </c>
      <c r="D436" s="22" t="str">
        <v>座舱_有声倍速状态</v>
      </c>
      <c r="E436" s="22" t="str">
        <v>0.5x, 0.75x, 1.0x, 1.25x, 1.5x, 2.0x</v>
      </c>
      <c r="G436" s="14" t="str">
        <v>DZT0205</v>
      </c>
      <c r="H436" s="14" t="str">
        <v>座舱内部</v>
      </c>
      <c r="I436" s="15" t="str">
        <v>CDC内部</v>
      </c>
      <c r="J436" s="15" t="str">
        <v>多媒体模块</v>
      </c>
      <c r="K436" s="15" t="str">
        <v>充电管家; 松弛模式（AI）; AI娱乐搭子</v>
      </c>
      <c r="P436" s="15" t="str">
        <v>P0</v>
      </c>
      <c r="Q436" s="16">
        <v>6.6</v>
      </c>
      <c r="R436" s="17" t="str">
        <v>—（无需跨域接口）</v>
      </c>
      <c r="S436" s="14" t="str">
        <v>原定Pre-OTS版本-0804座舱转测—后延</v>
      </c>
      <c r="T436" s="18" t="str">
        <v> 多媒原子需求协议文档 </v>
      </c>
      <c r="U436" s="14" t="str">
        <v>mediaSdk.registerParameterUpdatedCallback(callback = object : ParameterUpdatedCallback {
override fun onParameterUpdated(bundle: Bundle)</v>
      </c>
      <c r="V436" s="16">
        <v>722</v>
      </c>
      <c r="W436" s="14" t="str">
        <v>张克喜</v>
      </c>
      <c r="X436" s="14" t="str">
        <v>ACS03多媒体</v>
      </c>
      <c r="Y436" s="20" t="inlineStr">
        <is>
          <r>
            <t>@孙含玉</t>
          </r>
        </is>
      </c>
    </row>
    <row r="437" spans="3:25">
      <c r="C437" s="21" t="str">
        <v>有声/电台状态</v>
      </c>
      <c r="D437" s="22" t="str">
        <v>座舱_FM频率值</v>
      </c>
      <c r="E437" s="22" t="str">
        <v>87.5~108.0 MHz, 步长0.1 MHz</v>
      </c>
      <c r="G437" s="14" t="str">
        <v>DZT0206</v>
      </c>
      <c r="H437" s="14" t="str">
        <v>座舱内部</v>
      </c>
      <c r="I437" s="15" t="str">
        <v>CDC内部</v>
      </c>
      <c r="J437" s="15" t="str">
        <v>多媒体模块</v>
      </c>
      <c r="K437" s="15" t="str">
        <v>充电管家; 松弛模式（AI）; AI娱乐搭子</v>
      </c>
      <c r="P437" s="15" t="str">
        <v>P0</v>
      </c>
      <c r="Q437" s="16">
        <v>6.6</v>
      </c>
      <c r="R437" s="17" t="str">
        <v>—（无需跨域接口）</v>
      </c>
      <c r="S437" s="14" t="str">
        <v>原定Pre-OTS版本-0804座舱转测—后延</v>
      </c>
      <c r="T437" s="18" t="str">
        <v> 多媒原子需求协议文档 </v>
      </c>
      <c r="U437" s="14" t="str">
        <v>mediaSdk.registerParameterUpdatedCallback(callback = object : ParameterUpdatedCallback {
override fun onParameterUpdated(bundle: Bundle)</v>
      </c>
      <c r="V437" s="16">
        <v>716</v>
      </c>
      <c r="W437" s="14" t="str">
        <v>邹世清</v>
      </c>
      <c r="X437" s="14" t="str">
        <v>ACS03多媒体</v>
      </c>
      <c r="Y437" s="20" t="inlineStr">
        <is>
          <r>
            <t>@孙含玉</t>
          </r>
        </is>
      </c>
    </row>
    <row r="438" spans="3:25">
      <c r="C438" s="21" t="str">
        <v>有声/电台状态</v>
      </c>
      <c r="D438" s="22" t="str">
        <v>座舱_AM频率值</v>
      </c>
      <c r="E438" s="22" t="str">
        <v>531~1602 kHz, 步长9 kHz</v>
      </c>
      <c r="G438" s="14" t="str">
        <v>DZT0207</v>
      </c>
      <c r="H438" s="14" t="str">
        <v>座舱内部</v>
      </c>
      <c r="I438" s="15" t="str">
        <v>CDC内部</v>
      </c>
      <c r="J438" s="15" t="str">
        <v>多媒体模块</v>
      </c>
      <c r="K438" s="15" t="str">
        <v>充电管家; 松弛模式（AI）; AI娱乐搭子</v>
      </c>
      <c r="P438" s="15" t="str">
        <v>P0</v>
      </c>
      <c r="Q438" s="16">
        <v>6.6</v>
      </c>
      <c r="R438" s="17" t="str">
        <v>—（无需跨域接口）</v>
      </c>
      <c r="S438" s="14" t="str">
        <v>原定Pre-OTS版本-0804座舱转测—后延</v>
      </c>
      <c r="T438" s="18" t="str">
        <v> 多媒原子需求协议文档 </v>
      </c>
      <c r="U438" s="14" t="str">
        <v>mediaSdk.registerParameterUpdatedCallback(callback = object : ParameterUpdatedCallback {
override fun onParameterUpdated(bundle: Bundle)</v>
      </c>
      <c r="V438" s="16">
        <v>716</v>
      </c>
      <c r="W438" s="14" t="str">
        <v>邹世清</v>
      </c>
      <c r="X438" s="14" t="str">
        <v>ACS03多媒体</v>
      </c>
      <c r="Y438" s="20" t="inlineStr">
        <is>
          <r>
            <t>@孙含玉</t>
          </r>
        </is>
      </c>
    </row>
    <row r="439" spans="2:25">
      <c r="B439" s="3" t="str">
        <v>7.6音频通道</v>
      </c>
      <c r="C439" s="21" t="str">
        <v>音频通道状态</v>
      </c>
      <c r="D439" s="22" t="str">
        <v>座舱_媒体音量值</v>
      </c>
      <c r="E439" s="22" t="str">
        <v>0~100%, 步长1%</v>
      </c>
      <c r="G439" s="14" t="str">
        <v>DZT0208</v>
      </c>
      <c r="H439" s="14" t="str">
        <v>座舱内部</v>
      </c>
      <c r="I439" s="15" t="str">
        <v>CDC内部</v>
      </c>
      <c r="J439" s="15" t="str">
        <v>多媒体模块</v>
      </c>
      <c r="K439" s="15" t="str">
        <v>充电管家; 松弛模式（AI）; AI娱乐搭子</v>
      </c>
      <c r="P439" s="15" t="str">
        <v>P0</v>
      </c>
      <c r="Q439" s="16">
        <v>6.6</v>
      </c>
      <c r="R439" s="17" t="str">
        <v>—（无需跨域接口）</v>
      </c>
      <c r="S439" s="14" t="str">
        <v>Pre-OTS版本-0804座舱转测</v>
      </c>
      <c r="T439" s="18" t="str">
        <v>车服务原子能力清单 </v>
      </c>
      <c r="U439" s="26" t="str">
        <v>ACTION_SOUND_MEDIA_VOLUME</v>
      </c>
      <c r="V439" s="16">
        <v>715</v>
      </c>
      <c r="W439" s="26" t="str">
        <v>李潘</v>
      </c>
      <c r="X439" s="14" t="str">
        <v>ACS12整车音效</v>
      </c>
      <c r="Y439" s="20" t="inlineStr">
        <is>
          <r>
            <t>@王竹月</t>
          </r>
        </is>
      </c>
    </row>
    <row r="440" spans="3:25">
      <c r="C440" s="21" t="str">
        <v>音频通道状态</v>
      </c>
      <c r="D440" s="22" t="str">
        <v>座舱_导航音量值</v>
      </c>
      <c r="E440" s="22" t="str">
        <v>0~100%, 步长1%</v>
      </c>
      <c r="G440" s="14" t="str">
        <v>DZT0209</v>
      </c>
      <c r="H440" s="14" t="str">
        <v>座舱内部</v>
      </c>
      <c r="I440" s="15" t="str">
        <v>CDC内部</v>
      </c>
      <c r="J440" s="15" t="str">
        <v>多媒体模块</v>
      </c>
      <c r="K440" s="15" t="str">
        <v>充电管家; 松弛模式（AI）; AI娱乐搭子</v>
      </c>
      <c r="P440" s="15" t="str">
        <v>P0</v>
      </c>
      <c r="Q440" s="16">
        <v>6.6</v>
      </c>
      <c r="R440" s="17" t="str">
        <v>—（无需跨域接口）</v>
      </c>
      <c r="S440" s="14" t="str">
        <v>原定Pre-OTS版本-0804座舱转测—后延</v>
      </c>
      <c r="T440" s="18" t="str">
        <v>车服务原子能力清单 </v>
      </c>
      <c r="U440" s="26" t="str">
        <v>ACTION_SOUND_NAVIGATION_VOLUME</v>
      </c>
      <c r="V440" s="16">
        <v>715</v>
      </c>
      <c r="W440" s="26" t="str">
        <v>李潘</v>
      </c>
      <c r="X440" s="14" t="str">
        <v>ACS12整车音效</v>
      </c>
      <c r="Y440" s="20" t="inlineStr">
        <is>
          <r>
            <t>@王竹月</t>
          </r>
        </is>
      </c>
    </row>
    <row r="441" spans="3:25">
      <c r="C441" s="21" t="str">
        <v>音频通道状态</v>
      </c>
      <c r="D441" s="22" t="str">
        <v>座舱_语音助手音量值</v>
      </c>
      <c r="E441" s="22" t="str">
        <v>0~100%, 步长1%</v>
      </c>
      <c r="G441" s="14" t="str">
        <v>DZT0210</v>
      </c>
      <c r="H441" s="14" t="str">
        <v>座舱内部</v>
      </c>
      <c r="I441" s="15" t="str">
        <v>CDC内部</v>
      </c>
      <c r="J441" s="15" t="str">
        <v>多媒体模块</v>
      </c>
      <c r="K441" s="15" t="str">
        <v>充电管家; 松弛模式（AI）; AI娱乐搭子</v>
      </c>
      <c r="P441" s="15" t="str">
        <v>P0</v>
      </c>
      <c r="Q441" s="16">
        <v>6.6</v>
      </c>
      <c r="R441" s="17" t="str">
        <v>—（无需跨域接口）</v>
      </c>
      <c r="S441" s="14" t="str">
        <v>原定Pre-OTS版本-0804座舱转测—后延</v>
      </c>
      <c r="T441" s="18" t="str">
        <v>车服务原子能力清单 </v>
      </c>
      <c r="U441" s="26" t="str">
        <v>ACTION_SOUND_CALL_VOLUME</v>
      </c>
      <c r="V441" s="16">
        <v>715</v>
      </c>
      <c r="W441" s="26" t="str">
        <v>李潘</v>
      </c>
      <c r="X441" s="14" t="str">
        <v>ACS12整车音效</v>
      </c>
      <c r="Y441" s="20" t="inlineStr">
        <is>
          <r>
            <t>@王竹月</t>
          </r>
        </is>
      </c>
    </row>
    <row r="442" spans="3:25">
      <c r="C442" s="21" t="str">
        <v>音频通道状态</v>
      </c>
      <c r="D442" s="22" t="str">
        <v>座舱_电话音量值</v>
      </c>
      <c r="E442" s="22" t="str">
        <v>0~100%, 步长1%</v>
      </c>
      <c r="G442" s="14" t="str">
        <v>DZT0211</v>
      </c>
      <c r="H442" s="14" t="str">
        <v>座舱内部</v>
      </c>
      <c r="I442" s="15" t="str">
        <v>CDC内部</v>
      </c>
      <c r="J442" s="15" t="str">
        <v>多媒体模块</v>
      </c>
      <c r="K442" s="15" t="str">
        <v>充电管家; 松弛模式（AI）; AI娱乐搭子</v>
      </c>
      <c r="P442" s="15" t="str">
        <v>P0</v>
      </c>
      <c r="Q442" s="16">
        <v>6.6</v>
      </c>
      <c r="R442" s="17" t="str">
        <v>—（无需跨域接口）</v>
      </c>
      <c r="S442" s="14" t="str">
        <v>原定Pre-OTS版本-0804座舱转测—后延</v>
      </c>
      <c r="T442" s="18" t="str">
        <v>车服务原子能力清单 </v>
      </c>
      <c r="U442" s="14" t="str">
        <v>ACTION_SOUND_CALL_VOLUME</v>
      </c>
      <c r="V442" s="16">
        <v>715</v>
      </c>
      <c r="W442" s="26" t="str">
        <v>李潘</v>
      </c>
      <c r="X442" s="14" t="str">
        <v>ACS12整车音效</v>
      </c>
      <c r="Y442" s="20" t="inlineStr">
        <is>
          <r>
            <t>@王竹月</t>
          </r>
        </is>
      </c>
    </row>
    <row r="443" spans="3:25">
      <c r="C443" s="21" t="str">
        <v>音频通道状态</v>
      </c>
      <c r="D443" s="21" t="str">
        <v>座舱_操作提示音开关</v>
      </c>
      <c r="E443" s="21" t="str">
        <v>开/闭</v>
      </c>
      <c r="G443" s="28" t="str">
        <v>DZT0212</v>
      </c>
      <c r="H443" s="28" t="str">
        <v>座舱内部</v>
      </c>
      <c r="I443" s="26" t="str">
        <v>CDC内部</v>
      </c>
      <c r="J443" s="26" t="str">
        <v>多媒体模块</v>
      </c>
      <c r="K443" s="26" t="str">
        <v>充电管家; 松弛模式（AI）; AI娱乐搭子</v>
      </c>
      <c r="P443" s="26" t="str">
        <v>P0</v>
      </c>
      <c r="Q443" s="30">
        <v>6.6</v>
      </c>
      <c r="R443" s="17" t="str">
        <v>—（无需跨域接口）</v>
      </c>
      <c r="S443" s="28" t="str">
        <v>Pre-OTS版本-0804座舱转测</v>
      </c>
      <c r="X443" s="28" t="str">
        <v>ACS12整车音效</v>
      </c>
      <c r="Y443" s="28" t="inlineStr">
        <is>
          <r>
            <t>@王竹月</t>
          </r>
        </is>
      </c>
    </row>
    <row r="444" spans="3:25">
      <c r="C444" s="21" t="str">
        <v>音频通道状态</v>
      </c>
      <c r="D444" s="22" t="str">
        <v>座舱_当前活跃音频通道</v>
      </c>
      <c r="E444" s="22" t="str">
        <v>0=无, 1=Chime0, 2=Chime1, 3=Chime2, 4=Chime3, 5=E-CALL, 6=EMERGENCY, 7=ANNOUNCEMENT, 8=Alarm, 9=CALL, 10=Ringtone, 11=
Assistant, 12=Navigation, 13=Notification, 14=
操作提示类, 15=Game, 16=Music</v>
      </c>
      <c r="G444" s="14" t="str">
        <v>DZT0213</v>
      </c>
      <c r="H444" s="14" t="str">
        <v>座舱内部</v>
      </c>
      <c r="I444" s="15" t="str">
        <v>CDC内部</v>
      </c>
      <c r="J444" s="15" t="str">
        <v>多媒体模块</v>
      </c>
      <c r="K444" s="15" t="str">
        <v>充电管家; 松弛模式（AI）; AI娱乐搭子</v>
      </c>
      <c r="O444" s="14" t="str">
        <v>可多个通道活跃</v>
      </c>
      <c r="P444" s="15" t="str">
        <v>P0</v>
      </c>
      <c r="Q444" s="16">
        <v>6.6</v>
      </c>
      <c r="R444" s="17" t="str">
        <v>—（无需跨域接口）</v>
      </c>
      <c r="S444" s="14" t="str">
        <v>Pre-OTS版本-0804座舱转测</v>
      </c>
      <c r="X444" s="14" t="str">
        <v>ACS12整车音效</v>
      </c>
      <c r="Y444" s="20" t="inlineStr">
        <is>
          <r>
            <t>@王竹月</t>
          </r>
        </is>
      </c>
    </row>
    <row r="445" spans="3:25">
      <c r="C445" s="21" t="str">
        <v>音频通道状态</v>
      </c>
      <c r="D445" s="22" t="str">
        <v>座舱_音频焦点持有者</v>
      </c>
      <c r="E445" s="22" t="str">
        <v>0=无, 1=Chime0, 2=Chime1, 3=Chime2, 4=Chime3, 5=E-CALL, 6=EMERGENCY, 7=ANNOUNCEMENT, 8=Alarm, 9=CALL, 10=Ringtone, 11=
Assistant, 12=Navigation, 13=Notification, 14=
操作提示类, 15=Game, 16=Music</v>
      </c>
      <c r="G445" s="14" t="str">
        <v>DZT0214</v>
      </c>
      <c r="H445" s="14" t="str">
        <v>座舱内部</v>
      </c>
      <c r="I445" s="15" t="str">
        <v>CDC内部</v>
      </c>
      <c r="J445" s="15" t="str">
        <v>多媒体模块</v>
      </c>
      <c r="K445" s="15" t="str">
        <v>充电管家; 松弛模式（AI）; AI娱乐搭子</v>
      </c>
      <c r="O445" s="14" t="str">
        <v>仅有一个</v>
      </c>
      <c r="P445" s="15" t="str">
        <v>P0</v>
      </c>
      <c r="Q445" s="16">
        <v>6.6</v>
      </c>
      <c r="R445" s="17" t="str">
        <v>—（无需跨域接口）</v>
      </c>
      <c r="S445" s="14" t="str">
        <v>Pre-OTS版本-0804座舱转测</v>
      </c>
      <c r="X445" s="14" t="str">
        <v>ACS12整车音效</v>
      </c>
      <c r="Y445" s="20" t="inlineStr">
        <is>
          <r>
            <t>@王竹月</t>
          </r>
        </is>
      </c>
    </row>
    <row r="446" spans="3:25">
      <c r="C446" s="21" t="str">
        <v>音频通道状态</v>
      </c>
      <c r="D446" s="22" t="str">
        <v>座舱_声场类型状态</v>
      </c>
      <c r="E446" s="22" t="str">
        <v>0=全车, 1=主驾, 2=前排, 3=后排</v>
      </c>
      <c r="G446" s="14" t="str">
        <v>DZT0215</v>
      </c>
      <c r="H446" s="14" t="str">
        <v>座舱内部</v>
      </c>
      <c r="I446" s="15" t="str">
        <v>CDC内部</v>
      </c>
      <c r="J446" s="15" t="str">
        <v>多媒体模块</v>
      </c>
      <c r="K446" s="15" t="str">
        <v>充电管家; 松弛模式（AI）; AI娱乐搭子</v>
      </c>
      <c r="P446" s="15" t="str">
        <v>P0</v>
      </c>
      <c r="Q446" s="16">
        <v>6.6</v>
      </c>
      <c r="R446" s="17" t="str">
        <v>—（无需跨域接口）</v>
      </c>
      <c r="S446" s="14" t="str">
        <v>原定Pre-OTS版本-0804座舱转测—后延</v>
      </c>
      <c r="X446" s="14" t="str">
        <v>ACS12整车音效</v>
      </c>
      <c r="Y446" s="20" t="inlineStr">
        <is>
          <r>
            <t>@王竹月</t>
          </r>
        </is>
      </c>
    </row>
    <row r="447" spans="3:25">
      <c r="C447" s="21" t="str">
        <v>音频通道状态</v>
      </c>
      <c r="D447" s="22" t="str">
        <v>座舱_头枕音响开关状态</v>
      </c>
      <c r="E447" s="22" t="str">
        <v>0=关闭, 1=开启</v>
      </c>
      <c r="G447" s="14" t="str">
        <v>DZT0216</v>
      </c>
      <c r="H447" s="14" t="str">
        <v>座舱内部</v>
      </c>
      <c r="I447" s="15" t="str">
        <v>CDC内部</v>
      </c>
      <c r="J447" s="15" t="str">
        <v>多媒体模块</v>
      </c>
      <c r="K447" s="15" t="str">
        <v>充电管家; 松弛模式（AI）; AI娱乐搭子</v>
      </c>
      <c r="P447" s="15" t="str">
        <v>P0</v>
      </c>
      <c r="Q447" s="16">
        <v>6.6</v>
      </c>
      <c r="R447" s="17" t="str">
        <v>—（无需跨域接口）</v>
      </c>
      <c r="S447" s="14" t="str">
        <v>原定Pre-OTS版本-0804座舱转测—后延</v>
      </c>
      <c r="T447" s="18" t="str">
        <v>车服务原子能力清单 </v>
      </c>
      <c r="U447" s="28" t="str">
        <v>ACTION_SOUND_HEADREST_MODE</v>
      </c>
      <c r="V447" s="16">
        <v>724</v>
      </c>
      <c r="W447" s="28" t="str">
        <v>李潘</v>
      </c>
      <c r="X447" s="28" t="str">
        <v>ACS12整车音效</v>
      </c>
      <c r="Y447" s="20" t="inlineStr">
        <is>
          <r>
            <t>@王竹月</t>
          </r>
        </is>
      </c>
    </row>
    <row r="448" spans="3:25">
      <c r="C448" s="21" t="str">
        <v>音频通道状态</v>
      </c>
      <c r="D448" s="22" t="str">
        <v>座舱_车外喊话开关状态</v>
      </c>
      <c r="E448" s="22" t="str">
        <v>0=关闭, 1=开启</v>
      </c>
      <c r="G448" s="14" t="str">
        <v>DZT0217</v>
      </c>
      <c r="H448" s="14" t="str">
        <v>座舱内部</v>
      </c>
      <c r="I448" s="15" t="str">
        <v>CDC内部</v>
      </c>
      <c r="J448" s="15" t="str">
        <v>多媒体模块</v>
      </c>
      <c r="K448" s="15" t="str">
        <v>充电管家; 松弛模式（AI）; AI娱乐搭子</v>
      </c>
      <c r="Q448" s="16">
        <v>6.6</v>
      </c>
      <c r="R448" s="17" t="str">
        <v>—（无需跨域接口）</v>
      </c>
      <c r="S448" s="14" t="str">
        <v>原定Pre-OTS版本-0804座舱转测—后延</v>
      </c>
      <c r="T448" s="18" t="str">
        <v>车服务原子能力清单 </v>
      </c>
      <c r="U448" s="14" t="str">
        <v>ACTION_SOUND_EXTERNAL_SWITCH</v>
      </c>
      <c r="V448" s="16">
        <v>729</v>
      </c>
      <c r="W448" s="28" t="str">
        <v>李潘</v>
      </c>
      <c r="X448" s="14" t="str">
        <v>ACS12整车音效</v>
      </c>
      <c r="Y448" s="20" t="inlineStr">
        <is>
          <r>
            <t>@王竹月</t>
          </r>
        </is>
      </c>
    </row>
    <row r="449" spans="2:25">
      <c r="B449" s="22" t="str">
        <v>7.7 电话</v>
      </c>
      <c r="C449" s="27" t="str">
        <v>电话状态</v>
      </c>
      <c r="D449" s="22" t="str">
        <v>座舱_电话通话状态</v>
      </c>
      <c r="E449" s="22" t="str">
        <v>0=空闲, 1=来电响铃, 2=外拨中, 3=通话中, 4=保持, 5=会议</v>
      </c>
      <c r="G449" s="14" t="str">
        <v>DZT0218</v>
      </c>
      <c r="H449" s="14" t="str">
        <v>座舱内部</v>
      </c>
      <c r="I449" s="15" t="str">
        <v>CDC内部</v>
      </c>
      <c r="J449" s="15" t="str">
        <v>多媒体模块</v>
      </c>
      <c r="K449" s="15" t="str">
        <v>充电管家; 松弛模式（AI）; AI娱乐搭子</v>
      </c>
      <c r="P449" s="15" t="str">
        <v>P0</v>
      </c>
      <c r="Q449" s="16">
        <v>6.6</v>
      </c>
      <c r="R449" s="17" t="str">
        <v>—（无需跨域接口）</v>
      </c>
      <c r="S449" s="14" t="str">
        <v>原定Pre-OTS版本-0804座舱转测—后延</v>
      </c>
      <c r="T449" s="18" t="str">
        <v>蓝牙电话SDK接口说明与使用指南 </v>
      </c>
      <c r="U449" s="14" t="str">
        <v>abstract fun onCustomActionCalled(key: String?, data: Bundle?)
btPhone.registPhonebookCallBack(phonebookCallback, callback)</v>
      </c>
      <c r="V449" s="16">
        <v>724</v>
      </c>
      <c r="W449" s="14" t="str">
        <v>敬成龙</v>
      </c>
      <c r="X449" s="14" t="str">
        <v>ACS08通讯服务</v>
      </c>
      <c r="Y449" s="20" t="inlineStr">
        <is>
          <r>
            <t>@孙含玉</t>
          </r>
        </is>
      </c>
    </row>
    <row r="450" spans="3:26">
      <c r="C450" s="60" t="str">
        <v>电话状态</v>
      </c>
      <c r="D450" s="46" t="str">
        <v>座舱_来电号码</v>
      </c>
      <c r="E450" s="46" t="str">
        <v>String, 最长20字符, E.164格式</v>
      </c>
      <c r="G450" s="48" t="str">
        <v>DZT0219</v>
      </c>
      <c r="H450" s="48" t="str">
        <v>座舱内部</v>
      </c>
      <c r="I450" s="50" t="str">
        <v>CDC内部</v>
      </c>
      <c r="J450" s="50" t="str">
        <v>多媒体模块</v>
      </c>
      <c r="K450" s="50" t="str">
        <v>充电管家; 松弛模式（AI）; AI娱乐搭子</v>
      </c>
      <c r="P450" s="50" t="str">
        <v>P0</v>
      </c>
      <c r="Q450" s="51">
        <v>6.6</v>
      </c>
      <c r="R450" s="52" t="str">
        <v>—（无需跨域接口）</v>
      </c>
      <c r="X450" s="48" t="str">
        <v>ACS08通讯服务</v>
      </c>
      <c r="Y450" s="53" t="inlineStr">
        <is>
          <r>
            <t>@孙含玉</t>
          </r>
        </is>
      </c>
      <c r="Z450" s="49" t="str">
        <v>风险</v>
      </c>
    </row>
    <row r="451" spans="3:26">
      <c r="C451" s="60" t="str">
        <v>电话状态</v>
      </c>
      <c r="D451" s="46" t="str">
        <v>座舱_来电联系人</v>
      </c>
      <c r="E451" s="46" t="str">
        <v>String, 最长64字符 (UTF-8)</v>
      </c>
      <c r="G451" s="48" t="str">
        <v>DZT0220</v>
      </c>
      <c r="H451" s="48" t="str">
        <v>座舱内部</v>
      </c>
      <c r="I451" s="50" t="str">
        <v>CDC内部</v>
      </c>
      <c r="J451" s="50" t="str">
        <v>多媒体模块</v>
      </c>
      <c r="K451" s="50" t="str">
        <v>充电管家; 松弛模式（AI）; AI娱乐搭子</v>
      </c>
      <c r="P451" s="50" t="str">
        <v>P0</v>
      </c>
      <c r="Q451" s="51">
        <v>6.6</v>
      </c>
      <c r="R451" s="52" t="str">
        <v>—（无需跨域接口）</v>
      </c>
      <c r="X451" s="48" t="str">
        <v>ACS08通讯服务</v>
      </c>
      <c r="Y451" s="53" t="inlineStr">
        <is>
          <r>
            <t>@孙含玉</t>
          </r>
        </is>
      </c>
      <c r="Z451" s="49" t="str">
        <v>风险</v>
      </c>
    </row>
    <row r="452" spans="3:25">
      <c r="C452" s="27" t="str">
        <v>电话状态</v>
      </c>
      <c r="D452" s="22" t="str">
        <v>座舱_通话时长值</v>
      </c>
      <c r="E452" s="22" t="str">
        <v>0~65535 s, 步长1 s</v>
      </c>
      <c r="G452" s="14" t="str">
        <v>DZT0221</v>
      </c>
      <c r="H452" s="14" t="str">
        <v>座舱内部</v>
      </c>
      <c r="I452" s="15" t="str">
        <v>CDC内部</v>
      </c>
      <c r="J452" s="15" t="str">
        <v>多媒体模块</v>
      </c>
      <c r="K452" s="15" t="str">
        <v>充电管家; 松弛模式（AI）; AI娱乐搭子</v>
      </c>
      <c r="P452" s="15" t="str">
        <v>P0</v>
      </c>
      <c r="Q452" s="16">
        <v>6.6</v>
      </c>
      <c r="R452" s="17" t="str">
        <v>—（无需跨域接口）</v>
      </c>
      <c r="S452" s="14" t="str">
        <v>原定Pre-OTS版本-0804座舱转测—后延</v>
      </c>
      <c r="T452" s="18" t="str">
        <v>蓝牙电话SDK接口说明与使用指南 </v>
      </c>
      <c r="U452" s="14" t="str">
        <v>abstract fun onCustomActionCalled(key: String?, data: Bundle?)
btPhone.registPhonebookCallBack(phonebookCallback, callback)</v>
      </c>
      <c r="V452" s="16">
        <v>724</v>
      </c>
      <c r="W452" s="14" t="str">
        <v>敬成龙</v>
      </c>
      <c r="X452" s="14" t="str">
        <v>ACS08通讯服务</v>
      </c>
      <c r="Y452" s="20" t="inlineStr">
        <is>
          <r>
            <t>@孙含玉</t>
          </r>
        </is>
      </c>
    </row>
    <row r="453" spans="3:25">
      <c r="C453" s="27" t="str">
        <v>电话状态</v>
      </c>
      <c r="D453" s="22" t="str">
        <v>座舱_蓝牙电话连接状态</v>
      </c>
      <c r="E453" s="22" t="str">
        <v>0=未连接, 1=已连接, 2=配对中, 3=连接失败</v>
      </c>
      <c r="G453" s="14" t="str">
        <v>DZT0222</v>
      </c>
      <c r="H453" s="14" t="str">
        <v>座舱内部</v>
      </c>
      <c r="I453" s="15" t="str">
        <v>CDC内部</v>
      </c>
      <c r="J453" s="15" t="str">
        <v>多媒体模块</v>
      </c>
      <c r="K453" s="15" t="str">
        <v>充电管家; 松弛模式（AI）; AI娱乐搭子</v>
      </c>
      <c r="P453" s="15" t="str">
        <v>P0</v>
      </c>
      <c r="Q453" s="16">
        <v>6.6</v>
      </c>
      <c r="R453" s="17" t="str">
        <v>—（无需跨域接口）</v>
      </c>
      <c r="S453" s="14" t="str">
        <v>原定Pre-OTS版本-0804座舱转测—后延</v>
      </c>
      <c r="T453" s="18" t="str">
        <v>蓝牙电话SDK接口说明与使用指南 </v>
      </c>
      <c r="U453" s="14" t="str">
        <v>abstract fun onCustomActionCalled(key: String?, data: Bundle?)
btPhone.registPhonebookCallBack(phonebookCallback, callback)</v>
      </c>
      <c r="V453" s="16">
        <v>723</v>
      </c>
      <c r="W453" s="14" t="str">
        <v>敬成龙</v>
      </c>
      <c r="X453" s="14" t="str">
        <v>ACS08通讯服务</v>
      </c>
      <c r="Y453" s="20" t="inlineStr">
        <is>
          <r>
            <t>@孙含玉</t>
          </r>
        </is>
      </c>
    </row>
    <row r="454" spans="3:25">
      <c r="C454" s="27" t="str">
        <v>电话状态</v>
      </c>
      <c r="D454" s="22" t="str">
        <v>座舱_通话信号强度值</v>
      </c>
      <c r="E454" s="22" t="str">
        <v>0~5, 步长1 (0=无信号, 5=满格)</v>
      </c>
      <c r="G454" s="14" t="str">
        <v>DZT0223</v>
      </c>
      <c r="H454" s="14" t="str">
        <v>座舱内部</v>
      </c>
      <c r="I454" s="15" t="str">
        <v>CDC内部</v>
      </c>
      <c r="J454" s="15" t="str">
        <v>多媒体模块</v>
      </c>
      <c r="K454" s="15" t="str">
        <v>充电管家; 松弛模式（AI）; AI娱乐搭子</v>
      </c>
      <c r="P454" s="15" t="str">
        <v>P0</v>
      </c>
      <c r="Q454" s="16">
        <v>6.6</v>
      </c>
      <c r="R454" s="17" t="str">
        <v>—（无需跨域接口）</v>
      </c>
      <c r="S454" s="14" t="str">
        <v>Pre-OTS版本-0804座舱转测</v>
      </c>
      <c r="X454" s="14" t="str">
        <v>ACS08通讯服务</v>
      </c>
      <c r="Y454" s="20" t="inlineStr">
        <is>
          <r>
            <t>@孙含玉</t>
          </r>
        </is>
      </c>
    </row>
    <row r="455" spans="2:25">
      <c r="B455" s="3" t="str">
        <v>7.8应用账号</v>
      </c>
      <c r="C455" s="21" t="str">
        <v>媒体账号状态</v>
      </c>
      <c r="D455" s="22" t="str">
        <v>座舱_QQ音乐登录状态</v>
      </c>
      <c r="E455" s="22" t="str">
        <v>0=未登录, 1=已登录, 2=VIP会员, 3=令牌过期</v>
      </c>
      <c r="G455" s="14" t="str">
        <v>DZT0224</v>
      </c>
      <c r="H455" s="14" t="str">
        <v>座舱内部</v>
      </c>
      <c r="I455" s="15" t="str">
        <v>CDC内部</v>
      </c>
      <c r="J455" s="15" t="str">
        <v>多媒体模块</v>
      </c>
      <c r="K455" s="15" t="str">
        <v>充电管家; 松弛模式（AI）; AI娱乐搭子</v>
      </c>
      <c r="P455" s="15" t="str">
        <v>P0</v>
      </c>
      <c r="Q455" s="16">
        <v>6.6</v>
      </c>
      <c r="R455" s="17" t="str">
        <v>—（无需跨域接口）</v>
      </c>
      <c r="S455" s="14" t="str">
        <v>原定Pre-OTS版本-0804座舱转测—后延</v>
      </c>
      <c r="T455" s="18" t="str">
        <v>多媒原子需求协议文档 </v>
      </c>
      <c r="U455" s="14" t="str">
        <v>mediaSdk.registerMediaCallback(callback = object : MediaCallback{
override fun onNowPlayingChange(bundle: Bundle)</v>
      </c>
      <c r="V455" s="16">
        <v>722</v>
      </c>
      <c r="W455" s="14" t="str">
        <v>张克喜</v>
      </c>
      <c r="X455" s="14" t="str">
        <v>ACS03多媒体</v>
      </c>
      <c r="Y455" s="20" t="inlineStr">
        <is>
          <r>
            <t>@孙含玉</t>
          </r>
        </is>
      </c>
    </row>
    <row r="456" spans="3:25">
      <c r="C456" s="21" t="str">
        <v>媒体账号状态</v>
      </c>
      <c r="D456" s="22" t="str">
        <v>座舱_网易云音乐登录状态</v>
      </c>
      <c r="E456" s="22" t="str">
        <v>0=未登录, 1=已登录, 2=大会员, 3=令牌过期</v>
      </c>
      <c r="G456" s="14" t="str">
        <v>DZT0225</v>
      </c>
      <c r="H456" s="14" t="str">
        <v>座舱内部</v>
      </c>
      <c r="I456" s="15" t="str">
        <v>CDC内部</v>
      </c>
      <c r="J456" s="15" t="str">
        <v>多媒体模块</v>
      </c>
      <c r="K456" s="15" t="str">
        <v>充电管家; 松弛模式（AI）; AI娱乐搭子</v>
      </c>
      <c r="P456" s="15" t="str">
        <v>P0</v>
      </c>
      <c r="Q456" s="16">
        <v>6.6</v>
      </c>
      <c r="R456" s="17" t="str">
        <v>—（无需跨域接口）</v>
      </c>
      <c r="S456" s="14" t="str">
        <v>原定Pre-OTS版本-0804座舱转测—后延</v>
      </c>
      <c r="T456" s="18" t="str">
        <v>多媒原子需求协议文档 </v>
      </c>
      <c r="U456" s="14" t="str">
        <v>mediaSdk.registerMediaCallback(callback = object : MediaCallback{
override fun onNowPlayingChange(bundle: Bundle)</v>
      </c>
      <c r="V456" s="16">
        <v>722</v>
      </c>
      <c r="W456" s="14" t="str">
        <v>张克喜</v>
      </c>
      <c r="X456" s="14" t="str">
        <v>ACS03多媒体</v>
      </c>
      <c r="Y456" s="20" t="inlineStr">
        <is>
          <r>
            <t>@孙含玉</t>
          </r>
        </is>
      </c>
    </row>
    <row r="457" spans="3:25">
      <c r="C457" s="21" t="str">
        <v>媒体账号状态</v>
      </c>
      <c r="D457" s="22" t="str">
        <v>座舱_汽水音乐登录状态</v>
      </c>
      <c r="E457" s="22" t="str">
        <v>0=未登录, 1=已登录, 2=VIP会员, 3=令牌过期</v>
      </c>
      <c r="G457" s="14" t="str">
        <v>DZT0226</v>
      </c>
      <c r="H457" s="14" t="str">
        <v>座舱内部</v>
      </c>
      <c r="I457" s="15" t="str">
        <v>CDC内部</v>
      </c>
      <c r="J457" s="15" t="str">
        <v>多媒体模块</v>
      </c>
      <c r="K457" s="15" t="str">
        <v>充电管家; 松弛模式（AI）; AI娱乐搭子</v>
      </c>
      <c r="P457" s="15" t="str">
        <v>P0</v>
      </c>
      <c r="Q457" s="16">
        <v>6.6</v>
      </c>
      <c r="R457" s="17" t="str">
        <v>—（无需跨域接口）</v>
      </c>
      <c r="S457" s="14" t="str">
        <v>原定Pre-OTS版本-0804座舱转测—后延</v>
      </c>
      <c r="T457" s="18" t="str">
        <v>多媒原子需求协议文档 </v>
      </c>
      <c r="U457" s="14" t="str">
        <v>mediaSdk.registerMediaCallback(callback = object : MediaCallback{
override fun onNowPlayingChange(bundle: Bundle)</v>
      </c>
      <c r="V457" s="16">
        <v>722</v>
      </c>
      <c r="W457" s="14" t="str">
        <v>张克喜</v>
      </c>
      <c r="X457" s="14" t="str">
        <v>ACS03多媒体</v>
      </c>
      <c r="Y457" s="20" t="inlineStr">
        <is>
          <r>
            <t>@孙含玉</t>
          </r>
        </is>
      </c>
    </row>
    <row r="458" spans="3:25">
      <c r="C458" s="21" t="str">
        <v>媒体账号状态</v>
      </c>
      <c r="D458" s="22" t="str">
        <v>座舱_腾讯视频登录状态</v>
      </c>
      <c r="E458" s="22" t="str">
        <v>0=未登录, 1=已登录, 2=VIP会员, 3=令牌过期</v>
      </c>
      <c r="G458" s="14" t="str">
        <v>DZT0227</v>
      </c>
      <c r="H458" s="14" t="str">
        <v>座舱内部</v>
      </c>
      <c r="I458" s="15" t="str">
        <v>CDC内部</v>
      </c>
      <c r="J458" s="15" t="str">
        <v>多媒体模块</v>
      </c>
      <c r="K458" s="15" t="str">
        <v>充电管家; 松弛模式（AI）; AI娱乐搭子</v>
      </c>
      <c r="P458" s="15" t="str">
        <v>P0</v>
      </c>
      <c r="Q458" s="16">
        <v>6.6</v>
      </c>
      <c r="R458" s="17" t="str">
        <v>—（无需跨域接口）</v>
      </c>
      <c r="S458" s="14" t="str">
        <v>Pre-OTS版本-0804座舱转测</v>
      </c>
      <c r="X458" s="14" t="str">
        <v>ACS03多媒体</v>
      </c>
      <c r="Y458" s="20" t="inlineStr">
        <is>
          <r>
            <t>@孙含玉</t>
          </r>
        </is>
      </c>
    </row>
    <row r="459" spans="3:25">
      <c r="C459" s="21" t="str">
        <v>媒体账号状态</v>
      </c>
      <c r="D459" s="22" t="str">
        <v>座舱_车鱼视听登录状态</v>
      </c>
      <c r="E459" s="22" t="str">
        <v>0=未登录, 1=已登录</v>
      </c>
      <c r="G459" s="14" t="str">
        <v>DZT0228</v>
      </c>
      <c r="H459" s="14" t="str">
        <v>座舱内部</v>
      </c>
      <c r="I459" s="15" t="str">
        <v>CDC内部</v>
      </c>
      <c r="J459" s="15" t="str">
        <v>多媒体模块</v>
      </c>
      <c r="K459" s="15" t="str">
        <v>充电管家; 松弛模式（AI）; AI娱乐搭子</v>
      </c>
      <c r="P459" s="15" t="str">
        <v>P0</v>
      </c>
      <c r="Q459" s="16">
        <v>6.6</v>
      </c>
      <c r="R459" s="17" t="str">
        <v>—（无需跨域接口）</v>
      </c>
      <c r="S459" s="14" t="str">
        <v>Pre-OTS版本-0804座舱转测</v>
      </c>
      <c r="X459" s="14" t="str">
        <v>ACS03多媒体</v>
      </c>
      <c r="Y459" s="20" t="inlineStr">
        <is>
          <r>
            <t>@孙含玉</t>
          </r>
        </is>
      </c>
    </row>
    <row r="460" spans="3:25">
      <c r="C460" s="21" t="str">
        <v>媒体账号状态</v>
      </c>
      <c r="D460" s="22" t="str">
        <v>座舱_喜马拉雅登录状态</v>
      </c>
      <c r="E460" s="22" t="str">
        <v>0=未登录, 1=已登录, 2=VIP会员, 3=令牌过期</v>
      </c>
      <c r="G460" s="14" t="str">
        <v>DZT0229</v>
      </c>
      <c r="H460" s="14" t="str">
        <v>座舱内部</v>
      </c>
      <c r="I460" s="15" t="str">
        <v>CDC内部</v>
      </c>
      <c r="J460" s="15" t="str">
        <v>多媒体模块</v>
      </c>
      <c r="K460" s="15" t="str">
        <v>充电管家; 松弛模式（AI）; AI娱乐搭子</v>
      </c>
      <c r="P460" s="15" t="str">
        <v>P0</v>
      </c>
      <c r="Q460" s="16">
        <v>6.6</v>
      </c>
      <c r="R460" s="17" t="str">
        <v>—（无需跨域接口）</v>
      </c>
      <c r="S460" s="14" t="str">
        <v>Pre-OTS版本-0804座舱转测</v>
      </c>
      <c r="X460" s="14" t="str">
        <v>ACS03多媒体</v>
      </c>
      <c r="Y460" s="20" t="inlineStr">
        <is>
          <r>
            <t>@孙含玉</t>
          </r>
        </is>
      </c>
    </row>
    <row r="461" spans="3:25">
      <c r="C461" s="47" t="str">
        <v>媒体账号状态</v>
      </c>
      <c r="D461" s="46" t="str">
        <v>座舱_美团登录状态</v>
      </c>
      <c r="E461" s="46" t="str">
        <v>true=已登陆，false=未登录</v>
      </c>
      <c r="G461" s="48" t="str">
        <v>DZT0230</v>
      </c>
      <c r="H461" s="49" t="str">
        <v>座舱内部</v>
      </c>
      <c r="I461" s="61" t="str">
        <v>CDC内部</v>
      </c>
      <c r="J461" s="61" t="str">
        <v>多媒体模块</v>
      </c>
      <c r="K461" s="61" t="str">
        <v>充电管家; 松弛模式（AI）; AI娱乐搭子</v>
      </c>
      <c r="P461" s="61" t="str">
        <v>P0</v>
      </c>
      <c r="Q461" s="51">
        <v>6.6</v>
      </c>
      <c r="R461" s="52" t="str">
        <v>—（无需跨域接口）</v>
      </c>
      <c r="Y461" s="53" t="inlineStr">
        <is>
          <r>
            <t>@孙含玉</t>
          </r>
        </is>
      </c>
    </row>
    <row r="462" spans="3:25">
      <c r="C462" s="21" t="str">
        <v>媒体账号状态</v>
      </c>
      <c r="D462" s="62" t="str">
        <v>座舱_支付宝车载助手登录状态</v>
      </c>
      <c r="E462" s="22" t="str">
        <v>true=已登陆，false=未登录</v>
      </c>
      <c r="F462" s="22" t="str">
        <v>只有GET的获取方式，没有register，和字节确认</v>
      </c>
      <c r="G462" s="14" t="str">
        <v>DZT0231</v>
      </c>
      <c r="H462" s="14" t="str">
        <v>座舱内部</v>
      </c>
      <c r="I462" s="15" t="str">
        <v>CDC内部</v>
      </c>
      <c r="J462" s="15" t="str">
        <v>多媒体模块</v>
      </c>
      <c r="K462" s="15" t="str">
        <v>充电管家; 松弛模式（AI）; AI娱乐搭子</v>
      </c>
      <c r="P462" s="15" t="str">
        <v>P0</v>
      </c>
      <c r="Q462" s="16">
        <v>6.6</v>
      </c>
      <c r="R462" s="17" t="str">
        <v>—（无需跨域接口）</v>
      </c>
      <c r="S462" s="14" t="str">
        <v>Pre-OTS版本-0804座舱转测</v>
      </c>
      <c r="T462" s="18" t="str">
        <v>支付宝小程序原子能力使用文档 </v>
      </c>
      <c r="U462" s="14" t="str">
        <v>fun isAlipayAcountLogin(callback: IAlipayAccountLoginStatusCallback, methodCb: IPlatformCallback)</v>
      </c>
      <c r="V462" s="16">
        <v>709</v>
      </c>
      <c r="W462" s="14" t="str">
        <v>郭浩</v>
      </c>
      <c r="X462" s="14" t="str">
        <v>ACS71支付宝助手</v>
      </c>
      <c r="Y462" s="20" t="inlineStr">
        <is>
          <r>
            <t>@孙含玉</t>
          </r>
        </is>
      </c>
    </row>
    <row r="463" spans="2:25">
      <c r="B463" s="22" t="str">
        <v>7.9 IOT外设</v>
      </c>
      <c r="C463" s="27" t="str">
        <v>外设信息</v>
      </c>
      <c r="D463" s="12" t="str">
        <v>座舱_IOT设备连接状态</v>
      </c>
      <c r="E463" s="22" t="str">
        <v>0=未连接, 1=已连接</v>
      </c>
      <c r="G463" s="14" t="str">
        <v>DZT0232</v>
      </c>
      <c r="H463" s="14" t="str">
        <v>座舱内部</v>
      </c>
      <c r="I463" s="15" t="str">
        <v>CDC内部</v>
      </c>
      <c r="J463" s="15" t="str">
        <v>多媒体模块</v>
      </c>
      <c r="K463" s="15" t="str">
        <v>充电管家; 松弛模式（AI）; AI娱乐搭子</v>
      </c>
      <c r="P463" s="15" t="str">
        <v>P0</v>
      </c>
      <c r="Q463" s="16">
        <v>6.6</v>
      </c>
      <c r="R463" s="17" t="str">
        <v>—（无需跨域接口）</v>
      </c>
      <c r="S463" s="14" t="str">
        <v>Pre-OTS版本-0804座舱转测</v>
      </c>
      <c r="T463" s="18" t="str">
        <v>【协作】互联AI原子能力协议文档 </v>
      </c>
      <c r="U463" s="14" t="str">
        <v>registerCallback("iot.connectStateCB")
unregisterCallback("iot.connectStateCB")
getValue("iot.getConnectState")</v>
      </c>
      <c r="V463" s="16">
        <v>704</v>
      </c>
      <c r="W463" s="14" t="str">
        <v>何明阳</v>
      </c>
      <c r="X463" s="14" t="str">
        <v>ACS77智能设备</v>
      </c>
      <c r="Y463" s="20" t="inlineStr">
        <is>
          <r>
            <t>@宋凯</t>
          </r>
        </is>
      </c>
    </row>
    <row r="464" spans="3:25">
      <c r="C464" s="27" t="str">
        <v>外设信息</v>
      </c>
      <c r="D464" s="22" t="str">
        <v>座舱_IOT设备类型</v>
      </c>
      <c r="E464" s="22" t="str">
        <v>0=未知, 1=香氛，2=儿童座椅，3=磁吸按键，4=车载麦克风，5=底盘氛围灯，6=车载手环，7=车载XR设备，8=车载机器狗，9=预留</v>
      </c>
      <c r="G464" s="14" t="str">
        <v>DZT0233</v>
      </c>
      <c r="H464" s="14" t="str">
        <v>座舱内部</v>
      </c>
      <c r="I464" s="15" t="str">
        <v>CDC内部</v>
      </c>
      <c r="J464" s="15" t="str">
        <v>多媒体模块</v>
      </c>
      <c r="K464" s="15" t="str">
        <v>充电管家; 松弛模式（AI）; AI娱乐搭子</v>
      </c>
      <c r="P464" s="15" t="str">
        <v>P0</v>
      </c>
      <c r="Q464" s="16">
        <v>6.6</v>
      </c>
      <c r="R464" s="17" t="str">
        <v>—（无需跨域接口）</v>
      </c>
      <c r="S464" s="14" t="str">
        <v>Pre-OTS版本-0804座舱转测</v>
      </c>
      <c r="T464" s="18" t="str">
        <v>【协作】互联AI原子能力协议文档 </v>
      </c>
      <c r="U464" s="14" t="str">
        <v>跟随连接状态、设备名称等能力一起返回</v>
      </c>
      <c r="V464" s="16">
        <v>704</v>
      </c>
      <c r="W464" s="14" t="str">
        <v>何明阳</v>
      </c>
      <c r="X464" s="14" t="str">
        <v>ACS77智能设备</v>
      </c>
      <c r="Y464" s="20" t="inlineStr">
        <is>
          <r>
            <t>@宋凯</t>
          </r>
        </is>
      </c>
    </row>
    <row r="465" spans="3:25">
      <c r="C465" s="27" t="str">
        <v>外设信息</v>
      </c>
      <c r="D465" s="22" t="str">
        <v>座舱_IOT设备名称</v>
      </c>
      <c r="E465" s="22" t="str">
        <v>String, 最长23字符 (UTF-8)</v>
      </c>
      <c r="G465" s="14" t="str">
        <v>DZT0234</v>
      </c>
      <c r="H465" s="14" t="str">
        <v>座舱内部</v>
      </c>
      <c r="I465" s="15" t="str">
        <v>CDC内部</v>
      </c>
      <c r="J465" s="15" t="str">
        <v>多媒体模块</v>
      </c>
      <c r="K465" s="15" t="str">
        <v>充电管家; 松弛模式（AI）; AI娱乐搭子</v>
      </c>
      <c r="P465" s="15" t="str">
        <v>P0</v>
      </c>
      <c r="Q465" s="16">
        <v>6.6</v>
      </c>
      <c r="R465" s="17" t="str">
        <v>—（无需跨域接口）</v>
      </c>
      <c r="S465" s="14" t="str">
        <v>Pre-OTS版本-0804座舱转测</v>
      </c>
      <c r="T465" s="18" t="str">
        <v>【协作】互联AI原子能力协议文档 </v>
      </c>
      <c r="U465" s="14" t="str">
        <v>registerCallback("iot.deviceNameCB")
unregisterCallback("iot.deviceNameCB")
getValue("iot.getDeviceName")</v>
      </c>
      <c r="V465" s="16">
        <v>704</v>
      </c>
      <c r="W465" s="14" t="str">
        <v>何明阳</v>
      </c>
      <c r="X465" s="14" t="str">
        <v>ACS77智能设备</v>
      </c>
      <c r="Y465" s="20" t="inlineStr">
        <is>
          <r>
            <t>@宋凯</t>
          </r>
        </is>
      </c>
    </row>
    <row r="466" spans="3:25">
      <c r="C466" s="27" t="str">
        <v>外设信息</v>
      </c>
      <c r="D466" s="22" t="str">
        <v>座舱_IOT设备电量值</v>
      </c>
      <c r="E466" s="22" t="str">
        <v>0~100%, 步长1%</v>
      </c>
      <c r="G466" s="14" t="str">
        <v>DZT0235</v>
      </c>
      <c r="H466" s="14" t="str">
        <v>座舱内部</v>
      </c>
      <c r="I466" s="15" t="str">
        <v>CDC内部</v>
      </c>
      <c r="J466" s="15" t="str">
        <v>多媒体模块</v>
      </c>
      <c r="K466" s="15" t="str">
        <v>充电管家; 松弛模式（AI）; AI娱乐搭子</v>
      </c>
      <c r="P466" s="15" t="str">
        <v>P0</v>
      </c>
      <c r="Q466" s="16">
        <v>6.6</v>
      </c>
      <c r="R466" s="17" t="str">
        <v>—（无需跨域接口）</v>
      </c>
      <c r="S466" s="14" t="str">
        <v>Pre-OTS版本-0804座舱转测</v>
      </c>
      <c r="T466" s="18" t="str">
        <v>【协作】互联AI原子能力协议文档 </v>
      </c>
      <c r="U466" s="14" t="str">
        <v>registerCallback("iot.batteryLevelCB")
unregisterCallback("iot.batteryLevelCB")
getValue("iot.getBatteryLevel")</v>
      </c>
      <c r="V466" s="16">
        <v>704</v>
      </c>
      <c r="W466" s="14" t="str">
        <v>何明阳</v>
      </c>
      <c r="X466" s="14" t="str">
        <v>ACS77智能设备</v>
      </c>
      <c r="Y466" s="20" t="inlineStr">
        <is>
          <r>
            <t>@宋凯</t>
          </r>
        </is>
      </c>
    </row>
    <row r="467" spans="3:25">
      <c r="C467" s="27" t="str">
        <v>外设信息</v>
      </c>
      <c r="D467" s="22" t="str">
        <v>座舱_IOT设备固件版本</v>
      </c>
      <c r="E467" s="22" t="str">
        <v>String, 1字节大版本，1字节小版本（如1.1）</v>
      </c>
      <c r="G467" s="14" t="str">
        <v>DZT0236</v>
      </c>
      <c r="H467" s="14" t="str">
        <v>座舱内部</v>
      </c>
      <c r="I467" s="15" t="str">
        <v>CDC内部</v>
      </c>
      <c r="J467" s="15" t="str">
        <v>多媒体模块</v>
      </c>
      <c r="K467" s="15" t="str">
        <v>充电管家; 松弛模式（AI）; AI娱乐搭子</v>
      </c>
      <c r="P467" s="15" t="str">
        <v>P0</v>
      </c>
      <c r="Q467" s="16">
        <v>6.6</v>
      </c>
      <c r="R467" s="17" t="str">
        <v>—（无需跨域接口）</v>
      </c>
      <c r="S467" s="14" t="str">
        <v>Pre-OTS版本-0804座舱转测</v>
      </c>
      <c r="T467" s="18" t="str">
        <v>【协作】互联AI原子能力协议文档 </v>
      </c>
      <c r="U467" s="14" t="str">
        <v>registerCallback("iot.firmwareVersionCB")
unregisterCallback("iot.firmwareVersionCB")
getValue("iot.getFirmwareVersion")</v>
      </c>
      <c r="V467" s="16">
        <v>704</v>
      </c>
      <c r="W467" s="14" t="str">
        <v>何明阳</v>
      </c>
      <c r="X467" s="14" t="str">
        <v>ACS77智能设备</v>
      </c>
      <c r="Y467" s="20" t="inlineStr">
        <is>
          <r>
            <t>@宋凯</t>
          </r>
        </is>
      </c>
    </row>
    <row r="468" spans="3:25">
      <c r="C468" s="27" t="str">
        <v>外设信息</v>
      </c>
      <c r="D468" s="22" t="str">
        <v>座舱_已连接IOT设备数量值</v>
      </c>
      <c r="E468" s="22" t="str">
        <v>0~9, 步长1</v>
      </c>
      <c r="G468" s="14" t="str">
        <v>DZT0237</v>
      </c>
      <c r="H468" s="14" t="str">
        <v>座舱内部</v>
      </c>
      <c r="I468" s="15" t="str">
        <v>CDC内部</v>
      </c>
      <c r="J468" s="15" t="str">
        <v>多媒体模块</v>
      </c>
      <c r="K468" s="15" t="str">
        <v>充电管家; 松弛模式（AI）; AI娱乐搭子</v>
      </c>
      <c r="P468" s="15" t="str">
        <v>P0</v>
      </c>
      <c r="Q468" s="16">
        <v>6.6</v>
      </c>
      <c r="R468" s="17" t="str">
        <v>—（无需跨域接口）</v>
      </c>
      <c r="S468" s="14" t="str">
        <v>Pre-OTS版本-0804座舱转测</v>
      </c>
      <c r="T468" s="18" t="str">
        <v>【协作】互联AI原子能力协议文档 </v>
      </c>
      <c r="U468" s="14" t="str">
        <v>registerCallback("iot.iot.deviceNumberCB")
unregisterCallback("iot.deviceNumberCB")
getValue("iot.getDeviceNumber")</v>
      </c>
      <c r="V468" s="16">
        <v>704</v>
      </c>
      <c r="W468" s="14" t="str">
        <v>何明阳</v>
      </c>
      <c r="X468" s="14" t="str">
        <v>ACS77智能设备</v>
      </c>
      <c r="Y468" s="20" t="inlineStr">
        <is>
          <r>
            <t>@宋凯</t>
          </r>
        </is>
      </c>
    </row>
    <row r="469" spans="3:25">
      <c r="C469" s="21" t="str">
        <v>香氛机状态</v>
      </c>
      <c r="D469" s="22" t="str">
        <v>车身_香氛机连接状态</v>
      </c>
      <c r="E469" s="22" t="str">
        <v>0=断连, 1=连接</v>
      </c>
      <c r="G469" s="23" t="str">
        <v>DZT0373</v>
      </c>
      <c r="H469" s="14" t="str">
        <v>座舱内部</v>
      </c>
      <c r="K469" s="15" t="str">
        <v>AI温感控制</v>
      </c>
      <c r="O469" s="54" t="str">
        <v>供应商615已经定点了, 正在开发对应提供的接口</v>
      </c>
      <c r="P469" s="15" t="str">
        <v>P0</v>
      </c>
      <c r="Q469" s="16">
        <v>6.13</v>
      </c>
      <c r="R469" s="17" t="str">
        <v>❌架构待确认</v>
      </c>
      <c r="S469" s="14" t="str">
        <v>Pre-OTS版本-0804座舱转测</v>
      </c>
      <c r="X469" s="14" t="str">
        <v>ACS87香氛</v>
      </c>
      <c r="Y469" s="20" t="inlineStr">
        <is>
          <r>
            <t>@陈杰</t>
          </r>
        </is>
      </c>
    </row>
    <row r="470" spans="3:25">
      <c r="C470" s="21" t="str">
        <v>香氛机状态</v>
      </c>
      <c r="D470" s="22" t="str">
        <v>车身_香氛机开关状态</v>
      </c>
      <c r="E470" s="22" t="str">
        <v>0=关闭, 1=开启</v>
      </c>
      <c r="G470" s="23" t="str">
        <v>DZT0374</v>
      </c>
      <c r="H470" s="14" t="str">
        <v>座舱内部</v>
      </c>
      <c r="K470" s="15" t="str">
        <v>AI温感控制</v>
      </c>
      <c r="O470" s="54" t="str">
        <v>供应商616已经定点了, 正在开发对应提供的接口</v>
      </c>
      <c r="P470" s="15" t="str">
        <v>P0</v>
      </c>
      <c r="Q470" s="16">
        <v>6.13</v>
      </c>
      <c r="R470" s="17" t="str">
        <v>❌架构待确认</v>
      </c>
      <c r="S470" s="14" t="str">
        <v>Pre-OTS版本-0804座舱转测</v>
      </c>
      <c r="X470" s="14" t="str">
        <v>ACS87香氛</v>
      </c>
      <c r="Y470" s="20" t="inlineStr">
        <is>
          <r>
            <t>@陈杰</t>
          </r>
        </is>
      </c>
    </row>
    <row r="471" spans="3:25">
      <c r="C471" s="21" t="str">
        <v>香氛机状态</v>
      </c>
      <c r="D471" s="22" t="str">
        <v>车身_香氛机释放时长设置</v>
      </c>
      <c r="E471" s="22" t="str">
        <v>5民、15min、30min、持续</v>
      </c>
      <c r="G471" s="23" t="str">
        <v>DZT0375</v>
      </c>
      <c r="H471" s="14" t="str">
        <v>座舱内部</v>
      </c>
      <c r="K471" s="15" t="str">
        <v>AI温感控制</v>
      </c>
      <c r="O471" s="54" t="str">
        <v>供应商617已经定点了, 正在开发对应提供的接口</v>
      </c>
      <c r="P471" s="15" t="str">
        <v>P0</v>
      </c>
      <c r="Q471" s="16">
        <v>6.13</v>
      </c>
      <c r="R471" s="17" t="str">
        <v>❌架构待确认</v>
      </c>
      <c r="S471" s="14" t="str">
        <v>Pre-OTS版本-0804座舱转测</v>
      </c>
      <c r="X471" s="14" t="str">
        <v>ACS87香氛</v>
      </c>
      <c r="Y471" s="20" t="inlineStr">
        <is>
          <r>
            <t>@陈杰</t>
          </r>
        </is>
      </c>
    </row>
    <row r="472" spans="3:25">
      <c r="C472" s="21" t="str">
        <v>香氛机状态</v>
      </c>
      <c r="D472" s="22" t="str">
        <v>车身_香氛机香型状态</v>
      </c>
      <c r="E472" s="22" t="str">
        <v>TBD (待定)</v>
      </c>
      <c r="G472" s="23" t="str">
        <v>DZT0376</v>
      </c>
      <c r="H472" s="14" t="str">
        <v>座舱内部</v>
      </c>
      <c r="K472" s="15" t="str">
        <v>AI温感控制</v>
      </c>
      <c r="O472" s="54" t="str">
        <v>供应商618已经定点了, 正在开发对应提供的接口</v>
      </c>
      <c r="P472" s="15" t="str">
        <v>P0</v>
      </c>
      <c r="Q472" s="16">
        <v>6.13</v>
      </c>
      <c r="R472" s="17" t="str">
        <v>❌架构待确认</v>
      </c>
      <c r="S472" s="14" t="str">
        <v>Pre-OTS版本-0804座舱转测</v>
      </c>
      <c r="X472" s="14" t="str">
        <v>ACS87香氛</v>
      </c>
      <c r="Y472" s="20" t="inlineStr">
        <is>
          <r>
            <t>@陈杰</t>
          </r>
        </is>
      </c>
    </row>
    <row r="473" spans="3:25">
      <c r="C473" s="21" t="str">
        <v>香氛机状态</v>
      </c>
      <c r="D473" s="22" t="str">
        <v>车身_香氛机浓度值</v>
      </c>
      <c r="E473" s="22" t="str">
        <v>1~5档</v>
      </c>
      <c r="G473" s="23" t="str">
        <v>DZT0377</v>
      </c>
      <c r="H473" s="14" t="str">
        <v>座舱内部</v>
      </c>
      <c r="K473" s="15" t="str">
        <v>AI温感控制</v>
      </c>
      <c r="O473" s="54" t="str">
        <v>供应商619已经定点了, 正在开发对应提供的接口</v>
      </c>
      <c r="P473" s="15" t="str">
        <v>P0</v>
      </c>
      <c r="Q473" s="16">
        <v>6.13</v>
      </c>
      <c r="R473" s="17" t="str">
        <v>❌架构待确认</v>
      </c>
      <c r="S473" s="14" t="str">
        <v>Pre-OTS版本-0804座舱转测</v>
      </c>
      <c r="X473" s="14" t="str">
        <v>ACS87香氛</v>
      </c>
      <c r="Y473" s="20" t="inlineStr">
        <is>
          <r>
            <t>@陈杰</t>
          </r>
        </is>
      </c>
    </row>
    <row r="474" spans="3:25">
      <c r="C474" s="21" t="str">
        <v>香氛机状态</v>
      </c>
      <c r="D474" s="22" t="str">
        <v>车身_香氛机香型余量值</v>
      </c>
      <c r="E474" s="22" t="str">
        <v>0~100%</v>
      </c>
      <c r="G474" s="23" t="str">
        <v>DZT0378</v>
      </c>
      <c r="H474" s="14" t="str">
        <v>座舱内部</v>
      </c>
      <c r="K474" s="15" t="str">
        <v>AI温感控制</v>
      </c>
      <c r="O474" s="54" t="str">
        <v>供应商620已经定点了, 正在开发对应提供的接口</v>
      </c>
      <c r="P474" s="15" t="str">
        <v>P0</v>
      </c>
      <c r="Q474" s="16">
        <v>6.13</v>
      </c>
      <c r="R474" s="17" t="str">
        <v>❌架构待确认</v>
      </c>
      <c r="S474" s="14" t="str">
        <v>Pre-OTS版本-0804座舱转测</v>
      </c>
      <c r="X474" s="14" t="str">
        <v>ACS87香氛</v>
      </c>
      <c r="Y474" s="20" t="inlineStr">
        <is>
          <r>
            <t>@陈杰</t>
          </r>
        </is>
      </c>
    </row>
    <row r="475" spans="3:25">
      <c r="C475" s="21" t="str">
        <v>智能儿童座椅状态</v>
      </c>
      <c r="D475" s="22" t="str">
        <v>车身_儿童座椅连接状态</v>
      </c>
      <c r="E475" s="22" t="str">
        <v>0=断连, 1=连接</v>
      </c>
      <c r="G475" s="14" t="str">
        <v>DZT0238</v>
      </c>
      <c r="H475" s="14" t="str">
        <v>座舱内部</v>
      </c>
      <c r="P475" s="15" t="str">
        <v>P0</v>
      </c>
      <c r="Q475" s="30">
        <v>6.6</v>
      </c>
      <c r="R475" s="17" t="str">
        <v>—（无需跨域接口）</v>
      </c>
      <c r="S475" s="14" t="str">
        <v>Pre-OTS版本-0804座舱转测</v>
      </c>
      <c r="T475" s="18" t="str">
        <v>【协作】互联AI原子能力协议文档 </v>
      </c>
      <c r="U475" s="14" t="str">
        <v>registerCallback("iot.connectStateCB")
unregisterCallback("iot.connectStateCB")
getValue("iot.getConnectState")</v>
      </c>
      <c r="V475" s="16">
        <v>704</v>
      </c>
      <c r="W475" s="14" t="str">
        <v>何明阳</v>
      </c>
      <c r="X475" s="14" t="str">
        <v>ACS72智能设备</v>
      </c>
      <c r="Y475" s="20" t="inlineStr">
        <is>
          <r>
            <t>@宋凯</t>
          </r>
        </is>
      </c>
    </row>
    <row r="476" spans="3:25">
      <c r="C476" s="21" t="str">
        <v>智能儿童座椅状态</v>
      </c>
      <c r="D476" s="22" t="str">
        <v>车身_儿童座椅电量值</v>
      </c>
      <c r="E476" s="22" t="str">
        <v>0~100%</v>
      </c>
      <c r="G476" s="14" t="str">
        <v>DZT0239</v>
      </c>
      <c r="H476" s="14" t="str">
        <v>座舱内部</v>
      </c>
      <c r="P476" s="15" t="str">
        <v>P0</v>
      </c>
      <c r="Q476" s="30">
        <v>6.6</v>
      </c>
      <c r="R476" s="17" t="str">
        <v>—（无需跨域接口）</v>
      </c>
      <c r="S476" s="14" t="str">
        <v>Pre-OTS版本-0804座舱转测</v>
      </c>
      <c r="T476" s="18" t="str">
        <v>【协作】互联AI原子能力协议文档 </v>
      </c>
      <c r="U476" s="14" t="str">
        <v>registerCallback("iot.batteryLevelCB")
unregisterCallback("iot.batteryLevelCB")
getValue("iot.getBatteryLevel")</v>
      </c>
      <c r="V476" s="16">
        <v>704</v>
      </c>
      <c r="W476" s="14" t="str">
        <v>何明阳</v>
      </c>
      <c r="X476" s="14" t="str">
        <v>ACS72智能设备</v>
      </c>
      <c r="Y476" s="20" t="inlineStr">
        <is>
          <r>
            <t>@宋凯</t>
          </r>
        </is>
      </c>
    </row>
    <row r="477" spans="3:25">
      <c r="C477" s="21" t="str">
        <v>智能儿童座椅状态</v>
      </c>
      <c r="D477" s="22" t="str">
        <v>车身_儿童座椅充电状态</v>
      </c>
      <c r="E477" s="22" t="str">
        <v>0=未充电，1=充电中</v>
      </c>
      <c r="G477" s="14" t="str">
        <v>DZT0240</v>
      </c>
      <c r="H477" s="14" t="str">
        <v>座舱内部</v>
      </c>
      <c r="P477" s="15" t="str">
        <v>P0</v>
      </c>
      <c r="Q477" s="30">
        <v>6.6</v>
      </c>
      <c r="R477" s="17" t="str">
        <v>—（无需跨域接口）</v>
      </c>
      <c r="S477" s="14" t="str">
        <v>Pre-OTS版本-0804座舱转测</v>
      </c>
      <c r="T477" s="18" t="str">
        <v>【协作】互联AI原子能力协议文档 </v>
      </c>
      <c r="U477" s="14" t="str">
        <v>registerCallback("iot.cs.chargingStateCB")
unregisterCallback("iot.cs.chargingStateCB")
getValue("iot.cs.getChargingState")</v>
      </c>
      <c r="V477" s="16">
        <v>704</v>
      </c>
      <c r="W477" s="14" t="str">
        <v>何明阳</v>
      </c>
      <c r="X477" s="14" t="str">
        <v>ACS72智能设备</v>
      </c>
      <c r="Y477" s="20" t="inlineStr">
        <is>
          <r>
            <t>@宋凯</t>
          </r>
        </is>
      </c>
    </row>
    <row r="478" spans="3:25">
      <c r="C478" s="21" t="str">
        <v>智能儿童座椅状态</v>
      </c>
      <c r="D478" s="22" t="str">
        <v>车身_儿童座椅乘坐状态</v>
      </c>
      <c r="E478" s="22" t="str">
        <v>0=未乘坐, 1=正在乘坐</v>
      </c>
      <c r="G478" s="14" t="str">
        <v>DZT0241</v>
      </c>
      <c r="H478" s="14" t="str">
        <v>座舱内部</v>
      </c>
      <c r="P478" s="15" t="str">
        <v>P0</v>
      </c>
      <c r="Q478" s="30">
        <v>6.6</v>
      </c>
      <c r="R478" s="17" t="str">
        <v>—（无需跨域接口）</v>
      </c>
      <c r="S478" s="14" t="str">
        <v>Pre-OTS版本-0804座舱转测</v>
      </c>
      <c r="T478" s="18" t="str">
        <v>【协作】互联AI原子能力协议文档 </v>
      </c>
      <c r="U478" s="14" t="str">
        <v>registerCallback("iot.cs.rideStateCB")
unregisterCallback("iot.cs.rideStateCB")
getValue("iot.cs.getRideState")</v>
      </c>
      <c r="V478" s="16">
        <v>704</v>
      </c>
      <c r="W478" s="14" t="str">
        <v>何明阳</v>
      </c>
      <c r="X478" s="14" t="str">
        <v>ACS72智能设备</v>
      </c>
      <c r="Y478" s="20" t="inlineStr">
        <is>
          <r>
            <t>@宋凯</t>
          </r>
        </is>
      </c>
    </row>
    <row r="479" spans="3:25">
      <c r="C479" s="21" t="str">
        <v>智能儿童座椅状态</v>
      </c>
      <c r="D479" s="22" t="str">
        <v>车身_儿童座椅安全带状态</v>
      </c>
      <c r="E479" s="22" t="str">
        <v>0=未系安全带，1=已系安全带</v>
      </c>
      <c r="G479" s="14" t="str">
        <v>DZT0242</v>
      </c>
      <c r="H479" s="14" t="str">
        <v>座舱内部</v>
      </c>
      <c r="P479" s="15" t="str">
        <v>P0</v>
      </c>
      <c r="Q479" s="30">
        <v>6.6</v>
      </c>
      <c r="R479" s="17" t="str">
        <v>—（无需跨域接口）</v>
      </c>
      <c r="S479" s="14" t="str">
        <v>Pre-OTS版本-0804座舱转测</v>
      </c>
      <c r="T479" s="18" t="str">
        <v>【协作】互联AI原子能力协议文档 </v>
      </c>
      <c r="U479" s="14" t="str">
        <v>registerCallback("iot.cs.seatbeltStateCB")
unregisterCallback("iot.cs.seatbeltStateCB")
getValue("iot.cs.getSeatbeltState")</v>
      </c>
      <c r="V479" s="16">
        <v>704</v>
      </c>
      <c r="W479" s="14" t="str">
        <v>何明阳</v>
      </c>
      <c r="X479" s="14" t="str">
        <v>ACS72智能设备</v>
      </c>
      <c r="Y479" s="20" t="inlineStr">
        <is>
          <r>
            <t>@宋凯</t>
          </r>
        </is>
      </c>
    </row>
    <row r="480" spans="3:25">
      <c r="C480" s="21" t="str">
        <v>智能儿童座椅状态</v>
      </c>
      <c r="D480" s="22" t="str">
        <v>车身_儿童座椅ISOFIX检测</v>
      </c>
      <c r="E480" s="13" t="str">
        <v>0=异常,1=正常</v>
      </c>
      <c r="G480" s="14" t="str">
        <v>DZT0243</v>
      </c>
      <c r="H480" s="14" t="str">
        <v>座舱内部</v>
      </c>
      <c r="L480" s="19">
        <v>46184</v>
      </c>
      <c r="P480" s="15" t="str">
        <v>P0</v>
      </c>
      <c r="Q480" s="30">
        <v>6.6</v>
      </c>
      <c r="R480" s="17" t="str">
        <v>—（无需跨域接口）</v>
      </c>
      <c r="S480" s="14" t="str">
        <v>Pre-OTS版本-0804座舱转测</v>
      </c>
      <c r="T480" s="18" t="str">
        <v>【协作】互联AI原子能力协议文档 </v>
      </c>
      <c r="U480" s="14" t="str">
        <v>registerCallback("iot.cs.isofixStateCB")
unregisterCallback("iot.cs.isofixStateCB")
getValue("iot.cs.isofixStateCB")</v>
      </c>
      <c r="V480" s="16">
        <v>704</v>
      </c>
      <c r="W480" s="14" t="str">
        <v>何明阳</v>
      </c>
      <c r="X480" s="14" t="str">
        <v>ACS77智能设备</v>
      </c>
      <c r="Y480" s="20" t="inlineStr">
        <is>
          <r>
            <t>@宋凯</t>
          </r>
        </is>
      </c>
    </row>
    <row r="481" spans="3:25">
      <c r="C481" s="21" t="str">
        <v>智能儿童座椅状态</v>
      </c>
      <c r="D481" s="12" t="str">
        <v>车身_儿童座椅安装位置</v>
      </c>
      <c r="E481" s="12" t="str">
        <v>0=未选,1=后排左侧,2=后排右侧</v>
      </c>
      <c r="G481" s="24" t="str">
        <v>DZT0517</v>
      </c>
      <c r="H481" s="14" t="str">
        <v>没有</v>
      </c>
      <c r="L481" s="19">
        <v>46184</v>
      </c>
      <c r="Q481" s="16">
        <v>6.13</v>
      </c>
      <c r="R481" s="17" t="str">
        <v>❌架构待确认</v>
      </c>
      <c r="X481" s="24" t="str">
        <v>ACS77智能设备</v>
      </c>
      <c r="Y481" s="20" t="inlineStr">
        <is>
          <r>
            <t>@宋凯</t>
          </r>
        </is>
      </c>
    </row>
    <row r="482" spans="3:25">
      <c r="C482" s="21" t="str">
        <v>底盘氛围灯状态</v>
      </c>
      <c r="D482" s="22" t="str">
        <v>车身_底盘氛围灯点亮模式</v>
      </c>
      <c r="E482" s="22" t="str">
        <v>0=不点亮, 1=驻车点亮-限时, 2=驻车点亮-持续, 3=跟随近光灯</v>
      </c>
      <c r="G482" s="14" t="str">
        <v>DZT0244</v>
      </c>
      <c r="H482" s="14" t="str">
        <v>座舱内部</v>
      </c>
      <c r="I482" s="15" t="str">
        <v>BCM_AmbientLight_AppSrv氛围灯控制服务</v>
      </c>
      <c r="J482" s="15" t="str">
        <v>RitualSenseAmbLiEffect</v>
      </c>
      <c r="K482" s="15" t="str">
        <v>AI温感控制; 情感空间</v>
      </c>
      <c r="P482" s="15" t="str">
        <v>P0</v>
      </c>
      <c r="Q482" s="30">
        <v>6.6</v>
      </c>
      <c r="R482" s="17" t="str">
        <v>—（无需跨域接口）</v>
      </c>
      <c r="S482" s="14" t="str">
        <v>Pre-OTS版本-0804座舱转测</v>
      </c>
      <c r="T482" s="18" t="str">
        <v>【协作】互联AI原子能力协议文档 </v>
      </c>
      <c r="U482" s="14" t="str">
        <v>registerCallback("iot.cal.modeCB")
unregisterCallback("iot.cal.modeCB")
getValue("iot.cal.getMode")</v>
      </c>
      <c r="V482" s="16">
        <v>704</v>
      </c>
      <c r="W482" s="14" t="str">
        <v>何明阳</v>
      </c>
      <c r="X482" s="14" t="str">
        <v>ACS77智能设备</v>
      </c>
      <c r="Y482" s="20" t="inlineStr">
        <is>
          <r>
            <t>@宋凯</t>
          </r>
        </is>
      </c>
    </row>
    <row r="483" spans="3:25">
      <c r="C483" s="21" t="str">
        <v>底盘氛围灯状态</v>
      </c>
      <c r="D483" s="22" t="str">
        <v>车身_底盘氛围灯连接状态</v>
      </c>
      <c r="E483" s="22" t="str">
        <v>0=断连, 1=连接</v>
      </c>
      <c r="G483" s="14" t="str">
        <v>DZT0245</v>
      </c>
      <c r="H483" s="14" t="str">
        <v>座舱内部</v>
      </c>
      <c r="I483" s="15" t="str">
        <v>BCM_AmbientLight_AppSrv氛围灯控制服务</v>
      </c>
      <c r="J483" s="15" t="str">
        <v>RitualSenseAmbLiEffect</v>
      </c>
      <c r="K483" s="15" t="str">
        <v>AI温感控制; 情感空间</v>
      </c>
      <c r="P483" s="15" t="str">
        <v>P0</v>
      </c>
      <c r="Q483" s="30">
        <v>6.6</v>
      </c>
      <c r="R483" s="17" t="str">
        <v>—（无需跨域接口）</v>
      </c>
      <c r="S483" s="14" t="str">
        <v>Pre-OTS版本-0804座舱转测</v>
      </c>
      <c r="T483" s="18" t="str">
        <v>【协作】互联AI原子能力协议文档 </v>
      </c>
      <c r="U483" s="14" t="str">
        <v>registerCallback("iot.connectStateCB")
unregisterCallback("iot.connectStateCB")
getValue("iot.getConnectState")</v>
      </c>
      <c r="V483" s="16">
        <v>704</v>
      </c>
      <c r="W483" s="14" t="str">
        <v>何明阳</v>
      </c>
      <c r="X483" s="14" t="str">
        <v>ACS77智能设备</v>
      </c>
      <c r="Y483" s="20" t="inlineStr">
        <is>
          <r>
            <t>@宋凯</t>
          </r>
        </is>
      </c>
    </row>
    <row r="484" spans="3:25">
      <c r="C484" s="21" t="str">
        <v>底盘氛围灯状态</v>
      </c>
      <c r="D484" s="22" t="str">
        <v>车身_底盘氛围灯颜色值</v>
      </c>
      <c r="E484" s="22" t="str">
        <v>0~6 (7种预设颜色)</v>
      </c>
      <c r="G484" s="14" t="str">
        <v>DZT0246</v>
      </c>
      <c r="H484" s="14" t="str">
        <v>座舱内部</v>
      </c>
      <c r="I484" s="15" t="str">
        <v>BCM_AmbientLight_AppSrv氛围灯控制服务</v>
      </c>
      <c r="J484" s="15" t="str">
        <v>RitualSenseAmbLiEffect</v>
      </c>
      <c r="K484" s="15" t="str">
        <v>AI温感控制; 情感空间</v>
      </c>
      <c r="P484" s="15" t="str">
        <v>P0</v>
      </c>
      <c r="Q484" s="30">
        <v>6.6</v>
      </c>
      <c r="R484" s="17" t="str">
        <v>—（无需跨域接口）</v>
      </c>
      <c r="S484" s="14" t="str">
        <v>Pre-OTS版本-0804座舱转测</v>
      </c>
      <c r="T484" s="18" t="str">
        <v>【协作】互联AI原子能力协议文档 </v>
      </c>
      <c r="U484" s="14" t="str">
        <v>registerCallback("iot.cal.colorCB")
unregisterCallback("iot.cal.colorCB")
getValue("iot.cal.getColor")</v>
      </c>
      <c r="V484" s="16">
        <v>704</v>
      </c>
      <c r="W484" s="14" t="str">
        <v>何明阳</v>
      </c>
      <c r="X484" s="14" t="str">
        <v>ACS77智能设备</v>
      </c>
      <c r="Y484" s="20" t="inlineStr">
        <is>
          <r>
            <t>@宋凯</t>
          </r>
        </is>
      </c>
    </row>
    <row r="485" spans="3:25">
      <c r="C485" s="21" t="str">
        <v>底盘氛围灯状态</v>
      </c>
      <c r="D485" s="22" t="str">
        <v>车身_底盘氛围灯效果状态</v>
      </c>
      <c r="E485" s="22" t="str">
        <v>0=常亮, 1=呼吸, 2=流水, 3=流星, 4=星闪</v>
      </c>
      <c r="G485" s="14" t="str">
        <v>DZT0247</v>
      </c>
      <c r="H485" s="14" t="str">
        <v>座舱内部</v>
      </c>
      <c r="I485" s="15" t="str">
        <v>BCM_AmbientLight_AppSrv氛围灯控制服务</v>
      </c>
      <c r="J485" s="15" t="str">
        <v>RitualSenseAmbLiEffect</v>
      </c>
      <c r="K485" s="15" t="str">
        <v>AI温感控制; 情感空间</v>
      </c>
      <c r="P485" s="15" t="str">
        <v>P0</v>
      </c>
      <c r="Q485" s="30">
        <v>6.6</v>
      </c>
      <c r="R485" s="17" t="str">
        <v>—（无需跨域接口）</v>
      </c>
      <c r="S485" s="14" t="str">
        <v>Pre-OTS版本-0804座舱转测</v>
      </c>
      <c r="T485" s="18" t="str">
        <v>【协作】互联AI原子能力协议文档 </v>
      </c>
      <c r="U485" s="14" t="str">
        <v>registerCallback("iot.cal.effectCB")
unregisterCallback("iot.cal.effectCB")
getValue("iot.cal.getEffect")</v>
      </c>
      <c r="V485" s="16">
        <v>704</v>
      </c>
      <c r="W485" s="14" t="str">
        <v>何明阳</v>
      </c>
      <c r="X485" s="14" t="str">
        <v>ACS77智能设备</v>
      </c>
      <c r="Y485" s="20" t="inlineStr">
        <is>
          <r>
            <t>@宋凯</t>
          </r>
        </is>
      </c>
    </row>
    <row r="486" spans="3:26">
      <c r="C486" s="21" t="str">
        <v>智能手环状态</v>
      </c>
      <c r="D486" s="22" t="str">
        <v>座舱_手环压力等级</v>
      </c>
      <c r="E486" s="22" t="str">
        <v>0=放松, 1=轻度, 2=中度, 3=重度</v>
      </c>
      <c r="G486" s="24" t="str">
        <v>DZT0518</v>
      </c>
      <c r="H486" s="14" t="str">
        <v>座舱内部</v>
      </c>
      <c r="I486" s="15" t="str">
        <v>CDC内部</v>
      </c>
      <c r="J486" s="15" t="str">
        <v>多媒体模块</v>
      </c>
      <c r="K486" s="15" t="str">
        <v>充电管家; 松弛模式（AI）; AI娱乐搭子</v>
      </c>
      <c r="Q486" s="16">
        <v>7.15</v>
      </c>
      <c r="X486" s="24" t="str">
        <v>ACS77智能设备</v>
      </c>
      <c r="Y486" s="20" t="inlineStr">
        <is>
          <r>
            <t>@宋凯</t>
          </r>
        </is>
      </c>
      <c r="Z486" s="14" t="str">
        <v>风险</v>
      </c>
    </row>
    <row r="487" spans="3:26">
      <c r="C487" s="21" t="str">
        <v>智能手环状态</v>
      </c>
      <c r="D487" s="22" t="str">
        <v>座舱_手环血氧值</v>
      </c>
      <c r="E487" s="22" t="str">
        <v>0~100%, 分辨率1%; 区间: &lt;90%异常, 90%~95%偏低, &gt;95%正常</v>
      </c>
      <c r="G487" s="24" t="str">
        <v>DZT0519</v>
      </c>
      <c r="H487" s="14" t="str">
        <v>座舱内部</v>
      </c>
      <c r="I487" s="15" t="str">
        <v>CDC内部</v>
      </c>
      <c r="J487" s="15" t="str">
        <v>多媒体模块</v>
      </c>
      <c r="K487" s="15" t="str">
        <v>充电管家; 松弛模式（AI）; AI娱乐搭子</v>
      </c>
      <c r="Q487" s="16">
        <v>7.15</v>
      </c>
      <c r="X487" s="24" t="str">
        <v>ACS77智能设备</v>
      </c>
      <c r="Y487" s="20" t="inlineStr">
        <is>
          <r>
            <t>@宋凯</t>
          </r>
        </is>
      </c>
      <c r="Z487" s="14" t="str">
        <v>风险</v>
      </c>
    </row>
    <row r="488" spans="3:26">
      <c r="C488" s="21" t="str">
        <v>智能手环状态</v>
      </c>
      <c r="D488" s="22" t="str">
        <v>座舱_手环心率值</v>
      </c>
      <c r="E488" s="22" t="str">
        <v>30~240 bpm, 分辨率1 bpm</v>
      </c>
      <c r="G488" s="24" t="str">
        <v>DZT0520</v>
      </c>
      <c r="H488" s="14" t="str">
        <v>座舱内部</v>
      </c>
      <c r="I488" s="15" t="str">
        <v>CDC内部</v>
      </c>
      <c r="J488" s="15" t="str">
        <v>多媒体模块</v>
      </c>
      <c r="K488" s="15" t="str">
        <v>充电管家; 松弛模式（AI）; AI娱乐搭子</v>
      </c>
      <c r="Q488" s="16">
        <v>7.15</v>
      </c>
      <c r="X488" s="24" t="str">
        <v>ACS77智能设备</v>
      </c>
      <c r="Y488" s="20" t="inlineStr">
        <is>
          <r>
            <t>@宋凯</t>
          </r>
        </is>
      </c>
      <c r="Z488" s="14" t="str">
        <v>风险</v>
      </c>
    </row>
    <row r="489" spans="3:26">
      <c r="C489" s="21" t="str">
        <v>智能手环状态</v>
      </c>
      <c r="D489" s="22" t="str">
        <v>座舱_手环睡眠时长值</v>
      </c>
      <c r="E489" s="22" t="str">
        <v>0~1440 min, 分辨率1 min</v>
      </c>
      <c r="G489" s="24" t="str">
        <v>DZT0521</v>
      </c>
      <c r="H489" s="14" t="str">
        <v>座舱内部</v>
      </c>
      <c r="I489" s="15" t="str">
        <v>CDC内部</v>
      </c>
      <c r="J489" s="15" t="str">
        <v>多媒体模块</v>
      </c>
      <c r="K489" s="15" t="str">
        <v>充电管家; 松弛模式（AI）; AI娱乐搭子</v>
      </c>
      <c r="Q489" s="16">
        <v>7.15</v>
      </c>
      <c r="X489" s="24" t="str">
        <v>ACS77智能设备</v>
      </c>
      <c r="Y489" s="20" t="inlineStr">
        <is>
          <r>
            <t>@宋凯</t>
          </r>
        </is>
      </c>
      <c r="Z489" s="14" t="str">
        <v>风险</v>
      </c>
    </row>
    <row r="490" spans="3:26">
      <c r="C490" s="21" t="str">
        <v>智能手环状态</v>
      </c>
      <c r="D490" s="22" t="str">
        <v>座舱_手环睡眠评分值</v>
      </c>
      <c r="E490" s="22" t="str">
        <v>0~100 分, 分辨率1 分</v>
      </c>
      <c r="G490" s="24" t="str">
        <v>DZT0522</v>
      </c>
      <c r="H490" s="14" t="str">
        <v>座舱内部</v>
      </c>
      <c r="I490" s="15" t="str">
        <v>CDC内部</v>
      </c>
      <c r="J490" s="15" t="str">
        <v>多媒体模块</v>
      </c>
      <c r="K490" s="15" t="str">
        <v>充电管家; 松弛模式（AI）; AI娱乐搭子</v>
      </c>
      <c r="Q490" s="16">
        <v>7.15</v>
      </c>
      <c r="X490" s="24" t="str">
        <v>ACS77智能设备</v>
      </c>
      <c r="Y490" s="20" t="inlineStr">
        <is>
          <r>
            <t>@宋凯</t>
          </r>
        </is>
      </c>
      <c r="Z490" s="14" t="str">
        <v>风险</v>
      </c>
    </row>
    <row r="491" spans="2:25">
      <c r="B491" s="22" t="str">
        <v>7.10 应用</v>
      </c>
      <c r="C491" s="27" t="str">
        <v>前台应用</v>
      </c>
      <c r="D491" s="22" t="str">
        <v>座舱_当前前台应用名称</v>
      </c>
      <c r="E491" s="22" t="str">
        <v>String, 最长64字符 (UTF-8)</v>
      </c>
      <c r="G491" s="14" t="str">
        <v>DZT0248</v>
      </c>
      <c r="H491" s="14" t="str">
        <v>座舱内部</v>
      </c>
      <c r="I491" s="15" t="str">
        <v>CDC内部</v>
      </c>
      <c r="J491" s="15" t="str">
        <v>多媒体模块</v>
      </c>
      <c r="K491" s="15" t="str">
        <v>充电管家; 松弛模式（AI）; AI娱乐搭子</v>
      </c>
      <c r="O491" s="55" t="str">
        <v>原生api，无须单独提供原子api</v>
      </c>
      <c r="P491" s="15" t="str">
        <v>P0</v>
      </c>
      <c r="Q491" s="16">
        <v>6.6</v>
      </c>
      <c r="R491" s="17" t="str">
        <v>—（无需跨域接口）</v>
      </c>
      <c r="S491" s="14" t="str">
        <v>Pre-OTS版本-0804座舱转测</v>
      </c>
      <c r="T491" s="14" t="str">
        <v>Android原生API</v>
      </c>
      <c r="U491" s="14" t="str">
        <v>可参考工程模式 APK（com.seres.engineeringmode）是系统特权应用，拥有 privapp 权限。
  1. 优先用 UsageStatsManager — 稳定、兼容性好，系统应用自动拥有 PACKAGE_USAGE_STATS 权限
  2. 备选用 ActivityManager.getRunningTasks — 作为系统签名应用，可以正常获取前台任务信息
  3. 如果需要监听前台应用变化，可以注册 UsageStatsManager 的轮询，或在 ActivityLifecycleCallbacks 中做判断</v>
      </c>
      <c r="X491" s="14" t="str">
        <v>ACS29应用商城</v>
      </c>
      <c r="Y491" s="20" t="inlineStr">
        <is>
          <r>
            <t>@陈杰</t>
          </r>
        </is>
      </c>
    </row>
    <row r="492" spans="3:25">
      <c r="C492" s="27" t="str">
        <v>前台应用</v>
      </c>
      <c r="D492" s="22" t="str">
        <v>座舱_当前前台应用包名</v>
      </c>
      <c r="E492" s="22" t="str">
        <v>String, 最长128字符 (如 com.xxx.app)</v>
      </c>
      <c r="G492" s="14" t="str">
        <v>DZT0249</v>
      </c>
      <c r="H492" s="14" t="str">
        <v>座舱内部</v>
      </c>
      <c r="I492" s="15" t="str">
        <v>CDC内部</v>
      </c>
      <c r="J492" s="15" t="str">
        <v>多媒体模块</v>
      </c>
      <c r="K492" s="15" t="str">
        <v>充电管家; 松弛模式（AI）; AI娱乐搭子</v>
      </c>
      <c r="O492" s="55" t="str">
        <v>原生api，无须单独提供原子api</v>
      </c>
      <c r="P492" s="15" t="str">
        <v>P0</v>
      </c>
      <c r="Q492" s="16">
        <v>6.6</v>
      </c>
      <c r="R492" s="17" t="str">
        <v>—（无需跨域接口）</v>
      </c>
      <c r="S492" s="14" t="str">
        <v>Pre-OTS版本-0804座舱转测</v>
      </c>
      <c r="T492" s="14" t="str">
        <v>Android原生API</v>
      </c>
      <c r="U492" s="14" t="str">
        <v>可参考工程模式 APK（com.seres.engineeringmode）是系统特权应用，拥有 privapp 权限。
  1. 优先用 UsageStatsManager — 稳定、兼容性好，系统应用自动拥有 PACKAGE_USAGE_STATS 权限
  2. 备选用 ActivityManager.getRunningTasks — 作为系统签名应用，可以正常获取前台任务信息
  3. 如果需要监听前台应用变化，可以注册 UsageStatsManager 的轮询，或在 ActivityLifecycleCallbacks 中做判断</v>
      </c>
      <c r="X492" s="14" t="str">
        <v>ACS29应用商城</v>
      </c>
      <c r="Y492" s="20" t="inlineStr">
        <is>
          <r>
            <t>@陈杰</t>
          </r>
        </is>
      </c>
    </row>
    <row r="493" spans="3:25">
      <c r="C493" s="21" t="str">
        <v>应用列表</v>
      </c>
      <c r="D493" s="22" t="str">
        <v>座舱_应用运行状态</v>
      </c>
      <c r="E493" s="22" t="str">
        <v>0=未运行, 1=前台, 2=后台, 3=挂起, 4=崩溃</v>
      </c>
      <c r="G493" s="14" t="str">
        <v>DZT0250</v>
      </c>
      <c r="H493" s="14" t="str">
        <v>座舱内部</v>
      </c>
      <c r="I493" s="15" t="str">
        <v>CDC内部</v>
      </c>
      <c r="J493" s="15" t="str">
        <v>多媒体模块</v>
      </c>
      <c r="K493" s="15" t="str">
        <v>充电管家; 松弛模式（AI）; AI娱乐搭子</v>
      </c>
      <c r="O493" s="14" t="str">
        <v>依赖系统侧老师提供对应api</v>
      </c>
      <c r="P493" s="15" t="str">
        <v>P0</v>
      </c>
      <c r="Q493" s="16">
        <v>6.6</v>
      </c>
      <c r="R493" s="17" t="str">
        <v>—（无需跨域接口）</v>
      </c>
      <c r="S493" s="14" t="str">
        <v>Pre-OTS版本-0804座舱转测</v>
      </c>
      <c r="T493" s="14" t="str">
        <v>Android原生API</v>
      </c>
      <c r="U493" s="18" t="str">
        <v>获取应用状态接口说明.md</v>
      </c>
      <c r="V493" s="16">
        <v>707</v>
      </c>
      <c r="X493" s="14" t="str">
        <v>ACS29应用商城</v>
      </c>
      <c r="Y493" s="20" t="inlineStr">
        <is>
          <r>
            <t>@陈杰</t>
          </r>
        </is>
      </c>
    </row>
    <row r="494" spans="3:25">
      <c r="C494" s="21" t="str">
        <v>应用列表</v>
      </c>
      <c r="D494" s="22" t="str">
        <v>座舱_应用打开列表</v>
      </c>
      <c r="E494" s="22" t="str">
        <v>String, 最长512字符 (JSON数组)</v>
      </c>
      <c r="G494" s="14" t="str">
        <v>DZT0251</v>
      </c>
      <c r="H494" s="14" t="str">
        <v>座舱内部</v>
      </c>
      <c r="I494" s="15" t="str">
        <v>CDC内部</v>
      </c>
      <c r="J494" s="15" t="str">
        <v>多媒体模块</v>
      </c>
      <c r="K494" s="15" t="str">
        <v>充电管家; 松弛模式（AI）; AI娱乐搭子</v>
      </c>
      <c r="O494" s="55" t="str">
        <v>原生api，无须单独提供原子api</v>
      </c>
      <c r="P494" s="15" t="str">
        <v>P0</v>
      </c>
      <c r="Q494" s="16">
        <v>6.6</v>
      </c>
      <c r="R494" s="17" t="str">
        <v>—（无需跨域接口）</v>
      </c>
      <c r="S494" s="14" t="str">
        <v>Pre-OTS版本-0804座舱转测</v>
      </c>
      <c r="T494" s="14" t="str">
        <v>Android原生API</v>
      </c>
      <c r="U494" s="14" t="str">
        <v> "intent:#Intent;component=com.seres.launcher/.AppListActivity;launchFlags=0x24000000;end"</v>
      </c>
      <c r="X494" s="14" t="str">
        <v>ACS29应用商城</v>
      </c>
      <c r="Y494" s="20" t="inlineStr">
        <is>
          <r>
            <t>@陈杰</t>
          </r>
        </is>
      </c>
    </row>
    <row r="495" spans="3:25">
      <c r="C495" s="21" t="str">
        <v>应用列表</v>
      </c>
      <c r="D495" s="22" t="str">
        <v>座舱_最近使用应用</v>
      </c>
      <c r="E495" s="22" t="str">
        <v>String, 最长256字符 (JSON数组)</v>
      </c>
      <c r="G495" s="14" t="str">
        <v>DZT0252</v>
      </c>
      <c r="H495" s="14" t="str">
        <v>座舱内部</v>
      </c>
      <c r="I495" s="15" t="str">
        <v>CDC内部</v>
      </c>
      <c r="J495" s="15" t="str">
        <v>多媒体模块</v>
      </c>
      <c r="K495" s="15" t="str">
        <v>充电管家; 松弛模式（AI）; AI娱乐搭子</v>
      </c>
      <c r="O495" s="55" t="str">
        <v>原生api，无须单独提供原子api</v>
      </c>
      <c r="P495" s="15" t="str">
        <v>P0</v>
      </c>
      <c r="Q495" s="16">
        <v>6.6</v>
      </c>
      <c r="R495" s="17" t="str">
        <v>—（无需跨域接口）</v>
      </c>
      <c r="S495" s="14" t="str">
        <v>Pre-OTS版本-0804座舱转测</v>
      </c>
      <c r="T495" s="14" t="str">
        <v>Android原生API</v>
      </c>
      <c r="U495" s="14" t="str">
        <v>ActivityTaskManager.getService().getTasks</v>
      </c>
      <c r="X495" s="14" t="str">
        <v>ACS29应用商城</v>
      </c>
      <c r="Y495" s="20" t="inlineStr">
        <is>
          <r>
            <t>@陈杰</t>
          </r>
        </is>
      </c>
    </row>
    <row r="496" spans="3:25">
      <c r="C496" s="21" t="str">
        <v>应用列表</v>
      </c>
      <c r="D496" s="21" t="str">
        <v>座舱_可更新应用</v>
      </c>
      <c r="E496" s="22" t="str">
        <v>String, 最长256字符 (JSON数组)</v>
      </c>
      <c r="G496" s="14" t="str">
        <v>DZT0253</v>
      </c>
      <c r="H496" s="14" t="str">
        <v>座舱内部</v>
      </c>
      <c r="I496" s="15" t="str">
        <v>CDC内部</v>
      </c>
      <c r="J496" s="15" t="str">
        <v>多媒体模块</v>
      </c>
      <c r="K496" s="15" t="str">
        <v>充电管家; 松弛模式（AI）; AI娱乐搭子</v>
      </c>
      <c r="P496" s="15" t="str">
        <v>P0</v>
      </c>
      <c r="Q496" s="16">
        <v>6.6</v>
      </c>
      <c r="R496" s="17" t="str">
        <v>—（无需跨域接口）</v>
      </c>
      <c r="S496" s="14" t="str">
        <v>原定Pre-OTS版本-0804座舱转测—后延</v>
      </c>
      <c r="T496" s="18" t="str">
        <v>应用商城原子能力API </v>
      </c>
      <c r="U496" s="25" t="str">
        <v>getValue(“appstore.updatable”)</v>
      </c>
      <c r="V496" s="16">
        <v>725</v>
      </c>
      <c r="W496" s="14" t="str">
        <v>陈奕帆</v>
      </c>
      <c r="X496" s="14" t="str">
        <v>ACS29应用商城</v>
      </c>
      <c r="Y496" s="20" t="inlineStr">
        <is>
          <r>
            <t>@陈杰</t>
          </r>
        </is>
      </c>
    </row>
    <row r="497" spans="3:25">
      <c r="C497" s="21" t="str">
        <v>应用商店</v>
      </c>
      <c r="D497" s="21" t="str">
        <v>座舱_应用商店内应用状态</v>
      </c>
      <c r="E497" s="22" t="str">
        <v>0=已安装，1=下载中，2=安装中，3=卸载中，4=已卸载</v>
      </c>
      <c r="G497" s="14" t="str">
        <v>DZT0254</v>
      </c>
      <c r="H497" s="14" t="str">
        <v>座舱内部</v>
      </c>
      <c r="I497" s="15" t="str">
        <v>CDC内部</v>
      </c>
      <c r="J497" s="15" t="str">
        <v>多媒体模块</v>
      </c>
      <c r="K497" s="15" t="str">
        <v>充电管家; 松弛模式（AI）; AI娱乐搭子</v>
      </c>
      <c r="P497" s="15" t="str">
        <v>P0</v>
      </c>
      <c r="Q497" s="16">
        <v>6.6</v>
      </c>
      <c r="R497" s="17" t="str">
        <v>—（无需跨域接口）</v>
      </c>
      <c r="S497" s="14" t="str">
        <v>原定Pre-OTS版本-0804座舱转测—后延</v>
      </c>
      <c r="T497" s="18" t="str">
        <v>应用商城原子能力API </v>
      </c>
      <c r="U497" s="14" t="str">
        <v>getValue(“appstore.status”)</v>
      </c>
      <c r="V497" s="16">
        <v>725</v>
      </c>
      <c r="W497" s="14" t="str">
        <v>陈奕帆</v>
      </c>
      <c r="X497" s="14" t="str">
        <v>ACS29应用商城</v>
      </c>
      <c r="Y497" s="20" t="inlineStr">
        <is>
          <r>
            <t>@宋凯</t>
          </r>
        </is>
      </c>
    </row>
    <row r="498" spans="3:25">
      <c r="C498" s="21" t="str">
        <v>应用商店</v>
      </c>
      <c r="D498" s="21" t="str">
        <v>座舱_应用商店内应用名称</v>
      </c>
      <c r="E498" s="22" t="str">
        <v>String, 最长64字符 (UTF-8)</v>
      </c>
      <c r="G498" s="14" t="str">
        <v>DZT0255</v>
      </c>
      <c r="H498" s="14" t="str">
        <v>座舱内部</v>
      </c>
      <c r="I498" s="15" t="str">
        <v>CDC内部</v>
      </c>
      <c r="J498" s="15" t="str">
        <v>多媒体模块</v>
      </c>
      <c r="K498" s="15" t="str">
        <v>充电管家; 松弛模式（AI）; AI娱乐搭子</v>
      </c>
      <c r="P498" s="15" t="str">
        <v>P0</v>
      </c>
      <c r="Q498" s="16">
        <v>6.6</v>
      </c>
      <c r="R498" s="17" t="str">
        <v>—（无需跨域接口）</v>
      </c>
      <c r="S498" s="14" t="str">
        <v>原定Pre-OTS版本-0804座舱转测—后延</v>
      </c>
      <c r="T498" s="18" t="str">
        <v>应用商城原子能力API </v>
      </c>
      <c r="U498" s="14" t="str">
        <v>getValue(“appstore.list”)</v>
      </c>
      <c r="V498" s="16">
        <v>725</v>
      </c>
      <c r="W498" s="14" t="str">
        <v>陈奕帆</v>
      </c>
      <c r="X498" s="14" t="str">
        <v>ACS29应用商城</v>
      </c>
      <c r="Y498" s="20" t="inlineStr">
        <is>
          <r>
            <t>@宋凯</t>
          </r>
        </is>
      </c>
    </row>
    <row r="499" spans="3:25">
      <c r="C499" s="21" t="str">
        <v>应用商店</v>
      </c>
      <c r="D499" s="21" t="str">
        <v>座舱_应用商店内应用下载进度</v>
      </c>
      <c r="E499" s="22" t="str">
        <v>0-100%</v>
      </c>
      <c r="G499" s="14" t="str">
        <v>DZT0256</v>
      </c>
      <c r="H499" s="14" t="str">
        <v>座舱内部</v>
      </c>
      <c r="I499" s="15" t="str">
        <v>CDC内部</v>
      </c>
      <c r="J499" s="15" t="str">
        <v>多媒体模块</v>
      </c>
      <c r="K499" s="15" t="str">
        <v>充电管家; 松弛模式（AI）; AI娱乐搭子</v>
      </c>
      <c r="P499" s="15" t="str">
        <v>P0</v>
      </c>
      <c r="Q499" s="16">
        <v>6.6</v>
      </c>
      <c r="R499" s="17" t="str">
        <v>—（无需跨域接口）</v>
      </c>
      <c r="S499" s="14" t="str">
        <v>原定Pre-OTS版本-0804座舱转测—后延</v>
      </c>
      <c r="T499" s="18" t="str">
        <v>应用商城原子能力API </v>
      </c>
      <c r="U499" s="14" t="str">
        <v>getValue(“appstore.task”)
register(“appstore.task”)
unregister(“appstore.task”)</v>
      </c>
      <c r="V499" s="16">
        <v>725</v>
      </c>
      <c r="W499" s="14" t="str">
        <v>陈奕帆</v>
      </c>
      <c r="X499" s="14" t="str">
        <v>ACS29应用商城</v>
      </c>
      <c r="Y499" s="20" t="inlineStr">
        <is>
          <r>
            <t>@宋凯</t>
          </r>
        </is>
      </c>
    </row>
    <row r="500" spans="3:25">
      <c r="C500" s="21" t="str">
        <v>手车互联</v>
      </c>
      <c r="D500" s="12" t="str">
        <v>座舱_手车互联类型</v>
      </c>
      <c r="E500" s="22" t="str">
        <v>0=未连接，1=ANDROID_AUTO，2=CARPLAY，3=CARLINK，4=HICAR</v>
      </c>
      <c r="G500" s="14" t="str">
        <v>DZT0257</v>
      </c>
      <c r="H500" s="14" t="str">
        <v>座舱内部</v>
      </c>
      <c r="I500" s="15" t="str">
        <v>CDC内部</v>
      </c>
      <c r="J500" s="15" t="str">
        <v>多媒体模块</v>
      </c>
      <c r="K500" s="15" t="str">
        <v>充电管家; 松弛模式（AI）; AI娱乐搭子</v>
      </c>
      <c r="P500" s="15" t="str">
        <v>P0</v>
      </c>
      <c r="Q500" s="16">
        <v>6.6</v>
      </c>
      <c r="R500" s="17" t="str">
        <v>—（无需跨域接口）</v>
      </c>
      <c r="S500" s="14" t="str">
        <v>Pre-OTS版本-0804座舱转测</v>
      </c>
      <c r="T500" s="18" t="str">
        <v>【协作】互联AI原子能力协议文档 </v>
      </c>
      <c r="U500" s="14" t="str">
        <v>registerCallback("pl.deviceInfoCB")
unregisterCallback("pl.deviceInfoCB")
getValue("pl.deviceInfo")</v>
      </c>
      <c r="V500" s="16">
        <v>702</v>
      </c>
      <c r="W500" s="14" t="str">
        <v>何明阳</v>
      </c>
      <c r="X500" s="14" t="str">
        <v>ACS48Carlink</v>
      </c>
      <c r="Y500" s="20" t="inlineStr">
        <is>
          <r>
            <t>@陈杰</t>
          </r>
        </is>
      </c>
    </row>
    <row r="501" spans="3:25">
      <c r="C501" s="21" t="str">
        <v>手车互联</v>
      </c>
      <c r="D501" s="63" t="str">
        <v>座舱_手车互联连接状态（hicar/carlink）</v>
      </c>
      <c r="E501" s="22" t="str">
        <v>0=未连接， 1=已连接，2=正在连接</v>
      </c>
      <c r="G501" s="14" t="str">
        <v>DZT0258</v>
      </c>
      <c r="H501" s="14" t="str">
        <v>座舱内部</v>
      </c>
      <c r="I501" s="15" t="str">
        <v>CDC内部</v>
      </c>
      <c r="J501" s="15" t="str">
        <v>多媒体模块</v>
      </c>
      <c r="K501" s="15" t="str">
        <v>充电管家; 松弛模式（AI）; AI娱乐搭子</v>
      </c>
      <c r="P501" s="15" t="str">
        <v>P0</v>
      </c>
      <c r="Q501" s="16">
        <v>6.6</v>
      </c>
      <c r="R501" s="17" t="str">
        <v>—（无需跨域接口）</v>
      </c>
      <c r="S501" s="14" t="str">
        <v>Pre-OTS版本-0804座舱转测</v>
      </c>
      <c r="T501" s="18" t="str">
        <v>【协作】互联AI原子能力协议文档 </v>
      </c>
      <c r="U501" s="14" t="str">
        <v>registerCallback("pl.deviceInfoCB")
unregisterCallback("pl.deviceInfoCB")
getValue("pl.deviceInfo")</v>
      </c>
      <c r="V501" s="16">
        <v>702</v>
      </c>
      <c r="W501" s="14" t="str">
        <v>何明阳</v>
      </c>
      <c r="X501" s="14" t="str">
        <v>ACS48Carlink</v>
      </c>
      <c r="Y501" s="20" t="inlineStr">
        <is>
          <r>
            <t>@陈杰</t>
          </r>
        </is>
      </c>
    </row>
    <row r="502" spans="3:25">
      <c r="C502" s="21" t="str">
        <v>手车互联</v>
      </c>
      <c r="D502" s="22" t="str">
        <v>座舱_手车互联后手机应用在车机显示名称（hicar/carlink）</v>
      </c>
      <c r="E502" s="22" t="str">
        <v>String, 最长64字符 (UTF-8)</v>
      </c>
      <c r="G502" s="14" t="str">
        <v>DZT0259</v>
      </c>
      <c r="H502" s="14" t="str">
        <v>座舱内部</v>
      </c>
      <c r="I502" s="15" t="str">
        <v>CDC内部</v>
      </c>
      <c r="J502" s="15" t="str">
        <v>多媒体模块</v>
      </c>
      <c r="K502" s="15" t="str">
        <v>充电管家; 松弛模式（AI）; AI娱乐搭子</v>
      </c>
      <c r="P502" s="15" t="str">
        <v>P0</v>
      </c>
      <c r="Q502" s="16">
        <v>6.6</v>
      </c>
      <c r="R502" s="17" t="str">
        <v>—（无需跨域接口）</v>
      </c>
      <c r="S502" s="14" t="str">
        <v>Pre-OTS版本-0804座舱转测</v>
      </c>
      <c r="T502" s="18" t="str">
        <v>【协作】互联AI原子能力协议文档 </v>
      </c>
      <c r="U502" s="14" t="str">
        <v>registerCallback("pl.deviceInfoCB")
unregisterCallback("pl.deviceInfoCB")
getValue("pl.deviceInfo")</v>
      </c>
      <c r="V502" s="16">
        <v>702</v>
      </c>
      <c r="W502" s="14" t="str">
        <v>何明阳</v>
      </c>
      <c r="X502" s="14" t="str">
        <v>ACS48Carlink</v>
      </c>
      <c r="Y502" s="20" t="inlineStr">
        <is>
          <r>
            <t>@陈杰</t>
          </r>
        </is>
      </c>
    </row>
    <row r="503" spans="3:25">
      <c r="C503" s="21" t="str">
        <v>手车互联</v>
      </c>
      <c r="D503" s="22" t="str">
        <v>座舱_手车互联后手机应用在车机运行状态（hicar/carlink）</v>
      </c>
      <c r="E503" s="22" t="str">
        <v>0=未运行, 1=前台, 2=后台</v>
      </c>
      <c r="G503" s="14" t="str">
        <v>DZT0260</v>
      </c>
      <c r="H503" s="14" t="str">
        <v>座舱内部</v>
      </c>
      <c r="I503" s="15" t="str">
        <v>CDC内部</v>
      </c>
      <c r="J503" s="15" t="str">
        <v>多媒体模块</v>
      </c>
      <c r="K503" s="15" t="str">
        <v>充电管家; 松弛模式（AI）; AI娱乐搭子</v>
      </c>
      <c r="P503" s="15" t="str">
        <v>P0</v>
      </c>
      <c r="Q503" s="16">
        <v>6.6</v>
      </c>
      <c r="R503" s="17" t="str">
        <v>—（无需跨域接口）</v>
      </c>
      <c r="S503" s="14" t="str">
        <v>Pre-OTS版本-0804座舱转测</v>
      </c>
      <c r="T503" s="18" t="str">
        <v>【协作】互联AI原子能力协议文档 </v>
      </c>
      <c r="U503" s="14" t="str">
        <v>registerCallback("pl.displayStateCB")
unregisterCallback("pl.displayStateCB")
getValue("pl.displayState")</v>
      </c>
      <c r="V503" s="16">
        <v>702</v>
      </c>
      <c r="W503" s="14" t="str">
        <v>何明阳</v>
      </c>
      <c r="X503" s="14" t="str">
        <v>ACS48Carlink</v>
      </c>
      <c r="Y503" s="20" t="inlineStr">
        <is>
          <r>
            <t>@陈杰</t>
          </r>
        </is>
      </c>
    </row>
    <row r="504" spans="3:25">
      <c r="C504" s="21" t="str">
        <v>小程序</v>
      </c>
      <c r="D504" s="21" t="str">
        <v>座舱_支付宝车载助手运营小程序列表</v>
      </c>
      <c r="E504" s="22" t="str">
        <v>JSON数组</v>
      </c>
      <c r="F504" s="22" t="str">
        <v>只有GET的获取方式，没有register，和字节确认</v>
      </c>
      <c r="G504" s="14" t="str">
        <v>DZT0261</v>
      </c>
      <c r="H504" s="14" t="str">
        <v>座舱内部</v>
      </c>
      <c r="I504" s="15" t="str">
        <v>CDC内部</v>
      </c>
      <c r="J504" s="15" t="str">
        <v>多媒体模块</v>
      </c>
      <c r="K504" s="15" t="str">
        <v>充电管家; 松弛模式（AI）; AI娱乐搭子</v>
      </c>
      <c r="P504" s="15" t="str">
        <v>P0</v>
      </c>
      <c r="Q504" s="16">
        <v>6.6</v>
      </c>
      <c r="R504" s="17" t="str">
        <v>—（无需跨域接口）</v>
      </c>
      <c r="S504" s="14" t="str">
        <v>Pre-OTS版本-0804座舱转测</v>
      </c>
      <c r="T504" s="18" t="str">
        <v>支付宝小程序原子能力使用文档 </v>
      </c>
      <c r="U504" s="14" t="str">
        <v>fun isAlipayAcountLogin(callback: IAlipayAccountLoginStatusCallback, methodCb: IPlatformCallback)</v>
      </c>
      <c r="V504" s="16">
        <v>703</v>
      </c>
      <c r="W504" s="14" t="str">
        <v>郭浩</v>
      </c>
      <c r="X504" s="28" t="str">
        <v>ACS71支付宝助手</v>
      </c>
      <c r="Y504" s="20" t="inlineStr">
        <is>
          <r>
            <t>@潘伟俊</t>
          </r>
        </is>
      </c>
    </row>
    <row r="505" spans="2:25">
      <c r="B505" s="22" t="str">
        <v>7.11 投屏状态</v>
      </c>
      <c r="C505" s="21" t="str">
        <v>天幕滑移屏投屏状态</v>
      </c>
      <c r="D505" s="64" t="str">
        <v>座舱_投屏连接状态</v>
      </c>
      <c r="E505" s="22" t="str">
        <v>0=未连接, 1=连接中, 2=已连接, 3=连接失败</v>
      </c>
      <c r="G505" s="14" t="str">
        <v>DZT0262</v>
      </c>
      <c r="H505" s="14" t="str">
        <v>座舱内部</v>
      </c>
      <c r="I505" s="15" t="str">
        <v>CDC内部</v>
      </c>
      <c r="J505" s="15" t="str">
        <v>多媒体模块</v>
      </c>
      <c r="K505" s="15" t="str">
        <v>充电管家; 松弛模式（AI）; AI娱乐搭子</v>
      </c>
      <c r="P505" s="15" t="str">
        <v>P0</v>
      </c>
      <c r="Q505" s="16">
        <v>6.6</v>
      </c>
      <c r="R505" s="17" t="str">
        <v>—（无需跨域接口）</v>
      </c>
      <c r="S505" s="14" t="str">
        <v>Pre-OTS版本-0804座舱转测</v>
      </c>
      <c r="T505" s="18" t="str">
        <v>【协作】互联AI原子能力协议文档 </v>
      </c>
      <c r="U505" s="14" t="str">
        <v>registerCallback("wc.linkStateCB")
unregisterCallback("wc.linkStateCB")
getValue("wc.linkState")</v>
      </c>
      <c r="V505" s="16">
        <v>702</v>
      </c>
      <c r="W505" s="14" t="str">
        <v>何明阳</v>
      </c>
      <c r="X505" s="28" t="str">
        <v>ACS68后排显示</v>
      </c>
      <c r="Y505" s="20" t="inlineStr">
        <is>
          <r>
            <t>@樊鹏宇</t>
          </r>
        </is>
      </c>
    </row>
    <row r="506" spans="2:25">
      <c r="B506" s="22" t="str">
        <v>7.12 摄像头状态</v>
      </c>
      <c r="C506" s="27" t="str">
        <v>车内摄像头</v>
      </c>
      <c r="D506" s="21" t="str">
        <v>车内OMS</v>
      </c>
      <c r="E506" s="22" t="str">
        <v>0=关闭, 1=开启，2=异常</v>
      </c>
      <c r="G506" s="23" t="str">
        <v>DZT0379</v>
      </c>
      <c r="H506" s="14" t="str">
        <v>座舱</v>
      </c>
      <c r="I506" s="15" t="str">
        <v>CDC内部</v>
      </c>
      <c r="J506" s="15" t="str">
        <v>OMS乘员监控</v>
      </c>
      <c r="K506" s="15" t="str">
        <v>全车人员识别; AI温感控制; 充电管家; 情感空间</v>
      </c>
      <c r="P506" s="15" t="str">
        <v>P0</v>
      </c>
      <c r="Q506" s="16">
        <v>6.13</v>
      </c>
      <c r="R506" s="17" t="str">
        <v>❌架构待确认</v>
      </c>
      <c r="S506" s="14" t="str">
        <v>Pre-OTS版本-0804座舱转测</v>
      </c>
      <c r="X506" s="14" t="str">
        <v>ACS14OMS</v>
      </c>
      <c r="Y506" s="20" t="inlineStr">
        <is>
          <r>
            <t>@冯艺玮</t>
          </r>
        </is>
      </c>
    </row>
    <row r="507" spans="3:25">
      <c r="C507" s="21" t="str">
        <v>车外摄像头</v>
      </c>
      <c r="D507" s="21" t="str">
        <v>车外前视（广角）</v>
      </c>
      <c r="E507" s="22" t="str">
        <v>0=关闭, 1=开启，2=异常</v>
      </c>
      <c r="G507" s="24" t="str">
        <v>DZT0523</v>
      </c>
      <c r="H507" s="14" t="str">
        <v>座舱</v>
      </c>
      <c r="P507" s="15" t="str">
        <v>P1</v>
      </c>
      <c r="Q507" s="16">
        <v>6.13</v>
      </c>
      <c r="R507" s="17" t="str">
        <v>❌架构待确认</v>
      </c>
      <c r="X507" s="24" t="str">
        <v>ACS14OMS</v>
      </c>
      <c r="Y507" s="20" t="inlineStr">
        <is>
          <r>
            <t>@冯艺玮</t>
          </r>
        </is>
      </c>
    </row>
    <row r="508" spans="3:25">
      <c r="C508" s="21" t="str">
        <v>车外摄像头</v>
      </c>
      <c r="D508" s="21" t="str">
        <v>车外后视</v>
      </c>
      <c r="E508" s="22" t="str">
        <v>0=关闭, 1=开启，2=异常</v>
      </c>
      <c r="G508" s="24" t="str">
        <v>DZT0524</v>
      </c>
      <c r="H508" s="14" t="str">
        <v>座舱</v>
      </c>
      <c r="P508" s="15" t="str">
        <v>P1</v>
      </c>
      <c r="Q508" s="16">
        <v>6.13</v>
      </c>
      <c r="R508" s="17" t="str">
        <v>❌架构待确认</v>
      </c>
      <c r="X508" s="24" t="str">
        <v>ACS14OMS</v>
      </c>
      <c r="Y508" s="20" t="inlineStr">
        <is>
          <r>
            <t>@冯艺玮</t>
          </r>
        </is>
      </c>
    </row>
    <row r="509" spans="3:25">
      <c r="C509" s="21" t="str">
        <v>车外摄像头</v>
      </c>
      <c r="D509" s="21" t="str">
        <v>车外左前</v>
      </c>
      <c r="E509" s="22" t="str">
        <v>0=关闭, 1=开启，2=异常</v>
      </c>
      <c r="G509" s="24" t="str">
        <v>DZT0525</v>
      </c>
      <c r="H509" s="14" t="str">
        <v>座舱</v>
      </c>
      <c r="P509" s="15" t="str">
        <v>P1</v>
      </c>
      <c r="Q509" s="16">
        <v>6.13</v>
      </c>
      <c r="R509" s="17" t="str">
        <v>❌架构待确认</v>
      </c>
      <c r="X509" s="24" t="str">
        <v>ACS14OMS</v>
      </c>
      <c r="Y509" s="20" t="inlineStr">
        <is>
          <r>
            <t>@冯艺玮</t>
          </r>
        </is>
      </c>
    </row>
    <row r="510" spans="3:25">
      <c r="C510" s="21" t="str">
        <v>车外摄像头</v>
      </c>
      <c r="D510" s="21" t="str">
        <v>车外左后</v>
      </c>
      <c r="E510" s="22" t="str">
        <v>0=关闭, 1=开启，2=异常</v>
      </c>
      <c r="G510" s="24" t="str">
        <v>DZT0526</v>
      </c>
      <c r="H510" s="14" t="str">
        <v>座舱</v>
      </c>
      <c r="P510" s="15" t="str">
        <v>P1</v>
      </c>
      <c r="Q510" s="16">
        <v>6.13</v>
      </c>
      <c r="R510" s="17" t="str">
        <v>❌架构待确认</v>
      </c>
      <c r="X510" s="24" t="str">
        <v>ACS14OMS</v>
      </c>
      <c r="Y510" s="20" t="inlineStr">
        <is>
          <r>
            <t>@冯艺玮</t>
          </r>
        </is>
      </c>
    </row>
    <row r="511" spans="3:25">
      <c r="C511" s="21" t="str">
        <v>车外摄像头</v>
      </c>
      <c r="D511" s="21" t="str">
        <v>车外右前</v>
      </c>
      <c r="E511" s="22" t="str">
        <v>0=关闭, 1=开启，2=异常</v>
      </c>
      <c r="G511" s="24" t="str">
        <v>DZT0527</v>
      </c>
      <c r="H511" s="14" t="str">
        <v>座舱</v>
      </c>
      <c r="P511" s="15" t="str">
        <v>P1</v>
      </c>
      <c r="Q511" s="16">
        <v>6.13</v>
      </c>
      <c r="R511" s="17" t="str">
        <v>❌架构待确认</v>
      </c>
      <c r="X511" s="24" t="str">
        <v>ACS14OMS</v>
      </c>
      <c r="Y511" s="20" t="inlineStr">
        <is>
          <r>
            <t>@冯艺玮</t>
          </r>
        </is>
      </c>
    </row>
    <row r="512" spans="3:25">
      <c r="C512" s="21" t="str">
        <v>车外摄像头</v>
      </c>
      <c r="D512" s="21" t="str">
        <v>车外右前</v>
      </c>
      <c r="E512" s="22" t="str">
        <v>0=关闭, 1=开启，2=异常</v>
      </c>
      <c r="G512" s="24" t="str">
        <v>DZT0528</v>
      </c>
      <c r="H512" s="14" t="str">
        <v>座舱</v>
      </c>
      <c r="P512" s="15" t="str">
        <v>P1</v>
      </c>
      <c r="Q512" s="16">
        <v>6.13</v>
      </c>
      <c r="R512" s="17" t="str">
        <v>❌架构待确认</v>
      </c>
      <c r="X512" s="24" t="str">
        <v>ACS14OMS</v>
      </c>
      <c r="Y512" s="20" t="inlineStr">
        <is>
          <r>
            <t>@冯艺玮</t>
          </r>
        </is>
      </c>
    </row>
    <row r="513" spans="2:25">
      <c r="B513" s="12" t="str">
        <v>7.13光影空间app</v>
      </c>
      <c r="C513" s="13" t="str">
        <v>光影空间app</v>
      </c>
      <c r="D513" s="13" t="str">
        <v>拍照按钮</v>
      </c>
      <c r="E513" s="12" t="str">
        <v>0=拍照、1=未启动</v>
      </c>
      <c r="G513" s="24" t="str">
        <v>DZT0529</v>
      </c>
      <c r="H513" s="14" t="str">
        <v>座舱</v>
      </c>
      <c r="K513" s="15" t="str">
        <v>光影空间</v>
      </c>
      <c r="L513" s="19">
        <v>46184</v>
      </c>
      <c r="Q513" s="16">
        <v>6.13</v>
      </c>
      <c r="R513" s="17" t="str">
        <v>🔄座舱内闭环</v>
      </c>
      <c r="X513" s="24" t="str">
        <v>ACS102AI导演</v>
      </c>
      <c r="Y513" s="20" t="inlineStr">
        <is>
          <r>
            <t>@冯艺玮</t>
          </r>
        </is>
      </c>
    </row>
    <row r="514" spans="3:25">
      <c r="C514" s="13" t="str">
        <v>光影空间app</v>
      </c>
      <c r="D514" s="13" t="str">
        <v>普通拍摄状态</v>
      </c>
      <c r="E514" s="12" t="str">
        <v>0=录制中、1=未启动</v>
      </c>
      <c r="G514" s="24" t="str">
        <v>DZT0530</v>
      </c>
      <c r="H514" s="14" t="str">
        <v>座舱</v>
      </c>
      <c r="K514" s="15" t="str">
        <v>光影空间</v>
      </c>
      <c r="L514" s="19">
        <v>46184</v>
      </c>
      <c r="Q514" s="16">
        <v>6.13</v>
      </c>
      <c r="R514" s="17" t="str">
        <v>🔄座舱内闭环</v>
      </c>
      <c r="X514" s="24" t="str">
        <v>ACS102AI导演</v>
      </c>
      <c r="Y514" s="20" t="inlineStr">
        <is>
          <r>
            <t>@冯艺玮</t>
          </r>
        </is>
      </c>
    </row>
    <row r="515" spans="3:25">
      <c r="C515" s="13" t="str">
        <v>光影空间app</v>
      </c>
      <c r="D515" s="13" t="str">
        <v>高光拍摄状态</v>
      </c>
      <c r="E515" s="12" t="str">
        <v>0=录制中、1=未启动</v>
      </c>
      <c r="G515" s="24" t="str">
        <v>DZT0531</v>
      </c>
      <c r="H515" s="14" t="str">
        <v>座舱</v>
      </c>
      <c r="K515" s="15" t="str">
        <v>光影空间</v>
      </c>
      <c r="L515" s="19">
        <v>46184</v>
      </c>
      <c r="Q515" s="16">
        <v>6.13</v>
      </c>
      <c r="R515" s="17" t="str">
        <v>🔄座舱内闭环</v>
      </c>
      <c r="X515" s="24" t="str">
        <v>ACS102AI导演</v>
      </c>
      <c r="Y515" s="20" t="inlineStr">
        <is>
          <r>
            <t>@冯艺玮</t>
          </r>
        </is>
      </c>
    </row>
    <row r="516" spans="2:25">
      <c r="B516" s="3" t="str">
        <v>7.14 语音</v>
      </c>
      <c r="C516" s="13" t="str">
        <v>音区位置</v>
      </c>
      <c r="D516" s="12" t="str">
        <v>音区位置判断</v>
      </c>
      <c r="E516" s="12" t="str">
        <v>主驾/副驾/左后/右后</v>
      </c>
      <c r="G516" s="24" t="str">
        <v>DZT0532</v>
      </c>
      <c r="H516" s="14" t="str">
        <v>座舱</v>
      </c>
      <c r="K516" s="15" t="str">
        <v>基础语音</v>
      </c>
      <c r="L516" s="19">
        <v>46184</v>
      </c>
      <c r="Q516" s="16">
        <v>6.13</v>
      </c>
      <c r="R516" s="17" t="str">
        <v>🔄座舱内闭环</v>
      </c>
      <c r="Y516" s="20" t="inlineStr">
        <is>
          <r>
            <t>@陆云帆</t>
          </r>
        </is>
      </c>
    </row>
    <row r="517" spans="3:25">
      <c r="C517" s="13" t="str">
        <v>语音状态</v>
      </c>
      <c r="D517" s="12" t="str">
        <v>语音状态</v>
      </c>
      <c r="E517" s="12" t="str">
        <v>唤醒/识别/聆听/思考/播报</v>
      </c>
      <c r="G517" s="24" t="str">
        <v>DZT0533</v>
      </c>
      <c r="H517" s="14" t="str">
        <v>座舱</v>
      </c>
      <c r="K517" s="15" t="str">
        <v>基础语音</v>
      </c>
      <c r="L517" s="19">
        <v>46184</v>
      </c>
      <c r="Q517" s="16">
        <v>6.13</v>
      </c>
      <c r="R517" s="17" t="str">
        <v>🔄座舱内闭环</v>
      </c>
      <c r="Y517" s="20" t="inlineStr">
        <is>
          <r>
            <t>@陆云帆</t>
          </r>
        </is>
      </c>
    </row>
    <row r="518" spans="2:25">
      <c r="B518" s="12" t="str">
        <v>7.15系统服务</v>
      </c>
      <c r="C518" s="27" t="str">
        <v>PDID码</v>
      </c>
      <c r="D518" s="12" t="str">
        <v>座舱_PDID码</v>
      </c>
      <c r="E518" s="12" t="str">
        <v>车机设备唯一标识（字符串）</v>
      </c>
      <c r="G518" s="14" t="str">
        <v>DZT266</v>
      </c>
      <c r="H518" s="14" t="str">
        <v>座舱</v>
      </c>
      <c r="L518" s="19">
        <v>46188</v>
      </c>
      <c r="P518" s="15" t="str">
        <v>P0</v>
      </c>
      <c r="Q518" s="16">
        <v>6.13</v>
      </c>
      <c r="R518" s="17" t="str">
        <v>🔄座舱内闭环</v>
      </c>
      <c r="T518" s="18" t="str">
        <v>Adapter_SD_keys 
E68 Adapter方案:https://sai-seres.feishu.cn/wiki/S2H1wC6vAiAYYEkvt7Wcif57nQg </v>
      </c>
      <c r="U518" s="26" t="str">
        <v>ID_PDID
SeresPlatformSDK.getSeresAdapter().getValue</v>
      </c>
      <c r="V518" s="16">
        <v>701</v>
      </c>
      <c r="W518" s="14" t="str">
        <v>冯鑫林</v>
      </c>
      <c r="Y518" s="20" t="inlineStr">
        <is>
          <r>
            <t>@梁来森</t>
          </r>
        </is>
      </c>
    </row>
    <row r="519" spans="3:25">
      <c r="C519" s="27" t="str">
        <v>录屏</v>
      </c>
      <c r="D519" s="13" t="str">
        <v>屏幕录制</v>
      </c>
      <c r="E519" s="13" t="str">
        <v>0=录制中、1=未启动</v>
      </c>
      <c r="G519" s="28" t="str">
        <v>DZT0534</v>
      </c>
      <c r="K519" s="13" t="str">
        <v>持续任务岛</v>
      </c>
      <c r="L519" s="29">
        <v>46204</v>
      </c>
      <c r="Q519" s="30">
        <v>7.15</v>
      </c>
      <c r="X519" s="28" t="str">
        <v>ACS42主交互</v>
      </c>
      <c r="Y519" s="28" t="inlineStr">
        <is>
          <r>
            <t>@杨操</t>
          </r>
        </is>
      </c>
    </row>
    <row r="520" spans="3:25">
      <c r="C520" s="27" t="str">
        <v>无麦K歌状态</v>
      </c>
      <c r="D520" s="12" t="str">
        <v>无麦K歌开关</v>
      </c>
      <c r="E520" s="12" t="str">
        <v>0=关闭，1=开启</v>
      </c>
      <c r="G520" s="24" t="str">
        <v>DZT0535</v>
      </c>
      <c r="H520" s="14" t="str">
        <v>座舱</v>
      </c>
      <c r="K520" s="28" t="str">
        <v>豆包屏表情</v>
      </c>
      <c r="L520" s="19">
        <v>46184</v>
      </c>
      <c r="Q520" s="16">
        <v>6.13</v>
      </c>
      <c r="R520" s="17" t="str">
        <v>🔄座舱内闭环</v>
      </c>
      <c r="X520" s="24" t="str">
        <v>ACS03多媒体</v>
      </c>
      <c r="Y520" s="20" t="inlineStr">
        <is>
          <r>
            <t>@王竹月</t>
          </r>
        </is>
      </c>
    </row>
    <row r="521" spans="3:25">
      <c r="C521" s="27" t="str">
        <v>三房K歌软件状态</v>
      </c>
      <c r="D521" s="12" t="str">
        <v>雷石KTV</v>
      </c>
      <c r="E521" s="12" t="str">
        <v>0=关闭，1=开启，3=播放中，4=播放完成</v>
      </c>
      <c r="G521" s="24" t="str">
        <v>DZT0536</v>
      </c>
      <c r="H521" s="14" t="str">
        <v>座舱</v>
      </c>
      <c r="K521" s="28" t="str">
        <v>豆包屏表情</v>
      </c>
      <c r="L521" s="19">
        <v>46184</v>
      </c>
      <c r="Q521" s="16">
        <v>6.13</v>
      </c>
      <c r="R521" s="17" t="str">
        <v>🔄座舱内闭环</v>
      </c>
      <c r="X521" s="24" t="str">
        <v>ACS03多媒体</v>
      </c>
      <c r="Y521" s="20" t="inlineStr">
        <is>
          <r>
            <t>@王竹月</t>
          </r>
        </is>
      </c>
    </row>
    <row r="522" spans="2:25">
      <c r="B522" s="13" t="str">
        <v>7.16充电报告</v>
      </c>
      <c r="C522" s="27" t="str">
        <v>充电报告</v>
      </c>
      <c r="D522" s="27" t="str">
        <v>当前周期</v>
      </c>
      <c r="E522" s="13" t="str">
        <v>1-12月</v>
      </c>
      <c r="G522" s="28" t="str">
        <v>DZT0537</v>
      </c>
      <c r="K522" s="28" t="str">
        <v>充电管家</v>
      </c>
      <c r="L522" s="29">
        <v>46203</v>
      </c>
      <c r="Q522" s="30">
        <v>7.15</v>
      </c>
      <c r="X522" s="28" t="str">
        <v>ACS31车辆设置</v>
      </c>
      <c r="Y522" s="28" t="inlineStr">
        <is>
          <r>
            <t>@刘多</t>
          </r>
        </is>
      </c>
    </row>
    <row r="523" spans="3:25">
      <c r="C523" s="27" t="str">
        <v>充电报告</v>
      </c>
      <c r="D523" s="13" t="str">
        <v>平均开始soc</v>
      </c>
      <c r="E523" s="13" t="str">
        <v>0-100%</v>
      </c>
      <c r="G523" s="28" t="str">
        <v>DZT0538</v>
      </c>
      <c r="K523" s="28" t="str">
        <v>充电管家</v>
      </c>
      <c r="L523" s="29">
        <v>46203</v>
      </c>
      <c r="Q523" s="30">
        <v>7.15</v>
      </c>
      <c r="X523" s="28" t="str">
        <v>ACS31车辆设置</v>
      </c>
      <c r="Y523" s="28" t="inlineStr">
        <is>
          <r>
            <t>@刘多</t>
          </r>
        </is>
      </c>
    </row>
    <row r="524" spans="3:25">
      <c r="C524" s="27" t="str">
        <v>充电报告</v>
      </c>
      <c r="D524" s="13" t="str">
        <v>平均结束soc</v>
      </c>
      <c r="E524" s="13" t="str">
        <v>0-100%</v>
      </c>
      <c r="G524" s="28" t="str">
        <v>DZT0539</v>
      </c>
      <c r="K524" s="28" t="str">
        <v>充电管家</v>
      </c>
      <c r="L524" s="29">
        <v>46203</v>
      </c>
      <c r="Q524" s="30">
        <v>7.15</v>
      </c>
      <c r="X524" s="28" t="str">
        <v>ACS31车辆设置</v>
      </c>
      <c r="Y524" s="28" t="inlineStr">
        <is>
          <r>
            <t>@刘多</t>
          </r>
        </is>
      </c>
    </row>
    <row r="525" spans="3:25">
      <c r="C525" s="27" t="str">
        <v>充电报告</v>
      </c>
      <c r="D525" s="13" t="str">
        <v>总电量</v>
      </c>
      <c r="E525" s="13" t="str">
        <v>0-999度</v>
      </c>
      <c r="G525" s="28" t="str">
        <v>DZT0540</v>
      </c>
      <c r="K525" s="28" t="str">
        <v>充电管家</v>
      </c>
      <c r="L525" s="29">
        <v>46203</v>
      </c>
      <c r="Q525" s="30">
        <v>7.15</v>
      </c>
      <c r="X525" s="28" t="str">
        <v>ACS31车辆设置</v>
      </c>
      <c r="Y525" s="28" t="inlineStr">
        <is>
          <r>
            <t>@刘多</t>
          </r>
        </is>
      </c>
    </row>
    <row r="526" spans="3:25">
      <c r="C526" s="27" t="str">
        <v>充电报告</v>
      </c>
      <c r="D526" s="13" t="str">
        <v>总次数</v>
      </c>
      <c r="E526" s="13" t="str">
        <v>0-999次</v>
      </c>
      <c r="G526" s="28" t="str">
        <v>DZT0541</v>
      </c>
      <c r="K526" s="28" t="str">
        <v>充电管家</v>
      </c>
      <c r="L526" s="29">
        <v>46203</v>
      </c>
      <c r="Q526" s="30">
        <v>7.15</v>
      </c>
      <c r="X526" s="28" t="str">
        <v>ACS31车辆设置</v>
      </c>
      <c r="Y526" s="28" t="inlineStr">
        <is>
          <r>
            <t>@刘多</t>
          </r>
        </is>
      </c>
    </row>
    <row r="527" spans="3:25">
      <c r="C527" s="27" t="str">
        <v>充电报告</v>
      </c>
      <c r="D527" s="13" t="str">
        <v>总时长</v>
      </c>
      <c r="E527" s="13" t="str">
        <v>0-999小时</v>
      </c>
      <c r="G527" s="28" t="str">
        <v>DZT0542</v>
      </c>
      <c r="K527" s="28" t="str">
        <v>充电管家</v>
      </c>
      <c r="L527" s="29">
        <v>46203</v>
      </c>
      <c r="Q527" s="30">
        <v>7.15</v>
      </c>
      <c r="X527" s="28" t="str">
        <v>ACS31车辆设置</v>
      </c>
      <c r="Y527" s="28" t="inlineStr">
        <is>
          <r>
            <t>@刘多</t>
          </r>
        </is>
      </c>
    </row>
    <row r="528" spans="2:25">
      <c r="B528" s="27" t="str">
        <v>7.17 座舱设置</v>
      </c>
      <c r="C528" s="65" t="str">
        <v>天气路况保护开关</v>
      </c>
      <c r="D528" s="65" t="str">
        <v>天气路况保护开关</v>
      </c>
      <c r="E528" s="13" t="str">
        <v>0=关闭, 1=开启</v>
      </c>
      <c r="G528" s="28" t="str">
        <v>DZT0387</v>
      </c>
      <c r="P528" s="26" t="str">
        <v>P0</v>
      </c>
      <c r="Q528" s="30">
        <v>6.13</v>
      </c>
      <c r="R528" s="17" t="str">
        <v>—（无需跨域接口）</v>
      </c>
      <c r="S528" s="28" t="str">
        <v>Pre-OTS版本-0804座舱转测</v>
      </c>
      <c r="X528" s="28" t="str">
        <v>ACS19场景推荐</v>
      </c>
      <c r="Y528" s="28" t="inlineStr">
        <is>
          <r>
            <t>@张景波</t>
          </r>
        </is>
      </c>
    </row>
    <row r="529" spans="3:25">
      <c r="C529" s="27" t="str">
        <v>账号</v>
      </c>
      <c r="D529" s="13" t="str">
        <v>自动切换驾驶员账号状态开关</v>
      </c>
      <c r="E529" s="13" t="str">
        <v>0=关闭, 1=开启</v>
      </c>
      <c r="G529" s="28" t="str">
        <v>DZT0543</v>
      </c>
      <c r="K529" s="26" t="str">
        <v>出行主动服务</v>
      </c>
      <c r="L529" s="29">
        <v>46216</v>
      </c>
      <c r="Q529" s="30">
        <v>7.15</v>
      </c>
      <c r="X529" s="28" t="str">
        <v>ACS98隐私保护</v>
      </c>
      <c r="Y529" s="28" t="inlineStr">
        <is>
          <r>
            <t>@孙盛非</t>
          </r>
        </is>
      </c>
    </row>
    <row r="530" spans="3:25">
      <c r="C530" s="66" t="str">
        <v>账号</v>
      </c>
      <c r="D530" s="58" t="str">
        <v>座舱_oobe欢迎页面</v>
      </c>
      <c r="E530" s="58" t="str">
        <v>0=开始，1=结束</v>
      </c>
      <c r="K530" s="13" t="str">
        <v>豆包屏表情</v>
      </c>
      <c r="Y530" s="28" t="inlineStr">
        <is>
          <r>
            <t>@杨操</t>
          </r>
        </is>
      </c>
    </row>
    <row r="531" spans="3:25">
      <c r="C531" s="66" t="str">
        <v>账号</v>
      </c>
      <c r="D531" s="58" t="str">
        <v>座舱_录入账号人脸</v>
      </c>
      <c r="E531" s="58" t="str">
        <v>0=开始录入，1=结束录入</v>
      </c>
      <c r="K531" s="13" t="str">
        <v>豆包屏表情</v>
      </c>
      <c r="Y531" s="28" t="inlineStr">
        <is>
          <r>
            <t>@杨操</t>
          </r>
        </is>
      </c>
    </row>
    <row r="532" spans="1:25">
      <c r="A532" s="22" t="str">
        <v>八、车辆模式与场景域</v>
      </c>
      <c r="B532" s="22" t="str">
        <v>8.1 权限/隐私状态</v>
      </c>
      <c r="C532" s="65" t="str">
        <v>隐私权限</v>
      </c>
      <c r="D532" s="22" t="str">
        <v>车辆模式_一键除痕状态</v>
      </c>
      <c r="E532" s="22" t="str">
        <v>0=空闲, 1=执行中, 2=完成</v>
      </c>
      <c r="G532" s="24" t="str">
        <v>DZT0544</v>
      </c>
      <c r="H532" s="14" t="str">
        <v>已透传cdc</v>
      </c>
      <c r="P532" s="15" t="str">
        <v>P0</v>
      </c>
      <c r="Q532" s="16">
        <v>6.13</v>
      </c>
      <c r="R532" s="17" t="str">
        <v>🔄座舱内闭环</v>
      </c>
      <c r="X532" s="24" t="str">
        <v>ACS98隐私保护</v>
      </c>
      <c r="Y532" s="20" t="inlineStr">
        <is>
          <r>
            <t>@张姝娴</t>
          </r>
        </is>
      </c>
    </row>
    <row r="533" spans="3:25">
      <c r="C533" s="65" t="str">
        <v>隐私权限</v>
      </c>
      <c r="D533" s="22" t="str">
        <v>车辆模式_整车离线模式状态</v>
      </c>
      <c r="E533" s="22" t="str">
        <v>0=关闭, 1=开启</v>
      </c>
      <c r="G533" s="24" t="str">
        <v>DZT0545</v>
      </c>
      <c r="H533" s="14" t="str">
        <v>已透传cdc</v>
      </c>
      <c r="P533" s="15" t="str">
        <v>P0</v>
      </c>
      <c r="Q533" s="16">
        <v>6.13</v>
      </c>
      <c r="R533" s="17" t="str">
        <v>🔄座舱内闭环</v>
      </c>
      <c r="X533" s="24" t="str">
        <v>ACS98隐私保护</v>
      </c>
      <c r="Y533" s="20" t="inlineStr">
        <is>
          <r>
            <t>@张姝娴</t>
          </r>
        </is>
      </c>
    </row>
    <row r="534" spans="3:25">
      <c r="C534" s="65" t="str">
        <v>隐私权限</v>
      </c>
      <c r="D534" s="22" t="str">
        <v>车内隐私模式</v>
      </c>
      <c r="E534" s="22" t="str">
        <v>0=关闭, 1=开启</v>
      </c>
      <c r="G534" s="24" t="str">
        <v>DZT0546</v>
      </c>
      <c r="H534" s="14" t="str">
        <v>已透传cdc</v>
      </c>
      <c r="P534" s="15" t="str">
        <v>P0</v>
      </c>
      <c r="Q534" s="16">
        <v>6.13</v>
      </c>
      <c r="R534" s="17" t="str">
        <v>🔄座舱内闭环</v>
      </c>
      <c r="X534" s="24" t="str">
        <v>ACS98隐私保护</v>
      </c>
      <c r="Y534" s="20" t="inlineStr">
        <is>
          <r>
            <t>@张姝娴</t>
          </r>
        </is>
      </c>
    </row>
    <row r="535" spans="2:25">
      <c r="B535" s="22" t="str">
        <v>8.2 场景模式状态</v>
      </c>
      <c r="C535" s="65" t="str">
        <v>场景模式</v>
      </c>
      <c r="D535" s="22" t="str">
        <v>车辆模式_极限续航模式状态</v>
      </c>
      <c r="E535" s="22" t="str">
        <v>0=未激活, 1=激活, 2=激活等待</v>
      </c>
      <c r="G535" s="24" t="str">
        <v>DZT0547</v>
      </c>
      <c r="H535" s="14" t="str">
        <v>已透传cdc</v>
      </c>
      <c r="P535" s="15" t="str">
        <v>P0</v>
      </c>
      <c r="Q535" s="16">
        <v>6.13</v>
      </c>
      <c r="R535" s="25" t="str">
        <v>🟡架构待新增</v>
      </c>
      <c r="Y535" s="20" t="inlineStr">
        <is>
          <r>
            <t>@陈杰</t>
          </r>
        </is>
      </c>
    </row>
    <row r="536" spans="3:25">
      <c r="C536" s="65" t="str">
        <v>场景模式</v>
      </c>
      <c r="D536" s="22" t="str">
        <v>车辆模式_拖车模式状态</v>
      </c>
      <c r="E536" s="22" t="str">
        <v>0=未激活, 1=激活</v>
      </c>
      <c r="G536" s="24" t="str">
        <v>DZT0548</v>
      </c>
      <c r="H536" s="14" t="str">
        <v>已透传cdc</v>
      </c>
      <c r="P536" s="15" t="str">
        <v>P0</v>
      </c>
      <c r="Q536" s="16">
        <v>6.13</v>
      </c>
      <c r="R536" s="25" t="str">
        <v>🟡架构待新增</v>
      </c>
      <c r="X536" s="24" t="str">
        <v>ACS31车辆设置</v>
      </c>
      <c r="Y536" s="20" t="inlineStr">
        <is>
          <r>
            <t>@陈杰</t>
          </r>
        </is>
      </c>
    </row>
    <row r="537" spans="3:25">
      <c r="C537" s="65" t="str">
        <v>场景模式</v>
      </c>
      <c r="D537" s="22" t="str">
        <v>车辆模式_拖车模式故障</v>
      </c>
      <c r="E537" s="22" t="str">
        <v>0=无故障, 1=拖车未检测到, 2=拖车意外断开, 3=系统故障</v>
      </c>
      <c r="G537" s="24" t="str">
        <v>DZT0549</v>
      </c>
      <c r="H537" s="14" t="str">
        <v>已透传cdc</v>
      </c>
      <c r="P537" s="15" t="str">
        <v>P0</v>
      </c>
      <c r="Q537" s="16">
        <v>6.13</v>
      </c>
      <c r="R537" s="25" t="str">
        <v>🟡架构待新增</v>
      </c>
      <c r="X537" s="24" t="str">
        <v>ACS31车辆设置</v>
      </c>
      <c r="Y537" s="20" t="inlineStr">
        <is>
          <r>
            <t>@陈杰</t>
          </r>
        </is>
      </c>
    </row>
    <row r="538" spans="3:25">
      <c r="C538" s="65" t="str">
        <v>场景模式</v>
      </c>
      <c r="D538" s="22" t="str">
        <v>车辆模式_露营模式状态</v>
      </c>
      <c r="E538" s="22" t="str">
        <v>0=未激活, 1=激活</v>
      </c>
      <c r="G538" s="23" t="str">
        <v>DZT0380</v>
      </c>
      <c r="H538" s="14" t="str">
        <v>已透传cdc</v>
      </c>
      <c r="I538" s="15" t="str">
        <v>SceneMode</v>
      </c>
      <c r="J538" s="15" t="str">
        <v>CfgPara 场景配置参数</v>
      </c>
      <c r="K538" s="15" t="str">
        <v>松弛模式（AI）</v>
      </c>
      <c r="P538" s="15" t="str">
        <v>P0</v>
      </c>
      <c r="Q538" s="16">
        <v>6.13</v>
      </c>
      <c r="R538" s="25" t="str">
        <v>🟡架构待新增</v>
      </c>
      <c r="S538" s="28" t="str">
        <v>Pre-OTS版本-0804座舱转测</v>
      </c>
      <c r="X538" s="14" t="str">
        <v>ACS99便捷模式</v>
      </c>
      <c r="Y538" s="20" t="inlineStr">
        <is>
          <r>
            <t>@陈杰</t>
          </r>
        </is>
      </c>
    </row>
    <row r="539" spans="3:25">
      <c r="C539" s="65" t="str">
        <v>场景模式</v>
      </c>
      <c r="D539" s="22" t="str">
        <v>车辆模式_哨兵模式状态</v>
      </c>
      <c r="E539" s="22" t="str">
        <v>0=关闭, 1=节能版待机, 2=节能版激活, 3=智慧版待机, 4=智慧版激活, 5=警报</v>
      </c>
      <c r="G539" s="24" t="str">
        <v>DZT0550</v>
      </c>
      <c r="H539" s="14" t="str">
        <v>已透传cdc</v>
      </c>
      <c r="I539" s="15" t="str">
        <v>SentryModeManager</v>
      </c>
      <c r="J539" s="15" t="str">
        <v>SentryModeStatus</v>
      </c>
      <c r="K539" s="15" t="str">
        <v>全环境感知</v>
      </c>
      <c r="P539" s="15" t="str">
        <v>P0</v>
      </c>
      <c r="Q539" s="16">
        <v>6.13</v>
      </c>
      <c r="R539" s="17" t="str">
        <v>🔄座舱内闭环</v>
      </c>
      <c r="X539" s="14" t="str">
        <v>ACS15智能感知</v>
      </c>
      <c r="Y539" s="20" t="inlineStr">
        <is>
          <r>
            <t>@樊鹏宇</t>
          </r>
        </is>
      </c>
    </row>
    <row r="540" spans="3:25">
      <c r="C540" s="65" t="str">
        <v>场景模式</v>
      </c>
      <c r="D540" s="22" t="str">
        <v>车辆模式_哨兵模式持续时间值</v>
      </c>
      <c r="E540" s="22" t="str">
        <v>0~65535 min, 步长1 min</v>
      </c>
      <c r="G540" s="24" t="str">
        <v>DZT0551</v>
      </c>
      <c r="H540" s="14" t="str">
        <v>?</v>
      </c>
      <c r="I540" s="15" t="str">
        <v>SentryModeManager</v>
      </c>
      <c r="J540" s="15" t="str">
        <v>SentryModeStatus</v>
      </c>
      <c r="K540" s="15" t="str">
        <v>全环境感知</v>
      </c>
      <c r="P540" s="15" t="str">
        <v>P1</v>
      </c>
      <c r="Q540" s="16">
        <v>6.13</v>
      </c>
      <c r="R540" s="17" t="str">
        <v>🔄座舱内闭环</v>
      </c>
      <c r="X540" s="24" t="str">
        <v>ACS15智能感知</v>
      </c>
      <c r="Y540" s="20" t="inlineStr">
        <is>
          <r>
            <t>@张姝娴</t>
          </r>
        </is>
      </c>
    </row>
    <row r="541" spans="3:25">
      <c r="C541" s="65" t="str">
        <v>场景模式</v>
      </c>
      <c r="D541" s="22" t="str">
        <v>车辆模式_增强哨兵模式状态</v>
      </c>
      <c r="E541" s="22" t="str">
        <v>0=关闭, 1=智慧版开启</v>
      </c>
      <c r="G541" s="24" t="str">
        <v>DZT0552</v>
      </c>
      <c r="H541" s="14" t="str">
        <v>已透传cdc</v>
      </c>
      <c r="P541" s="15" t="str">
        <v>P0</v>
      </c>
      <c r="Q541" s="16">
        <v>6.13</v>
      </c>
      <c r="R541" s="17" t="str">
        <v>🔄座舱内闭环</v>
      </c>
      <c r="X541" s="24" t="str">
        <v>ACS15智能感知</v>
      </c>
      <c r="Y541" s="20" t="inlineStr">
        <is>
          <r>
            <t>@张姝娴</t>
          </r>
        </is>
      </c>
    </row>
    <row r="542" spans="3:25">
      <c r="C542" s="65" t="str">
        <v>场景模式</v>
      </c>
      <c r="D542" s="22" t="str">
        <v>车辆模式_哨兵模式报警等级</v>
      </c>
      <c r="E542" s="22" t="str">
        <v>0=无, 1=低(震动), 2=中(靠近), 3=高(撞击/入侵)</v>
      </c>
      <c r="G542" s="24" t="str">
        <v>DZT0553</v>
      </c>
      <c r="H542" s="14" t="str">
        <v>?</v>
      </c>
      <c r="I542" s="15" t="str">
        <v>SentryModeManager</v>
      </c>
      <c r="J542" s="15" t="str">
        <v>SentryModeStatus</v>
      </c>
      <c r="K542" s="15" t="str">
        <v>全环境感知</v>
      </c>
      <c r="P542" s="15" t="str">
        <v>P1</v>
      </c>
      <c r="Q542" s="16">
        <v>6.13</v>
      </c>
      <c r="R542" s="17" t="str">
        <v>🔄座舱内闭环</v>
      </c>
      <c r="X542" s="24" t="str">
        <v>ACS15智能感知</v>
      </c>
      <c r="Y542" s="20" t="inlineStr">
        <is>
          <r>
            <t>@张姝娴</t>
          </r>
        </is>
      </c>
    </row>
    <row r="543" spans="3:25">
      <c r="C543" s="65" t="str">
        <v>场景模式</v>
      </c>
      <c r="D543" s="22" t="str">
        <v>车辆模式_哨兵模式报警标志</v>
      </c>
      <c r="E543" s="22" t="str">
        <v>0=无报警, 1=报警触发</v>
      </c>
      <c r="G543" s="24" t="str">
        <v>DZT0554</v>
      </c>
      <c r="H543" s="14" t="str">
        <v>?</v>
      </c>
      <c r="I543" s="15" t="str">
        <v>SentryModeManager</v>
      </c>
      <c r="J543" s="15" t="str">
        <v>SentryModeStatus</v>
      </c>
      <c r="K543" s="15" t="str">
        <v>全环境感知</v>
      </c>
      <c r="P543" s="15" t="str">
        <v>P1</v>
      </c>
      <c r="Q543" s="16">
        <v>6.13</v>
      </c>
      <c r="R543" s="17" t="str">
        <v>🔄座舱内闭环</v>
      </c>
      <c r="X543" s="24" t="str">
        <v>ACS15智能感知</v>
      </c>
      <c r="Y543" s="20" t="inlineStr">
        <is>
          <r>
            <t>@张姝娴</t>
          </r>
        </is>
      </c>
    </row>
    <row r="544" spans="3:25">
      <c r="C544" s="65" t="str">
        <v>场景模式</v>
      </c>
      <c r="D544" s="22" t="str">
        <v>车辆模式_情景模式状态</v>
      </c>
      <c r="E544" s="22" t="str">
        <v>0=未激活, 1=露营, 2=宠物, 3=婴儿, 4=小憩, 5=派对, 6=办公, 7=冥想, 8=自定义</v>
      </c>
      <c r="G544" s="23" t="str">
        <v>DZT0381</v>
      </c>
      <c r="H544" s="14" t="str">
        <v>已透传cdc</v>
      </c>
      <c r="I544" s="15" t="str">
        <v>SceneMode</v>
      </c>
      <c r="J544" s="15" t="str">
        <v>CfgPara 场景配置参数</v>
      </c>
      <c r="K544" s="15" t="str">
        <v>松弛模式（AI）</v>
      </c>
      <c r="P544" s="15" t="str">
        <v>P0</v>
      </c>
      <c r="Q544" s="16">
        <v>6.13</v>
      </c>
      <c r="R544" s="17" t="str">
        <v>🔄座舱内闭环</v>
      </c>
      <c r="S544" s="28" t="str">
        <v>Pre-OTS版本-0804座舱转测</v>
      </c>
      <c r="X544" s="14" t="str">
        <v>ACS16情景空间</v>
      </c>
      <c r="Y544" s="20" t="inlineStr">
        <is>
          <r>
            <t>@樊鹏宇</t>
          </r>
        </is>
      </c>
    </row>
    <row r="545" spans="3:25">
      <c r="C545" s="65" t="str">
        <v>场景模式</v>
      </c>
      <c r="D545" s="22" t="str">
        <v>车辆模式_情景模式激活标志</v>
      </c>
      <c r="E545" s="22" t="str">
        <v>0=未激活, 1=已激活</v>
      </c>
      <c r="G545" s="23" t="str">
        <v>DZT0382</v>
      </c>
      <c r="H545" s="14" t="str">
        <v>/</v>
      </c>
      <c r="I545" s="15" t="str">
        <v>SceneMode</v>
      </c>
      <c r="J545" s="15" t="str">
        <v>CfgPara 场景配置参数</v>
      </c>
      <c r="K545" s="15" t="str">
        <v>松弛模式（AI）</v>
      </c>
      <c r="P545" s="15" t="str">
        <v>P0</v>
      </c>
      <c r="Q545" s="16">
        <v>6.13</v>
      </c>
      <c r="R545" s="17" t="str">
        <v>🔄座舱内闭环</v>
      </c>
      <c r="S545" s="28" t="str">
        <v>Pre-OTS版本-0804座舱转测</v>
      </c>
      <c r="X545" s="14" t="str">
        <v>ACS16情景空间</v>
      </c>
      <c r="Y545" s="20" t="inlineStr">
        <is>
          <r>
            <t>@樊鹏宇</t>
          </r>
        </is>
      </c>
    </row>
    <row r="546" spans="3:25">
      <c r="C546" s="65" t="str">
        <v>场景模式</v>
      </c>
      <c r="D546" s="22" t="str">
        <v>车辆模式_情景模式应用状态</v>
      </c>
      <c r="E546" s="22" t="str">
        <v>0=空闲, 1=应用中, 2=已应用, 3=退出中, 4=应用失败</v>
      </c>
      <c r="G546" s="23" t="str">
        <v>DZT0383</v>
      </c>
      <c r="H546" s="14" t="str">
        <v>/</v>
      </c>
      <c r="I546" s="15" t="str">
        <v>SceneMode</v>
      </c>
      <c r="J546" s="15" t="str">
        <v>SceneModePowerOnSts</v>
      </c>
      <c r="K546" s="15" t="str">
        <v>松弛模式（AI）; 全环境感知</v>
      </c>
      <c r="P546" s="15" t="str">
        <v>P0</v>
      </c>
      <c r="Q546" s="16">
        <v>6.13</v>
      </c>
      <c r="R546" s="17" t="str">
        <v>🔄座舱内闭环</v>
      </c>
      <c r="S546" s="28" t="str">
        <v>Pre-OTS版本-0804座舱转测</v>
      </c>
      <c r="X546" s="14" t="str">
        <v>ACS16情景空间</v>
      </c>
      <c r="Y546" s="20" t="inlineStr">
        <is>
          <r>
            <t>@樊鹏宇</t>
          </r>
        </is>
      </c>
    </row>
    <row r="547" spans="3:25">
      <c r="C547" s="65" t="str">
        <v>场景模式</v>
      </c>
      <c r="D547" s="22" t="str">
        <v>车辆模式_维修模式状态</v>
      </c>
      <c r="E547" s="22" t="str">
        <v>0=未激活, 1=激活</v>
      </c>
      <c r="G547" s="23" t="str">
        <v>DZT0384</v>
      </c>
      <c r="H547" s="14" t="str">
        <v>已透传cdc</v>
      </c>
      <c r="I547" s="15" t="str">
        <v>SceneMode</v>
      </c>
      <c r="J547" s="15" t="str">
        <v>CfgPara 场景配置参数</v>
      </c>
      <c r="K547" s="15" t="str">
        <v>松弛模式（AI）</v>
      </c>
      <c r="P547" s="15" t="str">
        <v>P0</v>
      </c>
      <c r="Q547" s="16">
        <v>6.13</v>
      </c>
      <c r="R547" s="25" t="str">
        <v>🟡架构待新增</v>
      </c>
      <c r="S547" s="28" t="str">
        <v>Pre-OTS版本-0804座舱转测</v>
      </c>
      <c r="X547" s="14" t="str">
        <v>ACS31车辆设置</v>
      </c>
      <c r="Y547" s="20" t="inlineStr">
        <is>
          <r>
            <t>@樊鹏宇</t>
          </r>
        </is>
      </c>
    </row>
    <row r="548" spans="3:25">
      <c r="C548" s="65" t="str">
        <v>场景模式</v>
      </c>
      <c r="D548" s="22" t="str">
        <v>车辆模式_传送带洗车模式状态</v>
      </c>
      <c r="E548" s="22" t="str">
        <v>0=未激活, 1=激活</v>
      </c>
      <c r="G548" s="24" t="str">
        <v>DZT0555</v>
      </c>
      <c r="H548" s="14" t="str">
        <v>已透传cdc</v>
      </c>
      <c r="P548" s="15" t="str">
        <v>P0</v>
      </c>
      <c r="Q548" s="16">
        <v>6.13</v>
      </c>
      <c r="R548" s="17" t="str">
        <v>✅ 架构已提供</v>
      </c>
      <c r="X548" s="24" t="str">
        <v>ACS99便捷模式</v>
      </c>
      <c r="Y548" s="20" t="inlineStr">
        <is>
          <r>
            <t>@陈杰</t>
          </r>
        </is>
      </c>
    </row>
    <row r="549" spans="3:25">
      <c r="C549" s="65" t="str">
        <v>场景模式</v>
      </c>
      <c r="D549" s="22" t="str">
        <v>车辆模式_普通洗车模式状态</v>
      </c>
      <c r="E549" s="22" t="str">
        <v>0=未激活, 1=激活</v>
      </c>
      <c r="G549" s="24" t="str">
        <v>DZT0556</v>
      </c>
      <c r="H549" s="14" t="str">
        <v>已透传cdc</v>
      </c>
      <c r="P549" s="15" t="str">
        <v>P0</v>
      </c>
      <c r="Q549" s="16">
        <v>6.13</v>
      </c>
      <c r="R549" s="17" t="str">
        <v>✅ 架构已提供</v>
      </c>
      <c r="X549" s="24" t="str">
        <v>ACS99便捷模式</v>
      </c>
      <c r="Y549" s="20" t="inlineStr">
        <is>
          <r>
            <t>@陈杰</t>
          </r>
        </is>
      </c>
    </row>
    <row r="550" spans="3:25">
      <c r="C550" s="65" t="str">
        <v>场景模式</v>
      </c>
      <c r="D550" s="22" t="str">
        <v>车辆模式_观影模式状态</v>
      </c>
      <c r="E550" s="22" t="str">
        <v>0=未激活, 1=激活</v>
      </c>
      <c r="G550" s="23" t="str">
        <v>DZT0385</v>
      </c>
      <c r="H550" s="14" t="str">
        <v>已透传cdc</v>
      </c>
      <c r="I550" s="15" t="str">
        <v>SceneMode</v>
      </c>
      <c r="J550" s="15" t="str">
        <v>CfgPara 场景配置参数</v>
      </c>
      <c r="K550" s="15" t="str">
        <v>松弛模式（AI）; AI娱乐搭子</v>
      </c>
      <c r="P550" s="15" t="str">
        <v>P0</v>
      </c>
      <c r="Q550" s="16">
        <v>6.13</v>
      </c>
      <c r="R550" s="25" t="str">
        <v>🟡架构待新增</v>
      </c>
      <c r="S550" s="28" t="str">
        <v>Pre-OTS版本-0804座舱转测</v>
      </c>
      <c r="X550" s="14" t="str">
        <v>ACS16情景空间</v>
      </c>
      <c r="Y550" s="20" t="inlineStr">
        <is>
          <r>
            <t>@陈杰</t>
          </r>
        </is>
      </c>
    </row>
    <row r="551" spans="3:25">
      <c r="C551" s="65" t="str">
        <v>场景模式</v>
      </c>
      <c r="D551" s="22" t="str">
        <v>车辆模式_观影模式配置</v>
      </c>
      <c r="E551" s="22" t="str">
        <v>Bitmask: Bit0=屏幕开启~Bit5=空调舒适</v>
      </c>
      <c r="G551" s="23" t="str">
        <v>DZT0386</v>
      </c>
      <c r="H551" s="14" t="str">
        <v>已透传cdc</v>
      </c>
      <c r="I551" s="15" t="str">
        <v>SceneMode</v>
      </c>
      <c r="J551" s="15" t="str">
        <v>CfgPara 场景配置参数</v>
      </c>
      <c r="K551" s="15" t="str">
        <v>松弛模式（AI）; AI娱乐搭子</v>
      </c>
      <c r="P551" s="15" t="str">
        <v>P0</v>
      </c>
      <c r="Q551" s="16">
        <v>6.13</v>
      </c>
      <c r="R551" s="25" t="str">
        <v>🟡架构待新增</v>
      </c>
      <c r="S551" s="28" t="str">
        <v>Pre-OTS版本-0804座舱转测</v>
      </c>
      <c r="X551" s="14" t="str">
        <v>ACS16情景空间</v>
      </c>
      <c r="Y551" s="20" t="inlineStr">
        <is>
          <r>
            <t>@陈杰</t>
          </r>
        </is>
      </c>
    </row>
    <row r="552" spans="3:25">
      <c r="C552" s="67" t="str">
        <v>松弛空间</v>
      </c>
      <c r="D552" s="67" t="str">
        <v>氛围主题切换</v>
      </c>
      <c r="E552" s="67" t="str">
        <v>静谧星空/海光入梦/萤火微光/山间晚风/林间秘境/放松舒压/助眠引导/重建专注/缓解焦虑</v>
      </c>
      <c r="G552" s="28" t="str">
        <v>DZT0557</v>
      </c>
      <c r="K552" s="28" t="str">
        <v>松弛空间</v>
      </c>
      <c r="L552" s="29">
        <v>46216</v>
      </c>
      <c r="Q552" s="30">
        <v>7.15</v>
      </c>
      <c r="X552" s="28" t="str">
        <v>ACS16情景空间</v>
      </c>
      <c r="Y552" s="28" t="inlineStr">
        <is>
          <r>
            <t>@许圣义</t>
          </r>
        </is>
      </c>
    </row>
    <row r="553" spans="3:25">
      <c r="C553" s="67" t="str">
        <v>情景模式</v>
      </c>
      <c r="D553" s="67" t="str">
        <v>AI情景模式</v>
      </c>
      <c r="E553" s="67" t="str">
        <v>开启/关闭
（豆包是否能调起AI生成的长时情景模式）</v>
      </c>
      <c r="G553" s="28" t="str">
        <v>DZT0558</v>
      </c>
      <c r="K553" s="28" t="str">
        <v>松弛空间</v>
      </c>
      <c r="L553" s="29">
        <v>46216</v>
      </c>
      <c r="Q553" s="30">
        <v>7.15</v>
      </c>
      <c r="X553" s="28" t="str">
        <v>ACS16情景空间</v>
      </c>
      <c r="Y553" s="28" t="inlineStr">
        <is>
          <r>
            <t>@许圣义</t>
          </r>
        </is>
      </c>
    </row>
    <row r="554" spans="2:25">
      <c r="B554" s="12" t="str">
        <v>8.3车辆保养信息</v>
      </c>
      <c r="C554" s="21" t="str">
        <v>保养剩余里程</v>
      </c>
      <c r="D554" s="22" t="str">
        <v>保养剩余里程</v>
      </c>
      <c r="E554" s="22" t="str">
        <v>km</v>
      </c>
      <c r="G554" s="24" t="str">
        <v>DZT0559</v>
      </c>
      <c r="H554" s="14" t="str">
        <v>座舱内部</v>
      </c>
      <c r="Q554" s="16">
        <v>6.13</v>
      </c>
      <c r="R554" s="17" t="str">
        <v>❌架构待确认</v>
      </c>
      <c r="X554" s="54" t="str">
        <v>产品线确认是否有该需求</v>
      </c>
      <c r="Y554" s="20" t="inlineStr">
        <is>
          <r>
            <t>@陈杰</t>
          </r>
        </is>
      </c>
    </row>
    <row r="555" spans="3:25">
      <c r="C555" s="21" t="str">
        <v>保养剩余时间</v>
      </c>
      <c r="D555" s="22" t="str">
        <v>保养剩余时间</v>
      </c>
      <c r="E555" s="22" t="str">
        <v>/天</v>
      </c>
      <c r="G555" s="24" t="str">
        <v>DZT0560</v>
      </c>
      <c r="H555" s="14" t="str">
        <v>座舱内部</v>
      </c>
      <c r="Q555" s="16">
        <v>6.13</v>
      </c>
      <c r="R555" s="17" t="str">
        <v>❌架构待确认</v>
      </c>
      <c r="X555" s="54" t="str">
        <v>产品线确认是否有该需求</v>
      </c>
      <c r="Y555" s="20" t="inlineStr">
        <is>
          <r>
            <t>@陈杰</t>
          </r>
        </is>
      </c>
    </row>
    <row r="556" spans="2:25">
      <c r="B556" s="27" t="str">
        <v>8.4展车模式</v>
      </c>
      <c r="C556" s="27" t="str">
        <v>整车模式</v>
      </c>
      <c r="D556" s="27" t="str">
        <v>整车模式</v>
      </c>
      <c r="E556" s="67" t="str">
        <v>0x0: CARMODE_FACTORY 工厂模式
 0x1: CARMODE_TRANSPORT 运输模式
 0x2: CARMODE_DYNOTEST 底盘测功测试模式
 0x3: CARMODE_NORMAL 正常用车模式
 0x4: CARMODE_EXHIBITIONINDOOR 室内展车模式
 0x5: CARMODE_EXHIBITIONOUTDOOR 室外展车模式
 0x6: CARMODE_EXHIBITIONCUSTOM 自定义展车模式
 0x7:CARMODE_RESERVED 预留模式
 0xF: CARMODE_INVALID 无效模式</v>
      </c>
      <c r="G556" s="28" t="str">
        <v>DZT0561</v>
      </c>
      <c r="K556" s="28" t="str">
        <v>展车/AI展销</v>
      </c>
      <c r="L556" s="29">
        <v>46203</v>
      </c>
      <c r="Q556" s="30">
        <v>7.15</v>
      </c>
      <c r="X556" s="28" t="str">
        <v>ACS86展车模式</v>
      </c>
      <c r="Y556" s="28" t="inlineStr">
        <is>
          <r>
            <t>@王月伟</t>
          </r>
        </is>
      </c>
    </row>
    <row r="557" spans="3:25">
      <c r="C557" s="27" t="str">
        <v>整车模式</v>
      </c>
      <c r="D557" s="67" t="str">
        <v>试乘试驾模式</v>
      </c>
      <c r="E557" s="21" t="str">
        <v>0=关闭, 1=开启</v>
      </c>
      <c r="G557" s="28" t="str">
        <v>DZT0562</v>
      </c>
      <c r="K557" s="28" t="str">
        <v>展车/AI展销</v>
      </c>
      <c r="L557" s="29">
        <v>46203</v>
      </c>
      <c r="Q557" s="30">
        <v>7.15</v>
      </c>
      <c r="X557" s="28" t="str">
        <v>ACS86展车模式</v>
      </c>
      <c r="Y557" s="28" t="inlineStr">
        <is>
          <r>
            <t>@王月伟</t>
          </r>
        </is>
      </c>
    </row>
    <row r="558" spans="3:25">
      <c r="C558" s="27" t="str">
        <v>整车模式</v>
      </c>
      <c r="D558" s="67" t="str">
        <v>AI灯语开关</v>
      </c>
      <c r="E558" s="21" t="str">
        <v>0=关闭, 1=开启</v>
      </c>
      <c r="G558" s="28" t="str">
        <v>DZT0563</v>
      </c>
      <c r="K558" s="28" t="str">
        <v>展车/AI展销</v>
      </c>
      <c r="L558" s="29">
        <v>46203</v>
      </c>
      <c r="Q558" s="30">
        <v>7.15</v>
      </c>
      <c r="X558" s="28" t="str">
        <v>ACS86展车模式</v>
      </c>
      <c r="Y558" s="28" t="inlineStr">
        <is>
          <r>
            <t>@王月伟</t>
          </r>
        </is>
      </c>
    </row>
    <row r="559" spans="3:25">
      <c r="C559" s="67" t="str">
        <v>车辆配置字</v>
      </c>
      <c r="D559" s="67" t="str">
        <v>车辆配置字</v>
      </c>
      <c r="E559" s="27" t="str">
        <v>0:无
1:Pro
2:Max
3.Ultra
4:标准版</v>
      </c>
      <c r="G559" s="28" t="str">
        <v>DZT0564</v>
      </c>
      <c r="K559" s="28" t="str">
        <v>松弛空间</v>
      </c>
      <c r="L559" s="29">
        <v>46216</v>
      </c>
      <c r="Q559" s="30">
        <v>7.15</v>
      </c>
      <c r="X559" s="28" t="str">
        <v>ACS301Adapter</v>
      </c>
      <c r="Y559" s="28" t="inlineStr">
        <is>
          <r>
            <t>@许圣义</t>
          </r>
        </is>
      </c>
    </row>
    <row r="560" spans="1:25">
      <c r="A560" s="26" t="str">
        <v>九、视觉感知域</v>
      </c>
      <c r="B560" s="26" t="str">
        <v>9.1 舱内视觉/DMS</v>
      </c>
      <c r="C560" s="26" t="str">
        <v>疲劳提醒</v>
      </c>
      <c r="D560" s="26" t="str">
        <v>视觉_DMS_疲劳等级</v>
      </c>
      <c r="E560" s="26" t="str">
        <v>轻度、重度</v>
      </c>
      <c r="G560" s="23" t="str">
        <v>DZT0388</v>
      </c>
      <c r="H560" s="1">
        <v>0</v>
      </c>
      <c r="K560" s="68" t="str">
        <v>情感、出行</v>
      </c>
      <c r="P560" s="26" t="str">
        <v>P0</v>
      </c>
      <c r="Q560" s="16">
        <v>6.13</v>
      </c>
      <c r="R560" s="17" t="str">
        <v>❌架构待确认</v>
      </c>
      <c r="S560" s="14" t="str">
        <v>Pre-OTS版本-0804座舱转测</v>
      </c>
      <c r="X560" s="28" t="str">
        <v>ACS13DMS</v>
      </c>
      <c r="Y560" s="26" t="inlineStr">
        <is>
          <r>
            <t>@刘凡</t>
          </r>
        </is>
      </c>
    </row>
    <row r="561" spans="2:25">
      <c r="B561" s="26" t="str">
        <v>9.1 舱内视觉/DMS</v>
      </c>
      <c r="C561" s="26" t="str">
        <v>疲劳提醒</v>
      </c>
      <c r="D561" s="26" t="str">
        <v>视觉_DMS_疲劳提醒</v>
      </c>
      <c r="E561" s="26" t="str">
        <v>打哈欠、闭眼、闭眼时长</v>
      </c>
      <c r="G561" s="23" t="str">
        <v>DZT0389</v>
      </c>
      <c r="H561" s="1">
        <v>0</v>
      </c>
      <c r="K561" s="26" t="str">
        <v>松弛模式（AI）/情感</v>
      </c>
      <c r="P561" s="26" t="str">
        <v>P0</v>
      </c>
      <c r="Q561" s="16">
        <v>6.13</v>
      </c>
      <c r="R561" s="17" t="str">
        <v>❌架构待确认</v>
      </c>
      <c r="S561" s="28" t="str">
        <v>Pre-OTS版本-0804座舱转测</v>
      </c>
      <c r="X561" s="28" t="str">
        <v>ACS13DMS</v>
      </c>
      <c r="Y561" s="26" t="inlineStr">
        <is>
          <r>
            <t>@许圣义</t>
          </r>
        </is>
      </c>
    </row>
    <row r="562" spans="3:25">
      <c r="C562" s="26" t="str">
        <v>分心提醒</v>
      </c>
      <c r="D562" s="26" t="str">
        <v>视觉_DMS_分心提醒</v>
      </c>
      <c r="E562" s="26" t="str">
        <v>分心:0=未分心,1=分心; 落点:0=左车窗,1=右车窗,2=副驾挡风玻璃,3=主驾挡风玻璃,4=仪表区,5=中控屏</v>
      </c>
      <c r="G562" s="23" t="str">
        <v>DZT0390</v>
      </c>
      <c r="H562" s="1">
        <v>0</v>
      </c>
      <c r="K562" s="26" t="str">
        <v>【基础座舱/DMS·OMS】/情感</v>
      </c>
      <c r="P562" s="26" t="str">
        <v>P0</v>
      </c>
      <c r="Q562" s="16">
        <v>6.13</v>
      </c>
      <c r="R562" s="17" t="str">
        <v>❌架构待确认</v>
      </c>
      <c r="S562" s="14" t="str">
        <v>Pre-OTS版本-0804座舱转测</v>
      </c>
      <c r="X562" s="28" t="str">
        <v>ACS13DMS</v>
      </c>
      <c r="Y562" s="26" t="inlineStr">
        <is>
          <r>
            <t>@刘凡</t>
          </r>
        </is>
      </c>
    </row>
    <row r="563" spans="3:25">
      <c r="C563" s="26" t="str">
        <v>危险动作提醒</v>
      </c>
      <c r="D563" s="26" t="str">
        <v>视觉_DMS_危险动作提醒</v>
      </c>
      <c r="E563" s="26" t="str">
        <v>吸烟、打电话、危险动作</v>
      </c>
      <c r="G563" s="23" t="str">
        <v>DZT0391</v>
      </c>
      <c r="H563" s="1">
        <v>0</v>
      </c>
      <c r="K563" s="26" t="str">
        <v>【基础座舱/DMS·OMS】</v>
      </c>
      <c r="P563" s="26" t="str">
        <v>P0</v>
      </c>
      <c r="Q563" s="16">
        <v>6.13</v>
      </c>
      <c r="R563" s="17" t="str">
        <v>❌架构待确认</v>
      </c>
      <c r="S563" s="28" t="str">
        <v>Pre-OTS版本-0804座舱转测</v>
      </c>
      <c r="X563" s="28" t="str">
        <v>ACS13DMS</v>
      </c>
      <c r="Y563" s="26" t="inlineStr">
        <is>
          <r>
            <t>@刘凡</t>
          </r>
        </is>
      </c>
    </row>
    <row r="564" spans="3:25">
      <c r="C564" s="26" t="str">
        <v>长时间驾驶状态提醒同步</v>
      </c>
      <c r="D564" s="26" t="str">
        <v>视觉_DMS_长时间驾驶状态提醒同步</v>
      </c>
      <c r="E564" s="26" t="str">
        <v>0=正常, 1=长时间驾驶提醒中, 2=unknown</v>
      </c>
      <c r="G564" s="23" t="str">
        <v>DZT0392</v>
      </c>
      <c r="H564" s="1">
        <v>0</v>
      </c>
      <c r="K564" s="26" t="str">
        <v>情感空间</v>
      </c>
      <c r="P564" s="26" t="str">
        <v>P0</v>
      </c>
      <c r="Q564" s="16">
        <v>6.13</v>
      </c>
      <c r="R564" s="17" t="str">
        <v>❌架构待确认</v>
      </c>
      <c r="S564" s="28" t="str">
        <v>Pre-OTS版本-0804座舱转测</v>
      </c>
      <c r="X564" s="28" t="str">
        <v>ACS13DMS</v>
      </c>
      <c r="Y564" s="26" t="inlineStr">
        <is>
          <r>
            <t>@朱婧雯</t>
          </r>
        </is>
      </c>
    </row>
    <row r="565" spans="3:25">
      <c r="C565" s="26" t="str">
        <v>长时间驾驶状态提醒同步</v>
      </c>
      <c r="D565" s="26" t="str">
        <v>视觉_DMS_连续驾驶时长</v>
      </c>
      <c r="E565" s="26" t="str">
        <v>/h</v>
      </c>
      <c r="G565" s="23" t="str">
        <v>DZT0393</v>
      </c>
      <c r="H565" s="1">
        <v>0</v>
      </c>
      <c r="K565" s="68" t="str">
        <v>情感、出行</v>
      </c>
      <c r="P565" s="26" t="str">
        <v>P0</v>
      </c>
      <c r="Q565" s="16">
        <v>6.13</v>
      </c>
      <c r="R565" s="17" t="str">
        <v>❌架构待确认</v>
      </c>
      <c r="S565" s="14" t="str">
        <v>Pre-OTS版本-0804座舱转测</v>
      </c>
      <c r="X565" s="28" t="str">
        <v>ACS13DMS</v>
      </c>
      <c r="Y565" s="26" t="inlineStr">
        <is>
          <r>
            <t>@朱婧雯</t>
          </r>
        </is>
      </c>
    </row>
    <row r="566" spans="3:25">
      <c r="C566" s="26" t="str">
        <v>驾驶员无响应(失能)</v>
      </c>
      <c r="D566" s="26" t="str">
        <v>视觉_DMS_驾驶员无响应失能</v>
      </c>
      <c r="E566" s="26" t="str">
        <v>0=正常, 1=脱眼</v>
      </c>
      <c r="G566" s="23" t="str">
        <v>DZT0394</v>
      </c>
      <c r="H566" s="1">
        <v>0</v>
      </c>
      <c r="K566" s="26" t="str">
        <v>情感</v>
      </c>
      <c r="P566" s="26" t="str">
        <v>P0</v>
      </c>
      <c r="Q566" s="16">
        <v>6.13</v>
      </c>
      <c r="R566" s="17" t="str">
        <v>❌架构待确认</v>
      </c>
      <c r="S566" s="28" t="str">
        <v>Pre-OTS版本-0804座舱转测</v>
      </c>
      <c r="X566" s="28" t="str">
        <v>ACS13DMS</v>
      </c>
      <c r="Y566" s="26" t="inlineStr">
        <is>
          <r>
            <t>@刘凡</t>
          </r>
        </is>
      </c>
    </row>
    <row r="567" spans="3:25">
      <c r="C567" s="26" t="str">
        <v>人脸识别（FACE ID）</v>
      </c>
      <c r="D567" s="26" t="str">
        <v>视觉_DMS_人脸识别FACEID</v>
      </c>
      <c r="E567" s="26" t="str">
        <v>陌生人,具体ID（注册用户，家庭用户，车主）；</v>
      </c>
      <c r="G567" s="14" t="str">
        <v>DZT0263</v>
      </c>
      <c r="K567" s="26" t="str">
        <v>【基础座舱/DMS·OMS】</v>
      </c>
      <c r="P567" s="26" t="str">
        <v>P0</v>
      </c>
      <c r="Q567" s="30">
        <v>6.6</v>
      </c>
      <c r="R567" s="17" t="str">
        <v>✅ 架构已提供</v>
      </c>
      <c r="S567" s="14" t="str">
        <v>Pre-OTS版本-0804座舱转测</v>
      </c>
      <c r="X567" s="28" t="str">
        <v>ACS13DMS</v>
      </c>
      <c r="Y567" s="26" t="inlineStr">
        <is>
          <r>
            <t>@刘凡</t>
          </r>
        </is>
      </c>
    </row>
    <row r="568" spans="3:25">
      <c r="C568" s="26" t="str">
        <v>驾驶员头部/视线落点</v>
      </c>
      <c r="D568" s="26" t="str">
        <v>视觉_DMS_驾驶员头部_视线落点</v>
      </c>
      <c r="E568" s="26" t="str">
        <v>豆包机器人、中控屏幕</v>
      </c>
      <c r="G568" s="23" t="str">
        <v>DZT0395</v>
      </c>
      <c r="H568" s="1">
        <v>0</v>
      </c>
      <c r="K568" s="26" t="str">
        <v>情感空间</v>
      </c>
      <c r="P568" s="26" t="str">
        <v>P0</v>
      </c>
      <c r="Q568" s="16">
        <v>6.13</v>
      </c>
      <c r="R568" s="17" t="str">
        <v>❌架构待确认</v>
      </c>
      <c r="S568" s="14" t="str">
        <v>Pre-OTS版本-0804座舱转测</v>
      </c>
      <c r="X568" s="28" t="str">
        <v>ACS13DMS</v>
      </c>
      <c r="Y568" s="26" t="inlineStr">
        <is>
          <r>
            <t>@朱婧雯</t>
          </r>
        </is>
      </c>
    </row>
    <row r="569" spans="3:25">
      <c r="C569" s="69" t="str">
        <v>调用画面</v>
      </c>
      <c r="D569" s="69" t="str">
        <v>视觉_OMS_调用画面</v>
      </c>
      <c r="E569" s="69" t="str">
        <v>0=空闲, 1=拍照, 2=录像, 3=异常</v>
      </c>
      <c r="H569" s="1">
        <v>0</v>
      </c>
      <c r="K569" s="69" t="str">
        <v>【基础座舱/DMS·OMS】</v>
      </c>
      <c r="Y569" s="70" t="inlineStr">
        <is>
          <r>
            <t>@刘凡</t>
          </r>
        </is>
      </c>
    </row>
    <row r="570" spans="3:25">
      <c r="C570" s="69" t="str">
        <v>调用画面</v>
      </c>
      <c r="D570" s="69" t="str">
        <v>视觉_OMS_调用画面_1</v>
      </c>
      <c r="E570" s="69" t="str">
        <v>0=空闲, 1=录像(普通相机), 2=录像(AI相机), 3=异常</v>
      </c>
      <c r="H570" s="1">
        <v>0</v>
      </c>
      <c r="K570" s="69" t="str">
        <v>【基础座舱/DMS·OMS】</v>
      </c>
      <c r="Y570" s="70" t="inlineStr">
        <is>
          <r>
            <t>@刘凡</t>
          </r>
        </is>
      </c>
    </row>
    <row r="571" spans="3:25">
      <c r="C571" s="26" t="str">
        <v>人脸识别（FACE ID）</v>
      </c>
      <c r="D571" s="26" t="str">
        <v>视觉_OMS_人脸识别FACEID</v>
      </c>
      <c r="E571" s="26" t="str">
        <v>Face ID；
Face ID对应座位：
Face ID对应账户类型：</v>
      </c>
      <c r="G571" s="23" t="str">
        <v>DZT0396</v>
      </c>
      <c r="H571" s="1">
        <v>0</v>
      </c>
      <c r="K571" s="26" t="str">
        <v>【基础座舱/DMS·OMS】</v>
      </c>
      <c r="P571" s="26" t="str">
        <v>P0</v>
      </c>
      <c r="Q571" s="16">
        <v>6.13</v>
      </c>
      <c r="R571" s="17" t="str">
        <v>❌架构待确认</v>
      </c>
      <c r="S571" s="28" t="str">
        <v>Pre-OTS版本-0804座舱转测</v>
      </c>
      <c r="X571" s="28" t="str">
        <v>ACS14OMS</v>
      </c>
      <c r="Y571" s="26" t="inlineStr">
        <is>
          <r>
            <t>@刘凡</t>
          </r>
        </is>
      </c>
    </row>
    <row r="572" spans="3:25">
      <c r="C572" s="26" t="str">
        <v>调用画面</v>
      </c>
      <c r="D572" s="26" t="str">
        <v>视觉_OMS_调用画面_3</v>
      </c>
      <c r="E572" s="26" t="str">
        <v>远程监控, 中控浮窗监控</v>
      </c>
      <c r="G572" s="23" t="str">
        <v>DZT0397</v>
      </c>
      <c r="H572" s="1">
        <v>0</v>
      </c>
      <c r="K572" s="26" t="str">
        <v>松弛模式（AI）</v>
      </c>
      <c r="P572" s="26" t="str">
        <v>P0</v>
      </c>
      <c r="Q572" s="16">
        <v>6.13</v>
      </c>
      <c r="R572" s="17" t="str">
        <v>❌架构待确认</v>
      </c>
      <c r="S572" s="28" t="str">
        <v>Pre-OTS版本-0804座舱转测</v>
      </c>
      <c r="X572" s="28" t="str">
        <v>ACS14OMS</v>
      </c>
      <c r="Y572" s="26" t="inlineStr">
        <is>
          <r>
            <t>@许圣义</t>
          </r>
        </is>
      </c>
    </row>
    <row r="573" spans="3:25">
      <c r="C573" s="26" t="str">
        <v>多模控车</v>
      </c>
      <c r="D573" s="26" t="str">
        <v>视觉_OMS_多模控车</v>
      </c>
      <c r="E573" s="26" t="str">
        <v>0=无, 1=左右摆手, 2=左挥手, 3=右挥手, 4=上挥手, 5=下挥手, 6=OK手势</v>
      </c>
      <c r="G573" s="24" t="str">
        <v>DZT0565</v>
      </c>
      <c r="H573" s="1">
        <v>0</v>
      </c>
      <c r="K573" s="26" t="str">
        <v>【多模交互】</v>
      </c>
      <c r="Q573" s="16">
        <v>6.13</v>
      </c>
      <c r="R573" s="17" t="str">
        <v>❌架构待确认</v>
      </c>
      <c r="X573" s="24" t="str">
        <v>ACS14OMS</v>
      </c>
      <c r="Y573" s="26" t="inlineStr">
        <is>
          <r>
            <t>@刘凡</t>
          </r>
        </is>
      </c>
    </row>
    <row r="574" spans="3:25">
      <c r="C574" s="26" t="str">
        <v>多模控车</v>
      </c>
      <c r="D574" s="26" t="str">
        <v>视觉_OMS_多模控车_1</v>
      </c>
      <c r="E574" s="26" t="str">
        <v>指向模块:0=主驾车窗,1=副驾车窗、2=左后车窗、3=右后车窗、4=遮阳帘,5=前排座椅,6=阅读灯; 指代对象:7=主驾,8=副驾、9=后排左侧、10=后排右侧、11=后排中</v>
      </c>
      <c r="G574" s="24" t="str">
        <v>DZT0566</v>
      </c>
      <c r="H574" s="1">
        <v>0</v>
      </c>
      <c r="K574" s="26" t="str">
        <v>【多模交互】</v>
      </c>
      <c r="Q574" s="16">
        <v>6.13</v>
      </c>
      <c r="R574" s="17" t="str">
        <v>❌架构待确认</v>
      </c>
      <c r="X574" s="24" t="str">
        <v>ACS14OMS</v>
      </c>
      <c r="Y574" s="26" t="inlineStr">
        <is>
          <r>
            <t>@刘凡</t>
          </r>
        </is>
      </c>
    </row>
    <row r="575" spans="3:25">
      <c r="C575" s="26" t="str">
        <v>识人</v>
      </c>
      <c r="D575" s="26" t="str">
        <v>视觉_OMS_识人_指向</v>
      </c>
      <c r="E575" s="26" t="str">
        <v>上、下、左、右、左前、右前、左后、右后、正前方、正后</v>
      </c>
      <c r="G575" s="23" t="str">
        <v>DZT0398</v>
      </c>
      <c r="H575" s="1">
        <v>0</v>
      </c>
      <c r="K575" s="26" t="str">
        <v>导游</v>
      </c>
      <c r="P575" s="26" t="str">
        <v>P0</v>
      </c>
      <c r="Q575" s="16">
        <v>6.13</v>
      </c>
      <c r="R575" s="17" t="str">
        <v>❌架构待确认</v>
      </c>
      <c r="S575" s="28" t="str">
        <v>Pre-OTS版本-0804座舱转测</v>
      </c>
      <c r="X575" s="28" t="str">
        <v>ACS13DMS</v>
      </c>
      <c r="Y575" s="26" t="inlineStr">
        <is>
          <r>
            <t>@冯艺玮</t>
          </r>
        </is>
      </c>
    </row>
    <row r="576" spans="3:25">
      <c r="C576" s="26" t="str">
        <v>识人</v>
      </c>
      <c r="D576" s="26" t="str">
        <v>视觉_OMS_识人_1</v>
      </c>
      <c r="E576" s="26" t="str">
        <v>0=主驾,1=副驾,2=二排左,3=二排中,4=二排右； 占位:0=无人,1=有人</v>
      </c>
      <c r="G576" s="23" t="str">
        <v>DZT0399</v>
      </c>
      <c r="H576" s="1">
        <v>0</v>
      </c>
      <c r="K576" s="26" t="str">
        <v>AI温感控制</v>
      </c>
      <c r="P576" s="26" t="str">
        <v>P0</v>
      </c>
      <c r="Q576" s="16">
        <v>6.13</v>
      </c>
      <c r="R576" s="17" t="str">
        <v>❌架构待确认</v>
      </c>
      <c r="S576" s="14" t="str">
        <v>Pre-OTS版本-0804座舱转测</v>
      </c>
      <c r="X576" s="28" t="str">
        <v>ACS13DMS</v>
      </c>
      <c r="Y576" s="26" t="inlineStr">
        <is>
          <r>
            <t>@陈杰</t>
          </r>
        </is>
      </c>
    </row>
    <row r="577" spans="3:25">
      <c r="C577" s="26" t="str">
        <v>识人</v>
      </c>
      <c r="D577" s="26" t="str">
        <v>视觉_OMS_识人_2</v>
      </c>
      <c r="E577" s="26" t="str">
        <v>年龄值+置信度0.10-0.99:未检出:
婴儿。0&lt;年龄≤4岁。
幼儿。4&lt;年龄≤12岁。
少年。12&lt;年龄≤18岁。
青年。18&lt;年龄≤35岁。
中年。35&lt;年龄≤60岁。
老年。60&lt;年龄。</v>
      </c>
      <c r="G577" s="23" t="str">
        <v>DZT0400</v>
      </c>
      <c r="H577" s="1">
        <v>0</v>
      </c>
      <c r="K577" s="26" t="str">
        <v>AI温感控制</v>
      </c>
      <c r="P577" s="26" t="str">
        <v>P0</v>
      </c>
      <c r="Q577" s="16">
        <v>6.13</v>
      </c>
      <c r="R577" s="17" t="str">
        <v>❌架构待确认</v>
      </c>
      <c r="S577" s="14" t="str">
        <v>Pre-OTS版本-0804座舱转测</v>
      </c>
      <c r="X577" s="28" t="str">
        <v>ACS13DMS</v>
      </c>
      <c r="Y577" s="26" t="inlineStr">
        <is>
          <r>
            <t>@陈杰</t>
          </r>
        </is>
      </c>
    </row>
    <row r="578" spans="3:25">
      <c r="C578" s="26" t="str">
        <v>识人</v>
      </c>
      <c r="D578" s="26" t="str">
        <v>视觉_OMS_识人_3</v>
      </c>
      <c r="E578" s="26" t="str">
        <v>0=男, 1=女</v>
      </c>
      <c r="G578" s="23" t="str">
        <v>DZT0401</v>
      </c>
      <c r="H578" s="1">
        <v>0</v>
      </c>
      <c r="K578" s="26" t="str">
        <v>AI温感控制</v>
      </c>
      <c r="P578" s="26" t="str">
        <v>P0</v>
      </c>
      <c r="Q578" s="16">
        <v>6.13</v>
      </c>
      <c r="R578" s="17" t="str">
        <v>❌架构待确认</v>
      </c>
      <c r="S578" s="14" t="str">
        <v>Pre-OTS版本-0804座舱转测</v>
      </c>
      <c r="X578" s="28" t="str">
        <v>ACS13DMS</v>
      </c>
      <c r="Y578" s="26" t="inlineStr">
        <is>
          <r>
            <t>@陈杰</t>
          </r>
        </is>
      </c>
    </row>
    <row r="579" spans="2:25">
      <c r="B579" s="26" t="str">
        <v>9.1 舱内视觉/红外热成像摄像头</v>
      </c>
      <c r="C579" s="26" t="str">
        <v>温度</v>
      </c>
      <c r="D579" s="26" t="str">
        <v>视觉_红外热成像摄像头_乘员温度</v>
      </c>
      <c r="E579" s="26" t="str">
        <v>温区:
0=主驾面部,1=主驾左臂,2=主驾右臂,3=副驾面部,4=副驾左臂,5=副驾右臂,6=主驾后左面部,7=主驾后左臂,8=主驾后右臂,9=副驾后左面部,10=副驾后左臂,11=副驾后右臂; 
温度:-39.6~100℃(浮点)</v>
      </c>
      <c r="G579" s="14" t="str">
        <v>DZT0264</v>
      </c>
      <c r="K579" s="26" t="str">
        <v>AI温感控制</v>
      </c>
      <c r="P579" s="26" t="str">
        <v>P0</v>
      </c>
      <c r="Q579" s="30">
        <v>6.6</v>
      </c>
      <c r="R579" s="17" t="str">
        <v>✅ 架构已提供</v>
      </c>
      <c r="S579" s="14" t="str">
        <v>Pre-OTS版本-0804座舱转测</v>
      </c>
      <c r="X579" s="28" t="str">
        <v>ACS301Adapter</v>
      </c>
      <c r="Y579" s="26" t="inlineStr">
        <is>
          <r>
            <t>@陈杰</t>
          </r>
        </is>
      </c>
    </row>
    <row r="580" spans="3:25">
      <c r="C580" s="26" t="str">
        <v>温度</v>
      </c>
      <c r="D580" s="26" t="str">
        <v>视觉_红外热成像摄像头_座椅温度</v>
      </c>
      <c r="E580" s="26" t="str">
        <v>0=主驾座椅,1=副驾座椅,2=主驾后侧座椅,3=副驾后侧座椅,4=后排中间座椅; 
温度:-39.6~100℃(浮点)</v>
      </c>
      <c r="G580" s="14" t="str">
        <v>DZT0265</v>
      </c>
      <c r="K580" s="26" t="str">
        <v>AI温感控制</v>
      </c>
      <c r="P580" s="26" t="str">
        <v>P0</v>
      </c>
      <c r="Q580" s="30">
        <v>6.6</v>
      </c>
      <c r="R580" s="17" t="str">
        <v>✅ 架构已提供</v>
      </c>
      <c r="S580" s="14" t="str">
        <v>Pre-OTS版本-0804座舱转测</v>
      </c>
      <c r="T580" s="44" t="str">
        <v>https://sai-seres.feishu.cn/wiki/B3vcwOJAgikKznk2Ccocjx7XnGg</v>
      </c>
      <c r="U580" s="28" t="str">
        <v>SeresITS</v>
      </c>
      <c r="V580" s="30">
        <v>727</v>
      </c>
      <c r="W580" s="26" t="str">
        <v>李红灿</v>
      </c>
      <c r="X580" s="28" t="str">
        <v>ACS301Adapter</v>
      </c>
      <c r="Y580" s="26" t="inlineStr">
        <is>
          <r>
            <t>@陈杰</t>
          </r>
        </is>
      </c>
    </row>
    <row r="581" spans="2:25">
      <c r="B581" s="26" t="str">
        <v>9.2 舱外视觉</v>
      </c>
      <c r="C581" s="26" t="str">
        <v>face id</v>
      </c>
      <c r="D581" s="26" t="str">
        <v>视觉_舱外_识人_faceid</v>
      </c>
      <c r="E581" s="26" t="str">
        <v>陌生人,具体ID（注册用户，家庭用户，车主）</v>
      </c>
      <c r="G581" s="24" t="str">
        <v>DZT0567</v>
      </c>
      <c r="H581" s="1">
        <v>0</v>
      </c>
      <c r="K581" s="26" t="str">
        <v>迎宾空间</v>
      </c>
      <c r="Q581" s="16">
        <v>6.13</v>
      </c>
      <c r="R581" s="17" t="str">
        <v>❌架构待确认</v>
      </c>
      <c r="X581" s="24" t="str">
        <v>ACS97舱外视觉感知</v>
      </c>
      <c r="Y581" s="26" t="inlineStr">
        <is>
          <r>
            <t>@宋章仪</t>
          </r>
        </is>
      </c>
    </row>
    <row r="582" spans="3:25">
      <c r="C582" s="26" t="str">
        <v>门外障碍物识别</v>
      </c>
      <c r="D582" s="26" t="str">
        <v>门区打框</v>
      </c>
      <c r="E582" s="26" t="str">
        <v>前门、后门</v>
      </c>
      <c r="G582" s="24" t="str">
        <v>DZT0568</v>
      </c>
      <c r="H582" s="1">
        <v>0</v>
      </c>
      <c r="K582" s="26" t="str">
        <v>迎宾空间</v>
      </c>
      <c r="Q582" s="16">
        <v>6.13</v>
      </c>
      <c r="R582" s="17" t="str">
        <v>❌架构待确认</v>
      </c>
      <c r="X582" s="24" t="str">
        <v>ACS97舱外视觉感知</v>
      </c>
      <c r="Y582" s="26" t="inlineStr">
        <is>
          <r>
            <t>@宋章仪</t>
          </r>
        </is>
      </c>
    </row>
    <row r="583" spans="3:25">
      <c r="C583" s="26" t="str">
        <v>拍照</v>
      </c>
      <c r="D583" s="26" t="str">
        <v>视觉_舱外_车外照片_脱敏</v>
      </c>
      <c r="E583" s="26" t="str">
        <v>前方摄像头照片、后方摄像头照片、左前摄像头照片、右前摄像头照片、左右摄像头照片、右后摄像头照片、后方摄像头照片</v>
      </c>
      <c r="G583" s="24" t="str">
        <v>DZT0569</v>
      </c>
      <c r="H583" s="1">
        <v>0</v>
      </c>
      <c r="Q583" s="16">
        <v>6.13</v>
      </c>
      <c r="R583" s="17" t="str">
        <v>❌架构待确认</v>
      </c>
      <c r="X583" s="24" t="str">
        <v>ACS97舱外视觉感知</v>
      </c>
      <c r="Y583" s="26" t="inlineStr">
        <is>
          <r>
            <t>@冯艺玮</t>
          </r>
        </is>
      </c>
    </row>
    <row r="584" spans="3:25">
      <c r="C584" s="26" t="str">
        <v>拍照</v>
      </c>
      <c r="D584" s="26" t="str">
        <v>视觉_舱外_车外照片-手势</v>
      </c>
      <c r="E584" s="26" t="str">
        <v>     * 比耶 -&gt; 比耶
     * 大拇指 -&gt; 大拇指
     * 双手比心 -&gt; 爱心眼
     * 招手 -&gt; 招手
     * 张开手 -&gt; 雪花
     * 拍手 -&gt; 爱心眼
有人/无人</v>
      </c>
      <c r="G584" s="28" t="str">
        <v>DZT0570</v>
      </c>
      <c r="K584" s="28" t="str">
        <v>展车/AI展销</v>
      </c>
      <c r="L584" s="31">
        <v>46203</v>
      </c>
      <c r="Q584" s="30">
        <v>7.15</v>
      </c>
      <c r="X584" s="28" t="str">
        <v>ACS97舱外视觉感知</v>
      </c>
      <c r="Y584" s="26" t="inlineStr">
        <is>
          <r>
            <t>@王月伟</t>
          </r>
        </is>
      </c>
    </row>
  </sheetData>
  <hyperlinks>
    <hyperlink ref="T2" r:id="rId1"/>
    <hyperlink ref="T4" r:id="rId2"/>
    <hyperlink ref="T15" r:id="rId3"/>
    <hyperlink ref="T16" r:id="rId4"/>
    <hyperlink ref="T17" r:id="rId5"/>
    <hyperlink ref="T18" r:id="rId6"/>
    <hyperlink ref="T19" r:id="rId7"/>
    <hyperlink ref="T38" r:id="rId8"/>
    <hyperlink ref="T40" r:id="rId9"/>
    <hyperlink ref="T41" r:id="rId10"/>
    <hyperlink ref="T43" r:id="rId11"/>
    <hyperlink ref="T45" r:id="rId12"/>
    <hyperlink ref="T46" r:id="rId13"/>
    <hyperlink ref="T56" r:id="rId14"/>
    <hyperlink ref="T61" r:id="rId15"/>
    <hyperlink ref="T63" r:id="rId16"/>
    <hyperlink ref="T65" r:id="rId17"/>
    <hyperlink ref="T66" r:id="rId18"/>
    <hyperlink ref="T70" r:id="rId19"/>
    <hyperlink ref="T71" r:id="rId20"/>
    <hyperlink ref="T72" r:id="rId21"/>
    <hyperlink ref="T73" r:id="rId22"/>
    <hyperlink ref="T74" r:id="rId23"/>
    <hyperlink ref="T75" r:id="rId24"/>
    <hyperlink ref="T78" r:id="rId25"/>
    <hyperlink ref="T79" r:id="rId26"/>
    <hyperlink ref="T80" r:id="rId27"/>
    <hyperlink ref="T81" r:id="rId28"/>
    <hyperlink ref="T82" r:id="rId29"/>
    <hyperlink ref="T83" r:id="rId30"/>
    <hyperlink ref="T84" r:id="rId31"/>
    <hyperlink ref="T86" r:id="rId32"/>
    <hyperlink ref="T87" r:id="rId33"/>
    <hyperlink ref="T88" r:id="rId34"/>
    <hyperlink ref="T89" r:id="rId35"/>
    <hyperlink ref="T90" r:id="rId36"/>
    <hyperlink ref="T91" r:id="rId37"/>
    <hyperlink ref="T92" r:id="rId38"/>
    <hyperlink ref="T96" r:id="rId39"/>
    <hyperlink ref="T97" r:id="rId40"/>
    <hyperlink ref="T99" r:id="rId41"/>
    <hyperlink ref="T101" r:id="rId42"/>
    <hyperlink ref="T108" r:id="rId43"/>
    <hyperlink ref="T109" r:id="rId44"/>
    <hyperlink ref="T113" r:id="rId45"/>
    <hyperlink ref="T114" r:id="rId46"/>
    <hyperlink ref="T115" r:id="rId47"/>
    <hyperlink ref="T116" r:id="rId48"/>
    <hyperlink ref="T117" r:id="rId49"/>
    <hyperlink ref="T118" r:id="rId50"/>
    <hyperlink ref="T119" r:id="rId51"/>
    <hyperlink ref="T120" r:id="rId52"/>
    <hyperlink ref="T121" r:id="rId53"/>
    <hyperlink ref="T122" r:id="rId54"/>
    <hyperlink ref="T123" r:id="rId55"/>
    <hyperlink ref="T124" r:id="rId56"/>
    <hyperlink ref="T125" r:id="rId57"/>
    <hyperlink ref="T126" r:id="rId58"/>
    <hyperlink ref="T127" r:id="rId59"/>
    <hyperlink ref="T128" r:id="rId60"/>
    <hyperlink ref="T129" r:id="rId61"/>
    <hyperlink ref="T130" r:id="rId62"/>
    <hyperlink ref="T131" r:id="rId63"/>
    <hyperlink ref="T132" r:id="rId64"/>
    <hyperlink ref="T133" r:id="rId65"/>
    <hyperlink ref="T134" r:id="rId66"/>
    <hyperlink ref="T136" r:id="rId67"/>
    <hyperlink ref="T137" r:id="rId68"/>
    <hyperlink ref="T138" r:id="rId69"/>
    <hyperlink ref="T141" r:id="rId70"/>
    <hyperlink ref="T142" r:id="rId71"/>
    <hyperlink ref="T143" r:id="rId72"/>
    <hyperlink ref="T152" r:id="rId73"/>
    <hyperlink ref="T153" r:id="rId74"/>
    <hyperlink ref="T156" r:id="rId75"/>
    <hyperlink ref="T157" r:id="rId76"/>
    <hyperlink ref="T158" r:id="rId77"/>
    <hyperlink ref="T159" r:id="rId78"/>
    <hyperlink ref="T162" r:id="rId79"/>
    <hyperlink ref="T163" r:id="rId80"/>
    <hyperlink ref="T164" r:id="rId81"/>
    <hyperlink ref="T165" r:id="rId82"/>
    <hyperlink ref="T166" r:id="rId83"/>
    <hyperlink ref="T167" r:id="rId84"/>
    <hyperlink ref="T168" r:id="rId85"/>
    <hyperlink ref="T169" r:id="rId86"/>
    <hyperlink ref="T170" r:id="rId87"/>
    <hyperlink ref="T171" r:id="rId88"/>
    <hyperlink ref="T172" r:id="rId89"/>
    <hyperlink ref="T173" r:id="rId90"/>
    <hyperlink ref="T174" r:id="rId91"/>
    <hyperlink ref="T175" r:id="rId92"/>
    <hyperlink ref="T176" r:id="rId93"/>
    <hyperlink ref="T177" r:id="rId94"/>
    <hyperlink ref="T179" r:id="rId95"/>
    <hyperlink ref="T180" r:id="rId96"/>
    <hyperlink ref="T181" r:id="rId97"/>
    <hyperlink ref="T182" r:id="rId98"/>
    <hyperlink ref="T183" r:id="rId99"/>
    <hyperlink ref="T184" r:id="rId100"/>
    <hyperlink ref="T185" r:id="rId101"/>
    <hyperlink ref="T186" r:id="rId102"/>
    <hyperlink ref="T187" r:id="rId103"/>
    <hyperlink ref="T188" r:id="rId104"/>
    <hyperlink ref="T189" r:id="rId105"/>
    <hyperlink ref="T190" r:id="rId106"/>
    <hyperlink ref="T191" r:id="rId107"/>
    <hyperlink ref="T192" r:id="rId108"/>
    <hyperlink ref="T193" r:id="rId109"/>
    <hyperlink ref="T194" r:id="rId110"/>
    <hyperlink ref="T195" r:id="rId111"/>
    <hyperlink ref="T196" r:id="rId112"/>
    <hyperlink ref="T197" r:id="rId113"/>
    <hyperlink ref="T198" r:id="rId114"/>
    <hyperlink ref="T199" r:id="rId115"/>
    <hyperlink ref="T200" r:id="rId116"/>
    <hyperlink ref="T202" r:id="rId117"/>
    <hyperlink ref="T203" r:id="rId118"/>
    <hyperlink ref="T204" r:id="rId119"/>
    <hyperlink ref="T205" r:id="rId120"/>
    <hyperlink ref="T206" r:id="rId121"/>
    <hyperlink ref="T207" r:id="rId122"/>
    <hyperlink ref="T208" r:id="rId123"/>
    <hyperlink ref="T210" r:id="rId124"/>
    <hyperlink ref="T211" r:id="rId125"/>
    <hyperlink ref="T215" r:id="rId126"/>
    <hyperlink ref="T216" r:id="rId127"/>
    <hyperlink ref="T217" r:id="rId128"/>
    <hyperlink ref="T218" r:id="rId129"/>
    <hyperlink ref="T219" r:id="rId130"/>
    <hyperlink ref="T222" r:id="rId131"/>
    <hyperlink ref="T261" r:id="rId132"/>
    <hyperlink ref="T262" r:id="rId133"/>
    <hyperlink ref="T263" r:id="rId134"/>
    <hyperlink ref="T265" r:id="rId135"/>
    <hyperlink ref="T266" r:id="rId136"/>
    <hyperlink ref="T267" r:id="rId137"/>
    <hyperlink ref="T269" r:id="rId138"/>
    <hyperlink ref="T270" r:id="rId139"/>
    <hyperlink ref="T271" r:id="rId140"/>
    <hyperlink ref="T272" r:id="rId141"/>
    <hyperlink ref="T273" r:id="rId142"/>
    <hyperlink ref="T274" r:id="rId143"/>
    <hyperlink ref="T275" r:id="rId144"/>
    <hyperlink ref="T276" r:id="rId145"/>
    <hyperlink ref="T277" r:id="rId146"/>
    <hyperlink ref="T278" r:id="rId147"/>
    <hyperlink ref="T279" r:id="rId148"/>
    <hyperlink ref="T280" r:id="rId149"/>
    <hyperlink ref="T281" r:id="rId150"/>
    <hyperlink ref="T282" r:id="rId151"/>
    <hyperlink ref="T283" r:id="rId152"/>
    <hyperlink ref="T284" r:id="rId153"/>
    <hyperlink ref="T285" r:id="rId154"/>
    <hyperlink ref="T287" r:id="rId155"/>
    <hyperlink ref="T289" r:id="rId156"/>
    <hyperlink ref="T295" r:id="rId157"/>
    <hyperlink ref="T296" r:id="rId158"/>
    <hyperlink ref="T297" r:id="rId159"/>
    <hyperlink ref="T298" r:id="rId160"/>
    <hyperlink ref="T299" r:id="rId161"/>
    <hyperlink ref="T300" r:id="rId162"/>
    <hyperlink ref="T301" r:id="rId163"/>
    <hyperlink ref="T302" r:id="rId164"/>
    <hyperlink ref="T303" r:id="rId165"/>
    <hyperlink ref="T305" r:id="rId166"/>
    <hyperlink ref="T306" r:id="rId167"/>
    <hyperlink ref="T311" r:id="rId168"/>
    <hyperlink ref="T312" r:id="rId169"/>
    <hyperlink ref="T315" r:id="rId170"/>
    <hyperlink ref="T316" r:id="rId171"/>
    <hyperlink ref="T317" r:id="rId172"/>
    <hyperlink ref="T318" r:id="rId173"/>
    <hyperlink ref="T320" r:id="rId174"/>
    <hyperlink ref="T321" r:id="rId175"/>
    <hyperlink ref="T323" r:id="rId176"/>
    <hyperlink ref="T324" r:id="rId177"/>
    <hyperlink ref="T325" r:id="rId178"/>
    <hyperlink ref="T326" r:id="rId179"/>
    <hyperlink ref="T407" r:id="rId180"/>
    <hyperlink ref="T408" r:id="rId181"/>
    <hyperlink ref="T409" r:id="rId182"/>
    <hyperlink ref="T410" r:id="rId183"/>
    <hyperlink ref="T411" r:id="rId184"/>
    <hyperlink ref="T412" r:id="rId185"/>
    <hyperlink ref="T413" r:id="rId186"/>
    <hyperlink ref="T414" r:id="rId187"/>
    <hyperlink ref="T415" r:id="rId188"/>
    <hyperlink ref="T416" r:id="rId189"/>
    <hyperlink ref="T417" r:id="rId190"/>
    <hyperlink ref="T418" r:id="rId191"/>
    <hyperlink ref="T419" r:id="rId192"/>
    <hyperlink ref="T420" r:id="rId193"/>
    <hyperlink ref="T421" r:id="rId194"/>
    <hyperlink ref="T422" r:id="rId195"/>
    <hyperlink ref="T423" r:id="rId196"/>
    <hyperlink ref="T424" r:id="rId197"/>
    <hyperlink ref="T425" r:id="rId198"/>
    <hyperlink ref="T426" r:id="rId199"/>
    <hyperlink ref="T427" r:id="rId200"/>
    <hyperlink ref="T428" r:id="rId201"/>
    <hyperlink ref="T429" r:id="rId202"/>
    <hyperlink ref="T430" r:id="rId203"/>
    <hyperlink ref="T431" r:id="rId204"/>
    <hyperlink ref="T432" r:id="rId205"/>
    <hyperlink ref="T433" r:id="rId206"/>
    <hyperlink ref="T434" r:id="rId207"/>
    <hyperlink ref="T435" r:id="rId208"/>
    <hyperlink ref="T436" r:id="rId209"/>
    <hyperlink ref="T437" r:id="rId210"/>
    <hyperlink ref="T438" r:id="rId211"/>
    <hyperlink ref="T439" r:id="rId212"/>
    <hyperlink ref="T440" r:id="rId213"/>
    <hyperlink ref="T441" r:id="rId214"/>
    <hyperlink ref="T442" r:id="rId215"/>
    <hyperlink ref="T447" r:id="rId216"/>
    <hyperlink ref="T448" r:id="rId217"/>
    <hyperlink ref="T449" r:id="rId218"/>
    <hyperlink ref="T452" r:id="rId219"/>
    <hyperlink ref="T453" r:id="rId220"/>
    <hyperlink ref="T455" r:id="rId221"/>
    <hyperlink ref="T456" r:id="rId222"/>
    <hyperlink ref="T457" r:id="rId223"/>
    <hyperlink ref="T462" r:id="rId224"/>
    <hyperlink ref="T463" r:id="rId225"/>
    <hyperlink ref="T464" r:id="rId226"/>
    <hyperlink ref="T465" r:id="rId227"/>
    <hyperlink ref="T466" r:id="rId228"/>
    <hyperlink ref="T467" r:id="rId229"/>
    <hyperlink ref="T468" r:id="rId230"/>
    <hyperlink ref="T475" r:id="rId231"/>
    <hyperlink ref="T476" r:id="rId232"/>
    <hyperlink ref="T477" r:id="rId233"/>
    <hyperlink ref="T478" r:id="rId234"/>
    <hyperlink ref="T479" r:id="rId235"/>
    <hyperlink ref="T480" r:id="rId236"/>
    <hyperlink ref="T482" r:id="rId237"/>
    <hyperlink ref="T483" r:id="rId238"/>
    <hyperlink ref="T484" r:id="rId239"/>
    <hyperlink ref="T485" r:id="rId240"/>
    <hyperlink ref="U493" r:id="rId241"/>
    <hyperlink ref="T496" r:id="rId242"/>
    <hyperlink ref="T497" r:id="rId243"/>
    <hyperlink ref="T498" r:id="rId244"/>
    <hyperlink ref="T499" r:id="rId245"/>
    <hyperlink ref="T500" r:id="rId246"/>
    <hyperlink ref="T501" r:id="rId247"/>
    <hyperlink ref="T502" r:id="rId248"/>
    <hyperlink ref="T503" r:id="rId249"/>
    <hyperlink ref="T504" r:id="rId250"/>
    <hyperlink ref="T505" r:id="rId251"/>
    <hyperlink ref="T518" r:id="rId252"/>
    <hyperlink ref="T580" r:id="rId253"/>
  </hyperlinks>
  <pageMargins left="0.7" right="0.7" top="0.75" bottom="0.75" header="0.3" footer="0.3"/>
  <pageSetup orientation="portrait"/>
  <drawing r:id="rId2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29" style="1" customWidth="1"/>
    <col min="2" max="2" width="27.428571428571427" style="1" customWidth="1"/>
    <col min="3" max="3" width="21.714285714285715" style="1" customWidth="1"/>
    <col min="4" max="4" width="32.142857142857146" style="1" customWidth="1"/>
    <col min="5" max="5" width="77.530612244898" style="1" customWidth="1"/>
    <col min="6" max="6" width="103.42460114558409" style="1" customWidth="1"/>
    <col min="7" max="7" width="14.285714285714286" style="1" customWidth="1"/>
    <col min="8" max="9" width="16.142857142857142" style="1" customWidth="1"/>
    <col min="10" max="10" width="11.571428571428571" style="1" customWidth="1"/>
    <col min="11" max="11" width="22" style="1" customWidth="1"/>
    <col min="12" max="12" width="29.714285714285715" style="1" customWidth="1"/>
    <col min="13" max="13" width="10" style="1" customWidth="1"/>
    <col min="14" max="14" width="16.142857142857142" style="1" customWidth="1"/>
    <col min="15" max="21" width="15" style="1" customWidth="1"/>
  </cols>
  <sheetData>
    <row r="1" spans="1:1">
      <c r="A1" s="71" t="str">
        <v>融合感知需求清单（共享版） </v>
      </c>
    </row>
    <row r="2" spans="1:14">
      <c r="A2" s="72" t="str">
        <v>域</v>
      </c>
      <c r="B2" s="72" t="str">
        <v>二级</v>
      </c>
      <c r="C2" s="72" t="str">
        <v>三级</v>
      </c>
      <c r="D2" s="72" t="str">
        <v>信号名称</v>
      </c>
      <c r="E2" s="72" t="str">
        <v>信号范围</v>
      </c>
      <c r="F2" s="9" t="str">
        <v>备注</v>
      </c>
      <c r="G2" s="72" t="str">
        <v>需求人</v>
      </c>
      <c r="H2" s="73" t="str">
        <v>需求提出时间</v>
      </c>
      <c r="I2" s="73" t="str">
        <v>关联需求板块</v>
      </c>
      <c r="J2" s="9" t="str">
        <v>架构校对</v>
      </c>
      <c r="K2" s="9" t="str">
        <v>关联需求</v>
      </c>
      <c r="L2" s="9" t="str">
        <v>技术实现</v>
      </c>
      <c r="M2" s="9" t="str">
        <v>优先级</v>
      </c>
      <c r="N2" s="74" t="str">
        <v>需求锁定版本</v>
      </c>
    </row>
    <row r="3" spans="1:14">
      <c r="A3" s="15" t="str">
        <v>九、视觉感知域</v>
      </c>
      <c r="B3" s="15" t="str">
        <v>9.1 舱内视觉/DMS</v>
      </c>
      <c r="C3" s="15" t="str">
        <v>疲劳提醒</v>
      </c>
      <c r="D3" s="15" t="str">
        <v>视觉_DMS_疲劳等级</v>
      </c>
      <c r="E3" s="15" t="str">
        <v>轻度、重度</v>
      </c>
      <c r="G3" s="15" t="str">
        <v>朱婧雯</v>
      </c>
      <c r="K3" s="75" t="str">
        <v>情感、出行</v>
      </c>
      <c r="N3" s="65" t="str">
        <v>V1.0</v>
      </c>
    </row>
    <row r="4" spans="1:14">
      <c r="A4" s="26" t="str">
        <v>九、视觉感知域</v>
      </c>
      <c r="B4" s="26" t="str">
        <v>9.1 舱内视觉/DMS</v>
      </c>
      <c r="C4" s="26" t="str">
        <v>疲劳提醒</v>
      </c>
      <c r="D4" s="26" t="str">
        <v>视觉_DMS_疲劳提醒</v>
      </c>
      <c r="E4" s="26" t="str">
        <v>打哈欠、闭眼、闭眼时长</v>
      </c>
      <c r="F4" s="26" t="str">
        <v>评审: E68项目AI+松弛空间-VIP休息室软件功能策略需求及方案决策 | 价值: （主动关怀）行车下发现主驾疲劳后主驾是否需要舒压 | 识别: 输出驾驶员是否打哈欠、闭眼、perclos（(眼睛闭合时间 / 总时间段） | 研发评估原文: 可行，赛力斯</v>
      </c>
      <c r="G4" s="26" t="str">
        <v>许圣义</v>
      </c>
      <c r="K4" s="26" t="str">
        <v>松弛模式（AI）/情感</v>
      </c>
      <c r="L4" s="26" t="str">
        <v>赛力斯(端侧CV/CDC)</v>
      </c>
      <c r="N4" s="65" t="str">
        <v>V1.0</v>
      </c>
    </row>
    <row r="5" spans="1:14">
      <c r="A5" s="15" t="str">
        <v>九、视觉感知域</v>
      </c>
      <c r="B5" s="15" t="str">
        <v>9.1 舱内视觉/DMS</v>
      </c>
      <c r="C5" s="15" t="str">
        <v>分心提醒</v>
      </c>
      <c r="D5" s="15" t="str">
        <v>视觉_DMS_分心提醒</v>
      </c>
      <c r="E5" s="15" t="str">
        <v>分心:0=未分心,1=分心; 落点:0=左车窗,1=右车窗,2=副驾挡风玻璃,3=主驾挡风玻璃,4=仪表区,5=中控屏</v>
      </c>
      <c r="F5" s="15" t="str">
        <v>评审: E68项目智能化座舱基础功能评审决策 | 识别: 输出驾驶员是否头动/眼动分心及具体头部和眼部落点区域： 1）左右车窗玻璃 2）副驾挡风玻璃主驾挡风玻璃 3）主驾挡风玻璃一下区域（仪表） 4）中控屏 | 研发评估原文: 可行，赛力斯</v>
      </c>
      <c r="G5" s="15" t="str">
        <v>刘凡</v>
      </c>
      <c r="K5" s="15" t="str">
        <v>【基础座舱/DMS·OMS】/情感</v>
      </c>
      <c r="L5" s="15" t="str">
        <v>赛力斯(端侧CV/CDC)</v>
      </c>
      <c r="N5" s="65" t="str">
        <v>V1.0</v>
      </c>
    </row>
    <row r="6" spans="1:14">
      <c r="A6" s="15" t="str">
        <v>九、视觉感知域</v>
      </c>
      <c r="B6" s="15" t="str">
        <v>9.1 舱内视觉/DMS</v>
      </c>
      <c r="C6" s="15" t="str">
        <v>危险动作提醒</v>
      </c>
      <c r="D6" s="15" t="str">
        <v>视觉_DMS_危险动作提醒</v>
      </c>
      <c r="E6" s="15" t="str">
        <v>吸烟、打电话、危险动作</v>
      </c>
      <c r="F6" s="15" t="str">
        <v>评审: E68项目智能化座舱基础功能评审决策 | 识别: 输出驾驶员是否吸烟、打电话等危险动作 | 研发评估原文: 可行，赛力斯</v>
      </c>
      <c r="G6" s="15" t="str">
        <v>刘凡</v>
      </c>
      <c r="K6" s="15" t="str">
        <v>【基础座舱/DMS·OMS】</v>
      </c>
      <c r="L6" s="15" t="str">
        <v>赛力斯(端侧CV/CDC)</v>
      </c>
      <c r="N6" s="65" t="str">
        <v>V1.0</v>
      </c>
    </row>
    <row r="7" spans="1:14">
      <c r="A7" s="15" t="str">
        <v>九、视觉感知域</v>
      </c>
      <c r="B7" s="15" t="str">
        <v>9.1 舱内视觉/DMS</v>
      </c>
      <c r="C7" s="15" t="str">
        <v>长时间驾驶状态提醒同步</v>
      </c>
      <c r="D7" s="15" t="str">
        <v>视觉_DMS_长时间驾驶状态提醒同步</v>
      </c>
      <c r="E7" s="15" t="str">
        <v>0=正常, 1=长时间驾驶提醒中, 2=unknown</v>
      </c>
      <c r="F7" s="15" t="str">
        <v>评审: 情感空间需求评审决策_V1.5_RAD | 识别: 输出驾驶员长时间驾驶提醒状态 | 研发评估原文: 可行，赛力斯</v>
      </c>
      <c r="G7" s="15" t="str">
        <v>朱婧雯</v>
      </c>
      <c r="K7" s="15" t="str">
        <v>情感空间</v>
      </c>
      <c r="L7" s="15" t="str">
        <v>赛力斯(端侧CV/CDC)</v>
      </c>
      <c r="N7" s="65" t="str">
        <v>V1.0</v>
      </c>
    </row>
    <row r="8" spans="1:14">
      <c r="A8" s="15" t="str">
        <v>九、视觉感知域</v>
      </c>
      <c r="B8" s="15" t="str">
        <v>9.1 舱内视觉/DMS</v>
      </c>
      <c r="C8" s="15" t="str">
        <v>长时间驾驶状态提醒同步</v>
      </c>
      <c r="D8" s="15" t="str">
        <v>视觉_DMS_连续驾驶时长</v>
      </c>
      <c r="E8" s="15" t="str">
        <v>/h</v>
      </c>
      <c r="G8" s="15" t="str">
        <v>朱婧雯</v>
      </c>
      <c r="K8" s="75" t="str">
        <v>情感、出行</v>
      </c>
      <c r="N8" s="65" t="str">
        <v>V1.0</v>
      </c>
    </row>
    <row r="9" spans="1:14">
      <c r="A9" s="15" t="str">
        <v>九、视觉感知域</v>
      </c>
      <c r="B9" s="15" t="str">
        <v>9.1 舱内视觉/DMS</v>
      </c>
      <c r="C9" s="15" t="str">
        <v>驾驶员无响应(失能)</v>
      </c>
      <c r="D9" s="15" t="str">
        <v>视觉_DMS_驾驶员无响应失能</v>
      </c>
      <c r="E9" s="15" t="str">
        <v>0=正常, 1=脱眼</v>
      </c>
      <c r="F9" s="15" t="str">
        <v>评审: E68项目智能化座舱基础功能评审决策 | 识别: 检测驾驶员无驾驶能力时，语音提醒超时后，选择安全位置靠边停车，开双闪（视觉作为辅助，智驾能力主导），实现L3人脸识别要求 | 研发评估原文: 可行，赛力斯</v>
      </c>
      <c r="G9" s="15" t="str">
        <v>刘凡</v>
      </c>
      <c r="K9" s="15" t="str">
        <v>情感</v>
      </c>
      <c r="L9" s="15" t="str">
        <v>赛力斯(端侧CV/CDC)</v>
      </c>
      <c r="N9" s="65" t="str">
        <v>V1.0</v>
      </c>
    </row>
    <row r="10" spans="1:14">
      <c r="A10" s="15" t="str">
        <v>九、视觉感知域</v>
      </c>
      <c r="B10" s="15" t="str">
        <v>9.1 舱内视觉/DMS</v>
      </c>
      <c r="C10" s="15" t="str">
        <v>人脸识别（FACE ID）</v>
      </c>
      <c r="D10" s="15" t="str">
        <v>视觉_DMS_人脸识别FACEID</v>
      </c>
      <c r="E10" s="15" t="str">
        <v>陌生人,具体ID（注册用户，家庭用户，车主）；</v>
      </c>
      <c r="F10" s="15" t="str">
        <v>评审: E68项目智能化座舱基础功能评审决策 | 识别: 识别驾驶员人脸，进行账号绑定，个性化设置等 | 研发评估原文: 可行，赛力斯</v>
      </c>
      <c r="G10" s="15" t="str">
        <v>刘凡</v>
      </c>
      <c r="K10" s="15" t="str">
        <v>【基础座舱/DMS·OMS】</v>
      </c>
      <c r="L10" s="15" t="str">
        <v>赛力斯(端侧CV/CDC)</v>
      </c>
      <c r="M10" s="15" t="str">
        <v>P0</v>
      </c>
      <c r="N10" s="65" t="str">
        <v>V1.0</v>
      </c>
    </row>
    <row r="11" spans="1:14">
      <c r="A11" s="15" t="str">
        <v>九、视觉感知域</v>
      </c>
      <c r="B11" s="15" t="str">
        <v>9.1 舱内视觉/DMS</v>
      </c>
      <c r="C11" s="15" t="str">
        <v>驾驶员头部/视线落点</v>
      </c>
      <c r="D11" s="15" t="str">
        <v>视觉_DMS_驾驶员头部_视线落点</v>
      </c>
      <c r="E11" s="15" t="str">
        <v>豆包机器人、中控屏幕</v>
      </c>
      <c r="F11" s="15" t="str">
        <v>评审: 情感空间需求评审决策_V1.5_RAD | 价值: 人机交互判断 | 识别: 情感伙伴/全时免唤醒：看豆包机器人、看中控屏幕（支持人机交互判断）（视线/头部转向实时检测） | 研发评估原文: 部分可行，赛力斯</v>
      </c>
      <c r="G11" s="15" t="str">
        <v>朱婧雯</v>
      </c>
      <c r="K11" s="15" t="str">
        <v>情感空间</v>
      </c>
      <c r="L11" s="15" t="str">
        <v>赛力斯(端侧CV,部分能力)</v>
      </c>
      <c r="N11" s="65" t="str">
        <v>V1.0</v>
      </c>
    </row>
    <row r="12" spans="1:14">
      <c r="A12" s="36" t="str">
        <v>九、视觉感知域</v>
      </c>
      <c r="B12" s="36" t="str">
        <v>9.1 舱内视觉/OMS</v>
      </c>
      <c r="C12" s="36" t="str">
        <v>调用画面</v>
      </c>
      <c r="D12" s="36" t="str">
        <v>视觉_OMS_调用画面</v>
      </c>
      <c r="E12" s="36" t="str">
        <v>0=空闲, 1=拍照, 2=录像, 3=异常</v>
      </c>
      <c r="F12" s="36" t="str">
        <v>评审: E68项目智能化座舱基础功能评审决策 | 价值: 拍照需求 | 识别: 相机 | 研发评估原文: 可行</v>
      </c>
      <c r="G12" s="36" t="str">
        <v>刘凡</v>
      </c>
      <c r="K12" s="36" t="str">
        <v>【基础座舱/DMS·OMS】</v>
      </c>
      <c r="L12" s="36" t="str">
        <v>赛力斯(端侧CV/CDC)</v>
      </c>
      <c r="N12" s="76" t="str">
        <v>待导入</v>
      </c>
    </row>
    <row r="13" spans="1:14">
      <c r="A13" s="36" t="str">
        <v>九、视觉感知域</v>
      </c>
      <c r="B13" s="36" t="str">
        <v>9.1 舱内视觉/OMS</v>
      </c>
      <c r="C13" s="36" t="str">
        <v>调用画面</v>
      </c>
      <c r="D13" s="36" t="str">
        <v>视觉_OMS_调用画面_1</v>
      </c>
      <c r="E13" s="36" t="str">
        <v>0=空闲, 1=录像(普通相机), 2=录像(AI相机), 3=异常</v>
      </c>
      <c r="F13" s="36" t="str">
        <v>评审: E68项目智能化座舱基础功能评审决策 | 价值: 视频 | 研发评估原文: 普通相机——赛力斯 AI相机- 火山</v>
      </c>
      <c r="G13" s="36" t="str">
        <v>刘凡</v>
      </c>
      <c r="K13" s="36" t="str">
        <v>【基础座舱/DMS·OMS】</v>
      </c>
      <c r="L13" s="36" t="str">
        <v>赛力斯(普通相机)+火山(AI相机)</v>
      </c>
      <c r="N13" s="76" t="str">
        <v>待导入</v>
      </c>
    </row>
    <row r="14" spans="1:14">
      <c r="A14" s="15" t="str">
        <v>九、视觉感知域</v>
      </c>
      <c r="B14" s="15" t="str">
        <v>9.1 舱内视觉/OMS</v>
      </c>
      <c r="C14" s="15" t="str">
        <v>人脸识别（FACE ID）</v>
      </c>
      <c r="D14" s="15" t="str">
        <v>视觉_OMS_人脸识别FACEID</v>
      </c>
      <c r="E14" s="15" t="str">
        <v>陌生人,具体ID（注册用户，家庭用户，车主）；
座椅方位：主驾,副驾,二排左,二排中,二排右</v>
      </c>
      <c r="F14" s="15" t="str">
        <v>评审: E68项目智能化座舱基础功能评审决策 | 识别: 识别驾驶员人脸，进行账号绑定，个性化设置等 | 研发评估原文: 可行，赛力斯</v>
      </c>
      <c r="G14" s="15" t="str">
        <v>刘凡</v>
      </c>
      <c r="K14" s="15" t="str">
        <v>【基础座舱/DMS·OMS】</v>
      </c>
      <c r="L14" s="15" t="str">
        <v>赛力斯(端侧CV/CDC)</v>
      </c>
      <c r="M14" s="15" t="str">
        <v>P0</v>
      </c>
      <c r="N14" s="65" t="str">
        <v>V1.0</v>
      </c>
    </row>
    <row r="15" spans="1:14">
      <c r="A15" s="15" t="str">
        <v>九、视觉感知域</v>
      </c>
      <c r="B15" s="15" t="str">
        <v>9.1 舱内视觉/OMS</v>
      </c>
      <c r="C15" s="15" t="str">
        <v>调用画面</v>
      </c>
      <c r="D15" s="15" t="str">
        <v>视觉_OMS_调用画面_3</v>
      </c>
      <c r="E15" s="15" t="str">
        <v>远程监控, 中控浮窗监控</v>
      </c>
      <c r="F15" s="15" t="str">
        <v>评审: E68项目松弛空间：宠物陪伴舱需求评审决策 | 价值: 支持手机端远程查看舱内车内影像（儿童宠物临时留车、活体检测查看视频）以及车内自动识别儿童落座位置，中控显示实时浮窗 | 识别: 手机远程监控、中控浮窗显示监控视频 | 研发评估原文: 可行，赛力斯</v>
      </c>
      <c r="G15" s="15" t="str">
        <v>许圣义</v>
      </c>
      <c r="K15" s="15" t="str">
        <v>松弛模式（AI）</v>
      </c>
      <c r="L15" s="15" t="str">
        <v>赛力斯(端侧CV/CDC)</v>
      </c>
      <c r="N15" s="65" t="str">
        <v>V1.0</v>
      </c>
    </row>
    <row r="16" spans="1:14">
      <c r="A16" s="15" t="str">
        <v>九、视觉感知域</v>
      </c>
      <c r="B16" s="15" t="str">
        <v>9.1 舱内视觉/OMS</v>
      </c>
      <c r="C16" s="15" t="str">
        <v>多模控车</v>
      </c>
      <c r="D16" s="15" t="str">
        <v>视觉_OMS_多模控车</v>
      </c>
      <c r="E16" s="15" t="str">
        <v>0=无, 1=左右摆手, 2=左挥手, 3=右挥手, 4=上挥手, 5=下挥手, 6=OK手势</v>
      </c>
      <c r="F16" s="15" t="str">
        <v>评审: E68项目手势识别需求评审决策 SD业务联合RMT会议纪要（第3期260312) | 价值: 通过特定手势完成pad屏幕相关页面操作如收藏音乐，拍照、录像；页面控制 | 识别: 隔空手势： 动态：左右摆手、左/右/前/后挥手 静态：OK | 研发评估原文: 可行，赛力斯</v>
      </c>
      <c r="G16" s="15" t="str">
        <v>刘凡</v>
      </c>
      <c r="K16" s="15" t="str">
        <v>【多模交互】</v>
      </c>
      <c r="L16" s="15" t="str">
        <v>赛力斯(端侧CV/CDC)</v>
      </c>
      <c r="N16" s="65" t="str">
        <v>V1.0</v>
      </c>
    </row>
    <row r="17" spans="1:14">
      <c r="A17" s="15" t="str">
        <v>九、视觉感知域</v>
      </c>
      <c r="B17" s="15" t="str">
        <v>9.1 舱内视觉/OMS</v>
      </c>
      <c r="C17" s="15" t="str">
        <v>多模控车</v>
      </c>
      <c r="D17" s="15" t="str">
        <v>视觉_OMS_多模控车_1</v>
      </c>
      <c r="E17" s="15" t="str">
        <v>指向模块:0=主驾车窗,1=副驾车窗、2=左后车窗、3=右后车窗、4=遮阳帘,5=前排座椅,6=阅读灯; 指代对象:7=主驾,8=副驾、9=后排左侧、10=后排右侧、11=后排中</v>
      </c>
      <c r="F17" s="15" t="str">
        <v>评审: E68项目手势识别需求评审决策 SD业务联合RMT会议纪要（第3期260312) | 价值: 触发词+语音+指向实现舱内控制 | 识别: 指着说： 控制模块：四个车窗、遮阳帘、前排座椅、阅读灯。 指代对象：前排乘客、后排乘客 | 研发评估原文: 可行，赛力斯</v>
      </c>
      <c r="G17" s="15" t="str">
        <v>刘凡</v>
      </c>
      <c r="K17" s="15" t="str">
        <v>【多模交互】</v>
      </c>
      <c r="L17" s="15" t="str">
        <v>赛力斯(端侧CV/CDC)</v>
      </c>
      <c r="N17" s="65" t="str">
        <v>V1.0</v>
      </c>
    </row>
    <row r="18" spans="1:14">
      <c r="A18" s="15" t="str">
        <v>九、视觉感知域</v>
      </c>
      <c r="B18" s="15" t="str">
        <v>9.1 舱内视觉/OMS</v>
      </c>
      <c r="C18" s="15" t="str">
        <v>识人</v>
      </c>
      <c r="D18" s="15" t="str">
        <v>视觉_OMS_识人_指向</v>
      </c>
      <c r="E18" s="15" t="str">
        <v>上、下、左、右、左前、右前、左后、右后、正前方、正后</v>
      </c>
      <c r="F18" s="15" t="str">
        <v>评审: E68项目豆包导游需求评审决策 | 价值: 支持手指向上下左右前后方位判断，辅助车外摄像头调取 | 识别: 四个车窗方位、前方 | 研发评估原文: 可行，赛力斯</v>
      </c>
      <c r="G18" s="15" t="str">
        <v>冯艺玮</v>
      </c>
      <c r="K18" s="15" t="str">
        <v>导游</v>
      </c>
      <c r="L18" s="15" t="str">
        <v>赛力斯(端侧CV/CDC)</v>
      </c>
      <c r="N18" s="65" t="str">
        <v>V1.0</v>
      </c>
    </row>
    <row r="19" spans="1:14">
      <c r="A19" s="15" t="str">
        <v>九、视觉感知域</v>
      </c>
      <c r="B19" s="15" t="str">
        <v>9.1 舱内视觉/OMS</v>
      </c>
      <c r="C19" s="15" t="str">
        <v>识人</v>
      </c>
      <c r="D19" s="15" t="str">
        <v>视觉_OMS_识人_1</v>
      </c>
      <c r="E19" s="15" t="str">
        <v>0=主驾,1=副驾,2=二排左,3=二排中,4=二排右； 占位:0=无人,1=有人</v>
      </c>
      <c r="F19" s="15" t="str">
        <v>评审: AI智能温感关联硬件需求决策 | 价值: 输出车内乘员位置，用于占位检测和未系安全带检测 | 识别: 输出：主驾、副驾、二排左 、二排中 、二排右 、副驾脚踢、左后脚踢、右后脚踢、中间脚踢（实时检测） | 研发评估原文: 可行，赛力斯。也可依赖大模型，即cv+大模型</v>
      </c>
      <c r="G19" s="15" t="str">
        <v>陈杰</v>
      </c>
      <c r="K19" s="15" t="str">
        <v>AI温感控制</v>
      </c>
      <c r="L19" s="15" t="str">
        <v>赛力斯(端侧CV)+字节大模型(可选)</v>
      </c>
      <c r="N19" s="65" t="str">
        <v>V1.0</v>
      </c>
    </row>
    <row r="20" spans="1:14">
      <c r="A20" s="15" t="str">
        <v>九、视觉感知域</v>
      </c>
      <c r="B20" s="15" t="str">
        <v>9.1 舱内视觉/OMS</v>
      </c>
      <c r="C20" s="15" t="str">
        <v>识人</v>
      </c>
      <c r="D20" s="15" t="str">
        <v>视觉_OMS_识人_2</v>
      </c>
      <c r="E20" s="15" t="str">
        <v>0=婴儿, 1=儿童, 2=成人, 3=老人</v>
      </c>
      <c r="F20" s="15" t="str">
        <v>评审: AI智能温感关联硬件需求决策 | 识别: 输出：婴儿、儿童、成人、老人 | 研发评估原文: 可行，赛力斯，也可依赖大模型，即cv+大模型</v>
      </c>
      <c r="G20" s="15" t="str">
        <v>陈杰</v>
      </c>
      <c r="K20" s="15" t="str">
        <v>AI温感控制</v>
      </c>
      <c r="L20" s="15" t="str">
        <v>赛力斯(端侧CV)+字节大模型(可选)</v>
      </c>
      <c r="N20" s="65" t="str">
        <v>V1.0</v>
      </c>
    </row>
    <row r="21" spans="1:14">
      <c r="A21" s="15" t="str">
        <v>九、视觉感知域</v>
      </c>
      <c r="B21" s="15" t="str">
        <v>9.1 舱内视觉/OMS</v>
      </c>
      <c r="C21" s="15" t="str">
        <v>识人</v>
      </c>
      <c r="D21" s="15" t="str">
        <v>视觉_OMS_识人_3</v>
      </c>
      <c r="E21" s="15" t="str">
        <v>0=男, 1=女</v>
      </c>
      <c r="F21" s="15" t="str">
        <v>评审: AI智能温感关联硬件需求决策 | 识别: 输出：女、男 | 研发评估原文: 可行，赛力斯，也可依赖大模型，即cv+大模型</v>
      </c>
      <c r="G21" s="15" t="str">
        <v>陈杰</v>
      </c>
      <c r="K21" s="15" t="str">
        <v>AI温感控制</v>
      </c>
      <c r="L21" s="15" t="str">
        <v>赛力斯(端侧CV)+字节大模型(可选)</v>
      </c>
      <c r="N21" s="65" t="str">
        <v>V1.0</v>
      </c>
    </row>
    <row r="22" spans="1:14">
      <c r="A22" s="15" t="str">
        <v>九、视觉感知域</v>
      </c>
      <c r="B22" s="15" t="str">
        <v>9.1 舱内视觉/红外热成像摄像头</v>
      </c>
      <c r="C22" s="15" t="str">
        <v>温度</v>
      </c>
      <c r="D22" s="15" t="str">
        <v>视觉_红外热成像摄像头_乘员温度</v>
      </c>
      <c r="E22" s="15" t="str">
        <v>温区:
0=主驾面部,1=主驾左臂,2=主驾右臂,3=副驾面部,4=副驾左臂,5=副驾右臂,6=主驾后左面部,7=主驾后左臂,8=主驾后右臂,9=副驾后左面部,10=副驾后左臂,11=副驾后右臂; 
温度:-39.6~100℃(浮点)</v>
      </c>
      <c r="F22" s="15" t="str">
        <v>评审: AI智能温感关联硬件需求决策 | 识别: 输出人体温区： P0需求：主驾乘员面部温度、主驾乘员左侧手臂温度主驾乘员右侧手臂温度、副驾乘员面部温度、副驾乘员左侧手臂温度、副驾乘员右侧手臂温度主驾后侧乘员面部温度、主驾后侧乘员左侧手臂温度、主驾后… | 研发评估原文: 可行，赛力斯</v>
      </c>
      <c r="G22" s="15" t="str">
        <v>陈杰</v>
      </c>
      <c r="K22" s="15" t="str">
        <v>AI温感控制</v>
      </c>
      <c r="L22" s="15" t="str">
        <v>赛力斯(端侧CV/CDC)</v>
      </c>
      <c r="N22" s="65" t="str">
        <v>V1.0</v>
      </c>
    </row>
    <row r="23" spans="1:14">
      <c r="A23" s="15" t="str">
        <v>九、视觉感知域</v>
      </c>
      <c r="B23" s="15" t="str">
        <v>9.1 舱内视觉/红外热成像摄像头</v>
      </c>
      <c r="C23" s="15" t="str">
        <v>温度</v>
      </c>
      <c r="D23" s="15" t="str">
        <v>视觉_红外热成像摄像头_座椅温度</v>
      </c>
      <c r="E23" s="15" t="str">
        <v>0=主驾座椅,1=副驾座椅,2=主驾后侧座椅,3=副驾后侧座椅,4=后排中间座椅; 
温度:-39.6~100℃(浮点)</v>
      </c>
      <c r="F23" s="15" t="str">
        <v>评审: AI智能温感关联硬件需求决策 | 识别: 主驾座椅温度、副驾座椅温度、主驾后侧座椅温度、副驾后侧座椅温度、后排中间座椅温度 | 研发评估原文: 可行，赛力斯</v>
      </c>
      <c r="G23" s="15" t="str">
        <v>陈杰</v>
      </c>
      <c r="K23" s="15" t="str">
        <v>AI温感控制</v>
      </c>
      <c r="L23" s="15" t="str">
        <v>赛力斯(端侧CV/CDC)</v>
      </c>
      <c r="N23" s="65" t="str">
        <v>V1.0</v>
      </c>
    </row>
    <row r="24" spans="1:14">
      <c r="A24" s="15" t="str">
        <v>九、视觉感知域</v>
      </c>
      <c r="B24" s="15" t="str">
        <v>9.2 舱外视觉/识人</v>
      </c>
      <c r="C24" s="15" t="str">
        <v>face id</v>
      </c>
      <c r="D24" s="15" t="str">
        <v>视觉_舱外_识人_faceid</v>
      </c>
      <c r="E24" s="15" t="str">
        <v>陌生人,具体ID（注册用户，家庭用户，车主）</v>
      </c>
      <c r="F24" s="15" t="str">
        <v>评审: E68项目智慧空间迎宾伙伴需求评审决策 | 价值: 基于车主和已注册人脸判断是否开启主动迎宾 | 识别: 3M范围内360°识别：车主、注册用户、陌生人 | 研发评估原文: 部分可行，赛力斯（前视800万可实现3米内人脸，侧视当前是300万仅可实现1米内人脸）</v>
      </c>
      <c r="G24" s="15" t="str">
        <v>宋章仪</v>
      </c>
      <c r="K24" s="15" t="str">
        <v>迎宾空间</v>
      </c>
      <c r="L24" s="15" t="str">
        <v>赛力斯(端侧CV,部分能力)</v>
      </c>
      <c r="N24" s="65" t="str">
        <v>V1.0</v>
      </c>
    </row>
    <row r="25" spans="1:14">
      <c r="A25" s="15" t="str">
        <v>九、视觉感知域</v>
      </c>
      <c r="B25" s="15" t="str">
        <v>舱外视觉</v>
      </c>
      <c r="C25" s="15" t="str">
        <v>门外障碍物识别</v>
      </c>
      <c r="D25" s="15" t="str">
        <v>门区打框</v>
      </c>
      <c r="E25" s="15" t="str">
        <v>前门、后门</v>
      </c>
      <c r="F25" s="15" t="str">
        <v>解锁后，环视画面CDC打框传给AI BOX，识别门区障碍物和积水等</v>
      </c>
      <c r="G25" s="15" t="str">
        <v>宋章仪</v>
      </c>
      <c r="K25" s="15" t="str">
        <v>迎宾空间</v>
      </c>
      <c r="L25" s="15" t="str">
        <v>赛力斯(端侧CV,部分能力)</v>
      </c>
      <c r="N25" s="65" t="str">
        <v>V1.0</v>
      </c>
    </row>
    <row r="26" spans="1:14">
      <c r="A26" s="15" t="str">
        <v>九、视觉感知域</v>
      </c>
      <c r="B26" s="15" t="str">
        <v>9.2 舱外视觉</v>
      </c>
      <c r="C26" s="15" t="str">
        <v>拍照</v>
      </c>
      <c r="D26" s="15" t="str">
        <v>视觉_舱外_车外照片_脱敏</v>
      </c>
      <c r="E26" s="15" t="str">
        <v>前方摄像头照片、后方摄像头照片、左前摄像头照片、右前摄像头照片、左右摄像头照片、右后摄像头照片、后方摄像头照片</v>
      </c>
      <c r="G26" s="15" t="str">
        <v>徐涵</v>
      </c>
      <c r="N26" s="65" t="str">
        <v>V1.0</v>
      </c>
    </row>
    <row r="27" spans="1:14">
      <c r="A27" s="15" t="str">
        <v>九、视觉感知域</v>
      </c>
      <c r="B27" s="15" t="str">
        <v>9.2 舱外视觉</v>
      </c>
      <c r="C27" s="15" t="str">
        <v>拍照</v>
      </c>
      <c r="D27" s="15" t="str">
        <v>视觉_舱外_车外照片</v>
      </c>
      <c r="E27" s="15" t="str">
        <v>前方摄像头照片
如有明确手势，则触发直接匹配：
     * 比耶 -&gt; 比耶
     * 大拇指 -&gt; 大拇指
     * 双手比心 -&gt; 爱心眼
     * 招手 -&gt; 招手
     * 张开手 -&gt; 雪花
     * 拍手 -&gt; 爱心眼
如画面中识别到有人，但无以上明确手势，则输出 -&gt; 眼神微笑
如画面中未识别到任何人像信息，则输出 -&gt; 无人</v>
      </c>
      <c r="G27" s="15" t="str">
        <v>王月伟</v>
      </c>
      <c r="K27" s="12" t="str">
        <v>展车/AI展销</v>
      </c>
      <c r="N27" s="28" t="str">
        <v>v1.2</v>
      </c>
    </row>
    <row r="28" spans="1:8">
      <c r="A28" s="26" t="str">
        <v>九、视觉感知域</v>
      </c>
      <c r="B28" s="26" t="str">
        <v>9.1 舱内视觉/OMS</v>
      </c>
      <c r="C28" s="26" t="str">
        <v>疲劳提醒</v>
      </c>
      <c r="D28" s="26" t="str">
        <v>视觉_OMS_疲劳判断</v>
      </c>
      <c r="E28" s="26" t="str">
        <v>睡眠：闭眼3min；清醒：睁眼15S</v>
      </c>
      <c r="G28" s="15" t="str">
        <v>许圣义</v>
      </c>
      <c r="H28" s="77">
        <v>46218</v>
      </c>
    </row>
  </sheetData>
  <hyperlinks>
    <hyperlink ref="A1" r:id="rId1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21.285714285714285" style="1" customWidth="1"/>
    <col min="2" max="2" width="22.714285714285715" style="1" customWidth="1"/>
    <col min="3" max="3" width="37.857142857142854" style="1" customWidth="1"/>
    <col min="4" max="4" width="36.970238095238365" style="1" customWidth="1"/>
    <col min="5" max="5" width="69.60714285714312" style="1" customWidth="1"/>
    <col min="6" max="6" width="10" style="1" customWidth="1"/>
    <col min="7" max="7" width="16.142857142857142" style="1" customWidth="1"/>
    <col min="8" max="8" width="21.285714285714285" style="1" customWidth="1"/>
    <col min="9" max="9" width="16.142857142857142" style="1" customWidth="1"/>
    <col min="10" max="10" width="31.428571428571427" style="1" customWidth="1"/>
    <col min="11" max="12" width="20" style="1" customWidth="1"/>
    <col min="13" max="13" width="14.678571428571363" style="1" customWidth="1"/>
    <col min="14" max="14" width="15" style="1" customWidth="1"/>
    <col min="15" max="15" width="20.921161632989165" style="1" customWidth="1"/>
    <col min="16" max="16" width="53.530997304582215" style="1" customWidth="1"/>
  </cols>
  <sheetData>
    <row r="1" spans="1:16">
      <c r="A1" s="78" t="str">
        <v>用于AI的端状态信号同步
有额外需求变更和需求新增，请填充完黄色表格并记录时间和需求板块</v>
      </c>
      <c r="B1" s="78"/>
      <c r="C1" s="78"/>
      <c r="D1" s="78"/>
      <c r="E1" s="78"/>
      <c r="O1" s="1"/>
      <c r="P1" s="1"/>
    </row>
    <row r="2" spans="1:16">
      <c r="A2" s="79" t="str">
        <v>域</v>
      </c>
      <c r="B2" s="79" t="str">
        <v>二级</v>
      </c>
      <c r="C2" s="79" t="str">
        <v>三级</v>
      </c>
      <c r="D2" s="79" t="str">
        <v>信号名称</v>
      </c>
      <c r="E2" s="79" t="str">
        <v>信号范围</v>
      </c>
      <c r="F2" s="79" t="str">
        <v>需求人</v>
      </c>
      <c r="G2" s="79" t="str">
        <v>需求提出时间</v>
      </c>
      <c r="H2" s="79" t="str">
        <v>关联需求板块</v>
      </c>
      <c r="I2" s="80" t="str">
        <v> 需求锁定版本</v>
      </c>
      <c r="J2" s="8" t="str">
        <v>校对</v>
      </c>
      <c r="K2" s="8" t="str">
        <v>指示灯样式</v>
      </c>
      <c r="L2" s="8" t="str">
        <v>备注</v>
      </c>
      <c r="M2" s="8" t="str">
        <v> </v>
      </c>
      <c r="N2" s="8" t="str">
        <v>是否确认</v>
      </c>
      <c r="O2" s="78" t="str">
        <v>需求来源</v>
      </c>
      <c r="P2" s="78" t="str">
        <v>是否为可控原子能力状态</v>
      </c>
    </row>
    <row r="3" spans="1:16">
      <c r="A3" s="12" t="str">
        <v>一、车辆运动与底盘域</v>
      </c>
      <c r="B3" s="12" t="str">
        <v>1.1 基础驾驶状态</v>
      </c>
      <c r="C3" s="12" t="str">
        <v>驾驶模式实际状态</v>
      </c>
      <c r="D3" s="12" t="str">
        <v>整车_驾驶模式实际状态</v>
      </c>
      <c r="E3" s="12" t="str">
        <v>节能/舒适/运动/个性化</v>
      </c>
      <c r="I3" s="65" t="str">
        <v>V1.0</v>
      </c>
      <c r="P3" s="12" t="str">
        <v>是 - 匹配：原子能力清单-车控@樊鹏宇：驾驶设置/驾驶模式切换</v>
      </c>
    </row>
    <row r="4" spans="3:16">
      <c r="C4" s="12" t="str">
        <v>加速模式实际状态</v>
      </c>
      <c r="D4" s="12" t="str">
        <v>整车_加速模式实际状态</v>
      </c>
      <c r="E4" s="12" t="str">
        <v>经济/舒适/运动/弹射</v>
      </c>
      <c r="I4" s="13" t="str">
        <v>V1.0</v>
      </c>
      <c r="P4" s="12" t="str">
        <v>是 - 匹配：原子能力清单-车控@樊鹏宇：驾驶设置/加速模式</v>
      </c>
    </row>
    <row r="5" spans="3:16">
      <c r="C5" s="12" t="str">
        <v>能量回收等级实际状态</v>
      </c>
      <c r="D5" s="12" t="str">
        <v>整车_能量回收等级实际状态</v>
      </c>
      <c r="E5" s="12" t="str">
        <v>弱/标准/强</v>
      </c>
      <c r="I5" s="65" t="str">
        <v>V1.0</v>
      </c>
      <c r="P5" s="12" t="str">
        <v>是 - 匹配：原子能力清单-车控@樊鹏宇：驾驶设置/能量回收</v>
      </c>
    </row>
    <row r="6" spans="3:16">
      <c r="C6" s="12" t="str">
        <v>晕车舒缓模式状态</v>
      </c>
      <c r="D6" s="12" t="str">
        <v>整车_晕车舒缓模式状态</v>
      </c>
      <c r="E6" s="12" t="str">
        <v>0=未激活, 1=激活</v>
      </c>
      <c r="I6" s="13" t="str">
        <v>V1.0</v>
      </c>
      <c r="P6" s="12" t="str">
        <v>是 - 匹配：原子能力清单-车控@樊鹏宇：驾驶设置/晕车舒缓模式</v>
      </c>
    </row>
    <row r="7" spans="3:16">
      <c r="C7" s="12" t="str">
        <v>雪地模式状态</v>
      </c>
      <c r="D7" s="12" t="str">
        <v>整车_雪地模式状态</v>
      </c>
      <c r="E7" s="12" t="str">
        <v>0=未激活, 1=激活</v>
      </c>
      <c r="I7" s="65" t="str">
        <v>V1.0</v>
      </c>
      <c r="P7" s="12" t="str">
        <v>是 - 匹配：原子能力清单-车控@樊鹏宇：驾驶设置/雪地模式</v>
      </c>
    </row>
    <row r="8" spans="3:16">
      <c r="C8" s="12" t="str">
        <v>湿滑模式状态</v>
      </c>
      <c r="D8" s="12" t="str">
        <v>整车_湿滑模式状态</v>
      </c>
      <c r="E8" s="12" t="str">
        <v>0=未激活, 1=激活</v>
      </c>
      <c r="I8" s="13" t="str">
        <v>V1.0</v>
      </c>
      <c r="P8" s="12" t="str">
        <v>是 - 匹配：原子能力清单-车控@樊鹏宇：驾驶设置/湿滑模式</v>
      </c>
    </row>
    <row r="9" spans="3:16">
      <c r="C9" s="12" t="str">
        <v>越野脱困模式</v>
      </c>
      <c r="D9" s="12" t="str">
        <v>整车_脱困模式状态</v>
      </c>
      <c r="E9" s="12" t="str">
        <v>0=未激活, 1=激活</v>
      </c>
      <c r="I9" s="65" t="str">
        <v>V1.0</v>
      </c>
      <c r="P9" s="12" t="str">
        <v>是 - 匹配：原子能力清单-车控@樊鹏宇：驾驶设置/脱困模式</v>
      </c>
    </row>
    <row r="10" spans="3:16">
      <c r="C10" s="69" t="str">
        <v>低速行人报警音状态</v>
      </c>
      <c r="D10" s="69" t="str">
        <v>整车_低速行人报警音状态</v>
      </c>
      <c r="E10" s="69" t="str">
        <v>0=关闭, 1=开启</v>
      </c>
      <c r="P10" s="69" t="str">
        <v>否 - 未在AI可控原子能力清单匹配</v>
      </c>
    </row>
    <row r="11" spans="3:16">
      <c r="C11" s="12" t="str">
        <v>减速缓行状态</v>
      </c>
      <c r="D11" s="12" t="str">
        <v>整车_减速缓行状态</v>
      </c>
      <c r="E11" s="12" t="str">
        <v>0=关闭, 1=开启</v>
      </c>
      <c r="I11" s="65" t="str">
        <v>V1.0</v>
      </c>
      <c r="P11" s="12" t="str">
        <v>是 - 匹配：原子能力清单-车控@樊鹏宇：驾驶设置/减速缓行设置</v>
      </c>
    </row>
    <row r="12" spans="3:16">
      <c r="C12" s="12" t="str">
        <v>舒适制动设置状态</v>
      </c>
      <c r="D12" s="12" t="str">
        <v>制动_舒适制动状态</v>
      </c>
      <c r="E12" s="12" t="str">
        <v>0=关闭, 1=开启</v>
      </c>
      <c r="I12" s="13" t="str">
        <v>V1.0</v>
      </c>
      <c r="P12" s="12" t="str">
        <v>是 - 匹配：原子能力清单-车控@樊鹏宇：驾驶设置/舒适制动（CST）</v>
      </c>
    </row>
    <row r="13" spans="3:16">
      <c r="C13" s="12" t="str">
        <v>AVH自动驻车设置状态</v>
      </c>
      <c r="D13" s="12" t="str">
        <v>制动_AVH自动驻车状态</v>
      </c>
      <c r="E13" s="12" t="str">
        <v>0=关闭, 1=开启</v>
      </c>
      <c r="I13" s="65" t="str">
        <v>V1.0</v>
      </c>
      <c r="P13" s="12" t="str">
        <v>是 - 匹配：原子能力清单-车控@樊鹏宇：驾驶设置/自动驻车(AVH)</v>
      </c>
    </row>
    <row r="14" spans="3:16">
      <c r="C14" s="12" t="str">
        <v>电子手刹（EPB）控制设置状态</v>
      </c>
      <c r="D14" s="12" t="str">
        <v>电子手刹（EPB）控制设置状态</v>
      </c>
      <c r="E14" s="12" t="str">
        <v>0=关闭, 1=开启</v>
      </c>
      <c r="I14" s="13" t="str">
        <v>V1.0</v>
      </c>
      <c r="O14" s="12" t="str">
        <v>张子羽</v>
      </c>
      <c r="P14" s="12" t="str">
        <v>是 - 匹配：原子能力清单-车控@樊鹏宇：驾驶设置/电子手刹（EPB）控制</v>
      </c>
    </row>
    <row r="15" spans="3:16">
      <c r="C15" s="12" t="str">
        <v>HDC陡坡缓降设置状态</v>
      </c>
      <c r="D15" s="12" t="str">
        <v>制动_HDC陡坡缓降状态</v>
      </c>
      <c r="E15" s="12" t="str">
        <v>0=关闭, 1=开启</v>
      </c>
      <c r="I15" s="65" t="str">
        <v>V1.0</v>
      </c>
      <c r="P15" s="12" t="str">
        <v>是 - 匹配：原子能力清单-车控@樊鹏宇：驾驶设置/陡坡缓降(HDC)</v>
      </c>
    </row>
    <row r="16" spans="3:16">
      <c r="C16" s="12" t="str">
        <v>拖挂模式设置状态</v>
      </c>
      <c r="D16" s="12" t="str">
        <v>整车_拖挂模式状态</v>
      </c>
      <c r="E16" s="12" t="str">
        <v>0=关闭, 1=开启</v>
      </c>
      <c r="I16" s="13" t="str">
        <v>V1.0</v>
      </c>
      <c r="P16" s="12" t="str">
        <v>是 - 匹配：原子能力清单-车控@樊鹏宇：驾驶设置/拖挂模式</v>
      </c>
    </row>
    <row r="17" spans="2:16">
      <c r="B17" s="12" t="str">
        <v>1.2 车辆基础驾驶信息</v>
      </c>
      <c r="C17" s="12" t="str">
        <v>车速</v>
      </c>
      <c r="D17" s="12" t="str">
        <v>整车_车速实际值</v>
      </c>
      <c r="E17" s="12" t="str">
        <v>0~655.35 km/h (0.01 km/bit)</v>
      </c>
      <c r="I17" s="65" t="str">
        <v>V1.0</v>
      </c>
      <c r="O17" s="12" t="str">
        <v>冯艺玮、刘多、宋凯、张子羽、朱婧雯、陈杰</v>
      </c>
      <c r="P17" s="12" t="str">
        <v>否 - 非控件/功能状态类信号</v>
      </c>
    </row>
    <row r="18" spans="3:16">
      <c r="C18" s="12" t="str">
        <v>纵向加速度</v>
      </c>
      <c r="D18" s="12" t="str">
        <v>纵向加速度</v>
      </c>
      <c r="E18" s="12" t="str">
        <v>-256~255.9921875m/s²； 分辨率待绑定</v>
      </c>
      <c r="I18" s="13" t="str">
        <v>V1.0</v>
      </c>
      <c r="O18" s="12" t="str">
        <v>朱婧雯</v>
      </c>
      <c r="P18" s="12" t="str">
        <v>否 - 非控件/功能状态类信号</v>
      </c>
    </row>
    <row r="19" spans="3:16">
      <c r="C19" s="12" t="str">
        <v>档位</v>
      </c>
      <c r="D19" s="12" t="str">
        <v>整车_档位状态</v>
      </c>
      <c r="E19" s="12" t="str">
        <v>P/R/N/D</v>
      </c>
      <c r="I19" s="65" t="str">
        <v>V1.0</v>
      </c>
      <c r="O19" s="12" t="str">
        <v>冯艺玮、刘多、宋凯、张子羽、潘伟俊</v>
      </c>
      <c r="P19" s="12" t="str">
        <v>否 - 未在AI可控原子能力清单匹配</v>
      </c>
    </row>
    <row r="20" spans="3:16">
      <c r="C20" s="12" t="str">
        <v>制动踏板状态</v>
      </c>
      <c r="D20" s="12" t="str">
        <v>制动_踏板状态</v>
      </c>
      <c r="E20" s="12" t="str">
        <v>0=释放, 1=踩下, 2=无效; 或开度0~100%</v>
      </c>
      <c r="I20" s="13" t="str">
        <v>V1.0</v>
      </c>
      <c r="O20" s="12" t="str">
        <v>朱婧雯</v>
      </c>
      <c r="P20" s="12" t="str">
        <v>否 - 未在AI可控原子能力清单匹配</v>
      </c>
    </row>
    <row r="21" spans="3:16">
      <c r="C21" s="12" t="str">
        <v>加速踏板状态</v>
      </c>
      <c r="D21" s="12" t="str">
        <v>整车_加速踏板状态</v>
      </c>
      <c r="E21" s="12" t="str">
        <v>0=释放, 1=踩下, 2=Kickdown, 3=无效; 或开度0~100%</v>
      </c>
      <c r="I21" s="65" t="str">
        <v>V1.0</v>
      </c>
      <c r="O21" s="12" t="str">
        <v>朱婧雯</v>
      </c>
      <c r="P21" s="12" t="str">
        <v>否 - 未在AI可控原子能力清单匹配</v>
      </c>
    </row>
    <row r="22" spans="3:16">
      <c r="C22" s="12" t="str">
        <v>方向盘转角</v>
      </c>
      <c r="D22" s="12" t="str">
        <v>转向_方向盘转角实际值</v>
      </c>
      <c r="E22" s="12" t="str">
        <v>-780~+779.9 deg (0.1 deg/bit);</v>
      </c>
      <c r="I22" s="13" t="str">
        <v>V1.0</v>
      </c>
      <c r="P22" s="12" t="str">
        <v>否 - 非控件/功能状态类信号</v>
      </c>
    </row>
    <row r="23" spans="3:16">
      <c r="C23" s="12" t="str">
        <v>方向盘角速度</v>
      </c>
      <c r="D23" s="12" t="str">
        <v>转向_方向盘角速度实际值</v>
      </c>
      <c r="E23" s="12" t="str">
        <v>-3276.8~+3276.7 deg/s (0.1 deg/s/bit);</v>
      </c>
      <c r="I23" s="65" t="str">
        <v>V1.0</v>
      </c>
      <c r="P23" s="12" t="str">
        <v>否 - 非控件/功能状态类信号</v>
      </c>
    </row>
    <row r="24" spans="2:16">
      <c r="B24" s="12" t="str">
        <v>1.3 碰撞与制动状态（接近于事件）</v>
      </c>
      <c r="C24" s="12" t="str">
        <v>电子手刹EPB状态</v>
      </c>
      <c r="D24" s="12" t="str">
        <v>制动_EPB状态</v>
      </c>
      <c r="E24" s="12" t="str">
        <v>0=释放, 1=施加, 2=过渡中, 3=故障; GB/T 32960</v>
      </c>
      <c r="I24" s="13" t="str">
        <v>V1.0</v>
      </c>
      <c r="O24" s="12" t="str">
        <v>张子羽</v>
      </c>
      <c r="P24" s="12" t="str">
        <v>是 - 匹配：原子能力清单-车控@樊鹏宇：驾驶设置/电子手刹（EPB）控制</v>
      </c>
    </row>
    <row r="25" spans="3:16">
      <c r="C25" s="69" t="str">
        <v>防抱死制动系统ABS激活状态</v>
      </c>
      <c r="D25" s="69" t="str">
        <v>制动_ABS激活状态</v>
      </c>
      <c r="E25" s="69" t="str">
        <v>0=未激活, 1=激活; SAE J1939 SPN 917</v>
      </c>
      <c r="P25" s="69" t="str">
        <v>否 - 未在AI可控原子能力清单匹配</v>
      </c>
    </row>
    <row r="26" spans="3:16">
      <c r="C26" s="12" t="str">
        <v>自动紧急制动AEB激活状态</v>
      </c>
      <c r="D26" s="12" t="str">
        <v>制动_AEB激活状态</v>
      </c>
      <c r="E26" s="12" t="str">
        <v>0=未激活, 1=部分制动, 2=全力制动, 3=EBA, 4=覆盖, 5=故障</v>
      </c>
      <c r="I26" s="13" t="str">
        <v>V1.0</v>
      </c>
      <c r="P26" s="12" t="str">
        <v>是 - 匹配：原子能力清单-车设@各垂域：辅助驾驶功能控制/后方紧急制动-RAEB</v>
      </c>
    </row>
    <row r="27" spans="3:16">
      <c r="C27" s="12" t="str">
        <v>舒适制动状态</v>
      </c>
      <c r="D27" s="12" t="str">
        <v>制动_舒适制动状态</v>
      </c>
      <c r="E27" s="12" t="str">
        <v>0=未激活, 1=激活, 2=故障</v>
      </c>
      <c r="I27" s="65" t="str">
        <v>V1.0</v>
      </c>
      <c r="P27" s="12" t="str">
        <v>是 - 匹配：原子能力清单-车控@樊鹏宇：驾驶设置/舒适制动（CST）</v>
      </c>
    </row>
    <row r="28" spans="3:16">
      <c r="C28" s="69" t="str">
        <v>电子稳定控制系统ESC功能故障信息</v>
      </c>
      <c r="D28" s="69" t="str">
        <v>制动_ESC故障信息</v>
      </c>
      <c r="E28" s="69" t="str">
        <v>0=无故障, 1=传感器故障, 2=阀门故障, 3=泵故障, 4=通信故障, 5=系统故障</v>
      </c>
      <c r="P28" s="69" t="str">
        <v>否 - 非控件/功能状态类信号</v>
      </c>
    </row>
    <row r="29" spans="3:16">
      <c r="C29" s="12" t="str">
        <v>电子稳定控制系统ESC激活状态</v>
      </c>
      <c r="D29" s="12" t="str">
        <v>制动_ESC激活状态</v>
      </c>
      <c r="E29" s="12" t="str">
        <v>0=未激活, 1=不足转向, 2=过度转向, 3=横摆控制, 4=扭矩矢量, 5=稳定控制</v>
      </c>
      <c r="I29" s="65" t="str">
        <v>V1.0</v>
      </c>
      <c r="P29" s="12" t="str">
        <v>是 - 匹配：原子能力清单-车控@樊鹏宇：驾驶设置/ESC模式</v>
      </c>
    </row>
    <row r="30" spans="3:16">
      <c r="C30" s="12" t="str">
        <v>AVH自动驻车状态</v>
      </c>
      <c r="D30" s="12" t="str">
        <v>制动_AVH自动驻车状态</v>
      </c>
      <c r="E30" s="12" t="str">
        <v>0=关闭, 1=待机, 2=保持中, 3=释放中, 4=故障, 5=暂时不可用</v>
      </c>
      <c r="I30" s="13" t="str">
        <v>V1.0</v>
      </c>
      <c r="P30" s="12" t="str">
        <v>是 - 匹配：原子能力清单-车控@樊鹏宇：驾驶设置/自动驻车(AVH)</v>
      </c>
    </row>
    <row r="31" spans="3:16">
      <c r="C31" s="12" t="str">
        <v>HDC陡坡缓降状态</v>
      </c>
      <c r="D31" s="12" t="str">
        <v>制动_HDC陡坡缓降状态</v>
      </c>
      <c r="E31" s="12" t="str">
        <v>0=关闭, 1=待机, 2=激活, 3=被覆盖, 4=故障, 5=暂时不可用</v>
      </c>
      <c r="I31" s="65" t="str">
        <v>V1.0</v>
      </c>
      <c r="P31" s="12" t="str">
        <v>是 - 匹配：原子能力清单-车控@樊鹏宇：驾驶设置/陡坡缓降(HDC)</v>
      </c>
    </row>
    <row r="32" spans="2:16">
      <c r="B32" s="12" t="str">
        <v>1.5a 智慧迎宾设置状态</v>
      </c>
      <c r="C32" s="12" t="str">
        <v>无感开车门设置状态</v>
      </c>
      <c r="D32" s="12" t="str">
        <v>整车_智慧迎宾无感开车门状态</v>
      </c>
      <c r="E32" s="12" t="str">
        <v>0=关闭, 1=多门无感开启(视觉), 2=UWB无感开主驾门</v>
      </c>
      <c r="I32" s="13" t="str">
        <v>V1.0</v>
      </c>
      <c r="O32" s="12" t="str">
        <v>朱婧雯</v>
      </c>
      <c r="P32" s="12" t="str">
        <v>是 - 匹配：原子能力清单-车控@樊鹏宇：遮阳帘/四车门锁开关</v>
      </c>
    </row>
    <row r="33" spans="3:16">
      <c r="C33" s="12" t="str">
        <v>无感开备箱设置状态</v>
      </c>
      <c r="D33" s="12" t="str">
        <v>整车_智慧迎宾无感开备箱状态</v>
      </c>
      <c r="E33" s="12" t="str">
        <v>0=关闭, 1=开启</v>
      </c>
      <c r="I33" s="65" t="str">
        <v>V1.0</v>
      </c>
      <c r="P33" s="12" t="str">
        <v>是 - 匹配：原子能力清单-车控@樊鹏宇：智慧迎宾设置项/无感开备箱</v>
      </c>
    </row>
    <row r="34" spans="3:16">
      <c r="C34" s="12" t="str">
        <v>窄道泊出迎宾设置状态</v>
      </c>
      <c r="D34" s="12" t="str">
        <v>整车_智慧迎宾窄道泊出状态</v>
      </c>
      <c r="E34" s="12" t="str">
        <v>0=关闭, 1=开启</v>
      </c>
      <c r="I34" s="13" t="str">
        <v>V1.0</v>
      </c>
      <c r="P34" s="12" t="str">
        <v>是 - 匹配：原子能力清单-车控@樊鹏宇：智慧迎宾设置项/窄道泊出迎宾</v>
      </c>
    </row>
    <row r="35" spans="3:16">
      <c r="C35" s="12" t="str">
        <v>主驾便捷进出设置状态</v>
      </c>
      <c r="D35" s="12" t="str">
        <v>整车_智慧迎宾主驾便捷进出状态</v>
      </c>
      <c r="E35" s="12" t="str">
        <v>0=关闭, 1=开启</v>
      </c>
      <c r="I35" s="65" t="str">
        <v>V1.0</v>
      </c>
      <c r="P35" s="12" t="str">
        <v>是 - 匹配：原子能力清单-车控@樊鹏宇：座椅调节/主驾便捷进出（主驾座椅迎宾）</v>
      </c>
    </row>
    <row r="36" spans="2:16">
      <c r="B36" s="12" t="str">
        <v>1.5b 体感控车状态</v>
      </c>
      <c r="C36" s="12" t="str">
        <v>手势开车门设置状态</v>
      </c>
      <c r="D36" s="12" t="str">
        <v>整车_手势开车门状态</v>
      </c>
      <c r="E36" s="12" t="str">
        <v>0=关闭, 1=开启</v>
      </c>
      <c r="I36" s="13" t="str">
        <v>V1.0</v>
      </c>
      <c r="O36" s="12" t="str">
        <v>朱婧雯</v>
      </c>
      <c r="P36" s="12" t="str">
        <v>是 - 匹配：原子能力清单-车控@樊鹏宇：体感控车/手势开启车门</v>
      </c>
    </row>
    <row r="37" spans="3:16">
      <c r="C37" s="12" t="str">
        <v>手势开前/后备箱设置状态</v>
      </c>
      <c r="D37" s="12" t="str">
        <v>整车_手势开前后备箱状态</v>
      </c>
      <c r="E37" s="12" t="str">
        <v>0=关闭, 1=开启</v>
      </c>
      <c r="I37" s="65" t="str">
        <v>V1.0</v>
      </c>
      <c r="P37" s="12" t="str">
        <v>是 - 匹配：原子能力清单-车控@樊鹏宇：体感控车/手势开启前后备箱</v>
      </c>
    </row>
    <row r="38" spans="3:16">
      <c r="C38" s="12" t="str">
        <v>脚踢控制前/后备箱设置状态</v>
      </c>
      <c r="D38" s="12" t="str">
        <v>整车_脚踢控制前后备箱状态</v>
      </c>
      <c r="E38" s="12" t="str">
        <v>0=关闭, 1=开启</v>
      </c>
      <c r="I38" s="13" t="str">
        <v>V1.0</v>
      </c>
      <c r="P38" s="12" t="str">
        <v>是 - 匹配：原子能力清单-车控@樊鹏宇：体感控车/脚踢开启前后备箱</v>
      </c>
    </row>
    <row r="39" spans="3:16">
      <c r="C39" s="12" t="str">
        <v>手势泊出设置状态</v>
      </c>
      <c r="D39" s="12" t="str">
        <v>手势泊出设置状态</v>
      </c>
      <c r="E39" s="12" t="str">
        <v>0=关闭, 1=开启</v>
      </c>
      <c r="I39" s="65" t="str">
        <v>V1.0</v>
      </c>
      <c r="P39" s="12" t="str">
        <v>否 - 未在AI可控原子能力清单匹配</v>
      </c>
    </row>
    <row r="40" spans="2:16">
      <c r="B40" s="12" t="str">
        <v>1.6 极限特性状态</v>
      </c>
      <c r="C40" s="12" t="str">
        <v>极致转弯设置状态</v>
      </c>
      <c r="D40" s="12" t="str">
        <v>底盘_iTurn工作状态</v>
      </c>
      <c r="E40" s="12" t="str">
        <v>0=关闭, 1=开启</v>
      </c>
      <c r="I40" s="13" t="str">
        <v>V1.0</v>
      </c>
      <c r="P40" s="12" t="str">
        <v>是 - 匹配：原子能力清单-车控@樊鹏宇：驾驶设置/极致转弯</v>
      </c>
    </row>
    <row r="41" spans="3:16">
      <c r="C41" s="12" t="str">
        <v>圆规掉头工作状态</v>
      </c>
      <c r="D41" s="12" t="str">
        <v>底盘_圆规掉头工作状态</v>
      </c>
      <c r="E41" s="12" t="str">
        <v>0=未激活, 1=待机, 2=执行中, 3=已完成, 4=中止, 5=故障</v>
      </c>
      <c r="I41" s="65" t="str">
        <v>V1.0</v>
      </c>
      <c r="P41" s="12" t="str">
        <v>是 - 匹配：原子能力清单-车控@樊鹏宇：AVM/圆规掉头</v>
      </c>
    </row>
    <row r="42" spans="2:16">
      <c r="B42" s="69" t="str">
        <v>1.7 空气悬架状态</v>
      </c>
      <c r="C42" s="69" t="str">
        <v>空气悬架模式实际状态</v>
      </c>
      <c r="D42" s="69" t="str">
        <v>悬架_模式实际状态</v>
      </c>
      <c r="E42" s="69" t="str">
        <v>最高，高，标准，低，最低</v>
      </c>
      <c r="L42" s="60" t="str">
        <v>备注空气悬架</v>
      </c>
      <c r="N42" s="60" t="str">
        <v>是</v>
      </c>
      <c r="P42" s="69" t="str">
        <v>否 - 未在AI可控原子能力清单匹配</v>
      </c>
    </row>
    <row r="43" spans="3:16">
      <c r="C43" s="69" t="str">
        <v>整车上升下降状态</v>
      </c>
      <c r="D43" s="69" t="str">
        <v>整车_升降状态</v>
      </c>
      <c r="E43" s="69" t="str">
        <v>上升、下降、完成三种状态，映射关系未知（拓普供应商的软件）</v>
      </c>
      <c r="N43" s="60" t="str">
        <v>是</v>
      </c>
      <c r="P43" s="69" t="str">
        <v>否 - 未在AI可控原子能力清单匹配</v>
      </c>
    </row>
    <row r="44" spans="3:16">
      <c r="C44" s="13" t="str">
        <v>空气悬架维修模式状态</v>
      </c>
      <c r="D44" s="12" t="str">
        <v>悬架_维修模式状态</v>
      </c>
      <c r="E44" s="12" t="str">
        <v>0=未激活, 1=激活</v>
      </c>
      <c r="I44" s="13" t="str">
        <v>V1.0</v>
      </c>
      <c r="N44" s="14" t="str">
        <v>是</v>
      </c>
      <c r="P44" s="12" t="str">
        <v>是 - 匹配：原子能力清单-车控@樊鹏宇：悬架/悬架维修模式</v>
      </c>
    </row>
    <row r="45" spans="3:16">
      <c r="C45" s="13" t="str">
        <v>轻松载物状态</v>
      </c>
      <c r="D45" s="12" t="str">
        <v>悬架_轻松载物状态</v>
      </c>
      <c r="E45" s="12" t="str">
        <v>0=未激活, 1=激活</v>
      </c>
      <c r="I45" s="65" t="str">
        <v>V1.0</v>
      </c>
      <c r="N45" s="14" t="str">
        <v>是</v>
      </c>
      <c r="P45" s="12" t="str">
        <v>是 - 匹配：原子能力清单-车控@樊鹏宇：悬架/轻松载物</v>
      </c>
    </row>
    <row r="46" spans="2:16">
      <c r="B46" s="12" t="str">
        <v>1.8 转向状态</v>
      </c>
      <c r="C46" s="12" t="str">
        <v>转向助力状态</v>
      </c>
      <c r="D46" s="12" t="str">
        <v>转向_助力状态</v>
      </c>
      <c r="E46" s="13" t="str">
        <v>舒适/标准/运动</v>
      </c>
      <c r="I46" s="13" t="str">
        <v>V1.0</v>
      </c>
      <c r="P46" s="12" t="str">
        <v>是 - 匹配：原子能力清单-底盘@李大军：转向/助力转向手感调节</v>
      </c>
    </row>
    <row r="47" spans="1:16">
      <c r="A47" s="12" t="str">
        <v>二、动力/能量管理域</v>
      </c>
      <c r="B47" s="12" t="str">
        <v>2.1 充放电状态</v>
      </c>
      <c r="C47" s="3" t="str">
        <v>高压上下电状态</v>
      </c>
      <c r="D47" s="3" t="str">
        <v>高压上下电状态</v>
      </c>
      <c r="E47" s="3" t="str">
        <v>0x0:高压下电状态
0x1:高压上电状态
0xFF:无效值</v>
      </c>
      <c r="I47" s="65" t="str">
        <v>V1.0</v>
      </c>
      <c r="M47" s="14" t="inlineStr">
        <is>
          <r>
            <t>@刘多</t>
          </r>
        </is>
      </c>
      <c r="N47" s="14" t="str">
        <v>是</v>
      </c>
      <c r="P47" s="25" t="str">
        <v>否 - 未在AI可控原子能力清单匹配</v>
      </c>
    </row>
    <row r="48" spans="3:16">
      <c r="C48" s="12" t="str">
        <v>充电枪连接状态</v>
      </c>
      <c r="D48" s="12" t="str">
        <v>电池_充电枪连接状态</v>
      </c>
      <c r="E48" s="12" t="str">
        <v>0=未连接, 1=连接, 2=连接中(未锁止)</v>
      </c>
      <c r="I48" s="13" t="str">
        <v>V1.0</v>
      </c>
      <c r="O48" s="12" t="str">
        <v>张子羽</v>
      </c>
      <c r="P48" s="12" t="str">
        <v>否 - 非控件/功能状态类信号</v>
      </c>
    </row>
    <row r="49" spans="3:16">
      <c r="C49" s="69" t="str">
        <v>充电类型</v>
      </c>
      <c r="D49" s="69" t="str">
        <v>电池_充电类型</v>
      </c>
      <c r="E49" s="69" t="str">
        <v>0=未充电, 1=直流快充(DC), 2=交流慢充(AC), 3=无线充电, 4=超级快充</v>
      </c>
      <c r="M49" s="60" t="inlineStr">
        <is>
          <r>
            <t>@刘多</t>
          </r>
        </is>
      </c>
      <c r="N49" s="60" t="str">
        <v>是</v>
      </c>
      <c r="P49" s="69" t="str">
        <v>否 - 非控件/功能状态类信号</v>
      </c>
    </row>
    <row r="50" spans="3:16">
      <c r="C50" s="12" t="str">
        <v>充电状态</v>
      </c>
      <c r="D50" s="12" t="str">
        <v>电池_充电状态</v>
      </c>
      <c r="E50" s="12" t="str">
        <v>0=未充电, 1=充电中, 2=充电完成, 3=充电故障, 4=充电暂停, 5=预充中, 6=均衡充</v>
      </c>
      <c r="I50" s="13" t="str">
        <v>V1.0</v>
      </c>
      <c r="M50" s="14" t="inlineStr">
        <is>
          <r>
            <t>@刘多</t>
          </r>
        </is>
      </c>
      <c r="N50" s="14" t="str">
        <v>是</v>
      </c>
      <c r="O50" s="12" t="str">
        <v>刘多、张子羽</v>
      </c>
      <c r="P50" s="12" t="str">
        <v>是 - 匹配：原子能力清单-车设@各垂域：能量设置页面/充电状态与控制设置页</v>
      </c>
    </row>
    <row r="51" spans="3:16">
      <c r="C51" s="12" t="str">
        <v>充电剩余时长</v>
      </c>
      <c r="D51" s="12" t="str">
        <v>电池_充电剩余时长值</v>
      </c>
      <c r="E51" s="12" t="str">
        <v>0~65535 min, 分辨率1 min</v>
      </c>
      <c r="I51" s="65" t="str">
        <v>V1.0</v>
      </c>
      <c r="M51" s="14" t="inlineStr">
        <is>
          <r>
            <t>@刘多</t>
          </r>
        </is>
      </c>
      <c r="N51" s="14" t="str">
        <v>是</v>
      </c>
      <c r="O51" s="12" t="str">
        <v>刘多</v>
      </c>
      <c r="P51" s="12" t="str">
        <v>否 - 非控件/功能状态类信号</v>
      </c>
    </row>
    <row r="52" spans="3:16">
      <c r="C52" s="12" t="str">
        <v>放电状态</v>
      </c>
      <c r="D52" s="12" t="str">
        <v>电池_放电状态</v>
      </c>
      <c r="E52" s="12" t="str">
        <v>0=未放电, 1=放电中(驱动), 2=对外放电(V2L/V2V), 3=回收制动放电, 4=放电暂停</v>
      </c>
      <c r="I52" s="13" t="str">
        <v>V1.0</v>
      </c>
      <c r="M52" s="14" t="inlineStr">
        <is>
          <r>
            <t>@刘多</t>
          </r>
        </is>
      </c>
      <c r="N52" s="14" t="str">
        <v>是</v>
      </c>
      <c r="P52" s="12" t="str">
        <v>是 - 匹配：原子能力清单-车设@各垂域：能量设置页面/放电状态与控制设置页</v>
      </c>
    </row>
    <row r="53" spans="3:16">
      <c r="C53" s="69" t="str">
        <v>实时充放电功率</v>
      </c>
      <c r="D53" s="69" t="str">
        <v>电池_实时充放电功率值</v>
      </c>
      <c r="E53" s="69" t="str">
        <v>-327.68~327.67 kW, 分辨率0.01 kW, 正值=充电, 负值=放电</v>
      </c>
      <c r="M53" s="60" t="inlineStr">
        <is>
          <r>
            <t>@刘多</t>
          </r>
        </is>
      </c>
      <c r="N53" s="60" t="str">
        <v>是</v>
      </c>
      <c r="P53" s="69" t="str">
        <v>否 - 非控件/功能状态类信号</v>
      </c>
    </row>
    <row r="54" spans="3:16">
      <c r="C54" s="69" t="str">
        <v>实时充放电电流</v>
      </c>
      <c r="D54" s="69" t="str">
        <v>电池_实时充放电电流值</v>
      </c>
      <c r="E54" s="69" t="str">
        <v>-327.68~327.67 A, 分辨率0.1 A, 正值=充电, 负值=放电</v>
      </c>
      <c r="M54" s="60" t="inlineStr">
        <is>
          <r>
            <t>@刘多</t>
          </r>
        </is>
      </c>
      <c r="N54" s="60" t="str">
        <v>是</v>
      </c>
      <c r="P54" s="69" t="str">
        <v>否 - 非控件/功能状态类信号</v>
      </c>
    </row>
    <row r="55" spans="3:16">
      <c r="C55" s="69" t="str">
        <v>实时充放电电流电压</v>
      </c>
      <c r="D55" s="69" t="str">
        <v>电池_实时充放电电压值</v>
      </c>
      <c r="E55" s="69" t="str">
        <v>0~6553.5 V, 分辨率0.1 V</v>
      </c>
      <c r="M55" s="60" t="inlineStr">
        <is>
          <r>
            <t>@刘多</t>
          </r>
        </is>
      </c>
      <c r="N55" s="60" t="str">
        <v>是</v>
      </c>
      <c r="P55" s="69" t="str">
        <v>否 - 非控件/功能状态类信号</v>
      </c>
    </row>
    <row r="56" spans="3:16">
      <c r="C56" s="12" t="str">
        <v>放电限值设置信息</v>
      </c>
      <c r="D56" s="12" t="str">
        <v>电池_放电功能设置</v>
      </c>
      <c r="E56" s="12" t="str">
        <v>15%-80%</v>
      </c>
      <c r="I56" s="13" t="str">
        <v>V1.0</v>
      </c>
      <c r="M56" s="14" t="inlineStr">
        <is>
          <r>
            <t>@刘多</t>
          </r>
        </is>
      </c>
      <c r="N56" s="14" t="str">
        <v>是</v>
      </c>
      <c r="P56" s="12" t="str">
        <v>是 - 匹配：原子能力清单-车设@各垂域：能量设置页面/放电管理设置页</v>
      </c>
    </row>
    <row r="57" spans="3:16">
      <c r="C57" s="12" t="str">
        <v>充电上限设置状态</v>
      </c>
      <c r="D57" s="12" t="str">
        <v>电池_充电上限设置值</v>
      </c>
      <c r="E57" s="12" t="str">
        <v>50%~100%</v>
      </c>
      <c r="I57" s="65" t="str">
        <v>V1.0</v>
      </c>
      <c r="M57" s="14" t="inlineStr">
        <is>
          <r>
            <t>@刘多</t>
          </r>
        </is>
      </c>
      <c r="N57" s="14" t="str">
        <v>是</v>
      </c>
      <c r="P57" s="12" t="str">
        <v>是 - 匹配：原子能力清单-车设@各垂域：能量功能控制/充电上限设置调节</v>
      </c>
    </row>
    <row r="58" spans="3:16">
      <c r="C58" s="12" t="str">
        <v>预约充电功能状态</v>
      </c>
      <c r="D58" s="12" t="str">
        <v>预约充电开闭按钮</v>
      </c>
      <c r="E58" s="12" t="str">
        <v>开启/关闭</v>
      </c>
      <c r="I58" s="13" t="str">
        <v>V1.0</v>
      </c>
      <c r="M58" s="14" t="inlineStr">
        <is>
          <r>
            <t>@刘多</t>
          </r>
        </is>
      </c>
      <c r="N58" s="14" t="str">
        <v>是</v>
      </c>
      <c r="P58" s="12" t="str">
        <v>是 - 匹配：原子能力清单-车设@各垂域：能量功能控制/预约充电功能控制</v>
      </c>
    </row>
    <row r="59" spans="3:16">
      <c r="C59" s="12" t="str">
        <v>预约充电设置时间设置</v>
      </c>
      <c r="D59" s="12" t="str">
        <v>时间设置</v>
      </c>
      <c r="E59" s="12" t="str">
        <v>设置时间戳</v>
      </c>
      <c r="I59" s="65" t="str">
        <v>V1.0</v>
      </c>
      <c r="M59" s="14" t="inlineStr">
        <is>
          <r>
            <t>@刘多</t>
          </r>
        </is>
      </c>
      <c r="N59" s="14" t="str">
        <v>是</v>
      </c>
      <c r="P59" s="12" t="str">
        <v>是 - 匹配：原子能力清单-车设@各垂域：能量功能控制/预约充电时间设置</v>
      </c>
    </row>
    <row r="60" spans="3:16">
      <c r="C60" s="12" t="str">
        <v>固定地点预约充电设置状态</v>
      </c>
      <c r="D60" s="12" t="str">
        <v>固定地点预约充电设置状态</v>
      </c>
      <c r="E60" s="12" t="str">
        <v>打开/关闭</v>
      </c>
      <c r="I60" s="13" t="str">
        <v>V1.0</v>
      </c>
      <c r="M60" s="14" t="inlineStr">
        <is>
          <r>
            <t>@刘多</t>
          </r>
        </is>
      </c>
      <c r="P60" s="12" t="str">
        <v>是 - 匹配：原子能力清单-车设@各垂域：能量功能控制/预约充电功能控制</v>
      </c>
    </row>
    <row r="61" spans="3:16">
      <c r="C61" s="12" t="str">
        <v>固定地点预约充电设置地点</v>
      </c>
      <c r="D61" s="12" t="str">
        <v>固定地点预约充电设置地点</v>
      </c>
      <c r="E61" s="12" t="str">
        <v>-</v>
      </c>
      <c r="I61" s="65" t="str">
        <v>V1.0</v>
      </c>
      <c r="M61" s="14" t="inlineStr">
        <is>
          <r>
            <t>@刘多</t>
          </r>
        </is>
      </c>
      <c r="P61" s="12" t="str">
        <v>是 - 匹配：原子能力清单-车设@各垂域：能量功能控制/预约充电地点设置</v>
      </c>
    </row>
    <row r="62" spans="3:16">
      <c r="C62" s="12" t="str">
        <v>固定地点预约充电设置时间</v>
      </c>
      <c r="D62" s="12" t="str">
        <v>固定地点预约充电设置时间</v>
      </c>
      <c r="E62" s="12" t="str">
        <v>设置时间戳</v>
      </c>
      <c r="I62" s="13" t="str">
        <v>V1.0</v>
      </c>
      <c r="M62" s="14" t="inlineStr">
        <is>
          <r>
            <t>@刘多</t>
          </r>
        </is>
      </c>
      <c r="P62" s="12" t="str">
        <v>是 - 匹配：原子能力清单-车设@各垂域：能量功能控制/预约充电时间设置</v>
      </c>
    </row>
    <row r="63" spans="3:16">
      <c r="C63" s="12" t="str">
        <v>离车不下电模式状态</v>
      </c>
      <c r="D63" s="12" t="str">
        <v>电池_离车不下电模式状态</v>
      </c>
      <c r="E63" s="12" t="str">
        <v>0=关闭, 1=开启</v>
      </c>
      <c r="I63" s="65" t="str">
        <v>V1.0</v>
      </c>
      <c r="M63" s="14" t="inlineStr">
        <is>
          <r>
            <t>@刘多</t>
          </r>
        </is>
      </c>
      <c r="N63" s="14" t="str">
        <v>是</v>
      </c>
      <c r="P63" s="12" t="str">
        <v>是 - 匹配：原子能力清单-车设@各垂域：情景模式/离车不下电模式</v>
      </c>
    </row>
    <row r="64" spans="3:16">
      <c r="C64" s="69" t="str">
        <v>车载电源口延时下电状态</v>
      </c>
      <c r="D64" s="69" t="str">
        <v>电池_车载电源口延时下电状态</v>
      </c>
      <c r="E64" s="69" t="str">
        <v>0=关闭, 1=开启(0~24h)</v>
      </c>
      <c r="M64" s="60" t="inlineStr">
        <is>
          <r>
            <t>@刘多</t>
          </r>
        </is>
      </c>
      <c r="N64" s="60" t="str">
        <v>是</v>
      </c>
      <c r="P64" s="69" t="str">
        <v>否 - 未在AI可控原子能力清单匹配</v>
      </c>
    </row>
    <row r="65" spans="3:16">
      <c r="C65" s="12" t="str">
        <v>220V电源开关状态</v>
      </c>
      <c r="D65" s="12" t="str">
        <v>电池_220V电源开关状态</v>
      </c>
      <c r="E65" s="12" t="str">
        <v>0=关闭, 1=开启</v>
      </c>
      <c r="I65" s="65" t="str">
        <v>V1.0</v>
      </c>
      <c r="M65" s="14" t="inlineStr">
        <is>
          <r>
            <t>@刘多</t>
          </r>
        </is>
      </c>
      <c r="N65" s="14" t="str">
        <v>是</v>
      </c>
      <c r="P65" s="12" t="str">
        <v>否 - 未在AI可控原子能力清单匹配</v>
      </c>
    </row>
    <row r="66" spans="2:9">
      <c r="B66" s="12" t="str">
        <v>增程器</v>
      </c>
      <c r="C66" s="12" t="str">
        <v>增程器状态</v>
      </c>
      <c r="D66" s="12" t="str">
        <v>增程器状态</v>
      </c>
      <c r="E66" s="12" t="str">
        <v>运行中/停止</v>
      </c>
      <c r="I66" s="13" t="str">
        <v>V1.0</v>
      </c>
    </row>
    <row r="67" spans="2:16">
      <c r="B67" s="12" t="str">
        <v>2.2 电池包状态</v>
      </c>
      <c r="C67" s="12" t="str">
        <v>电池SOC值</v>
      </c>
      <c r="D67" s="12" t="str">
        <v>电池_SOC值</v>
      </c>
      <c r="E67" s="12" t="str">
        <v>0~100%, 分辨率0.1%, 0~1000; GB/T 32960.3</v>
      </c>
      <c r="I67" s="65" t="str">
        <v>V1.0</v>
      </c>
      <c r="M67" s="14" t="inlineStr">
        <is>
          <r>
            <t>@刘多</t>
          </r>
        </is>
      </c>
      <c r="N67" s="14" t="str">
        <v>是</v>
      </c>
      <c r="O67" s="12" t="str">
        <v>刘多</v>
      </c>
      <c r="P67" s="12" t="str">
        <v>否 - 非控件/功能状态类信号</v>
      </c>
    </row>
    <row r="68" spans="3:16">
      <c r="C68" s="12" t="str">
        <v>电池温度</v>
      </c>
      <c r="D68" s="12" t="str">
        <v>电池_温度值</v>
      </c>
      <c r="E68" s="12" t="str">
        <v>-40~85 degC, 分辨率1 degC, 偏移量-40</v>
      </c>
      <c r="I68" s="13" t="str">
        <v>V1.0</v>
      </c>
      <c r="M68" s="14" t="inlineStr">
        <is>
          <r>
            <t>@刘多</t>
          </r>
        </is>
      </c>
      <c r="N68" s="14" t="str">
        <v>是</v>
      </c>
      <c r="O68" s="12" t="str">
        <v>张子羽</v>
      </c>
      <c r="P68" s="12" t="str">
        <v>否 - 非控件/功能状态类信号</v>
      </c>
    </row>
    <row r="69" spans="2:16">
      <c r="B69" s="12" t="str">
        <v>2.6 里程状态</v>
      </c>
      <c r="C69" s="12" t="str">
        <v>累计里程统计信息</v>
      </c>
      <c r="D69" s="12" t="str">
        <v>累计里程统计值</v>
      </c>
      <c r="E69" s="12" t="str">
        <v>0~999999.9 km, 分辨率0.1 km</v>
      </c>
      <c r="I69" s="65" t="str">
        <v>V1.0</v>
      </c>
      <c r="M69" s="14" t="inlineStr">
        <is>
          <r>
            <t>@刘多</t>
          </r>
        </is>
      </c>
      <c r="N69" s="14" t="str">
        <v>是</v>
      </c>
      <c r="P69" s="12" t="str">
        <v>否 - 非控件/功能状态类信号</v>
      </c>
    </row>
    <row r="70" spans="3:16">
      <c r="C70" s="12" t="str">
        <v>纯电累计里程信息</v>
      </c>
      <c r="D70" s="12" t="str">
        <v>纯电累计里程值</v>
      </c>
      <c r="E70" s="12" t="str">
        <v>0~999999.9 km, 分辨率0.1 km</v>
      </c>
      <c r="I70" s="13" t="str">
        <v>V1.0</v>
      </c>
      <c r="P70" s="12" t="str">
        <v>否 - 非控件/功能状态类信号</v>
      </c>
    </row>
    <row r="71" spans="3:16">
      <c r="C71" s="12" t="str">
        <v>燃油累计里程信息</v>
      </c>
      <c r="D71" s="12" t="str">
        <v>燃油累计里程值</v>
      </c>
      <c r="E71" s="12" t="str">
        <v>0~999999.9 km, 分辨率0.1 km</v>
      </c>
      <c r="I71" s="65" t="str">
        <v>V1.0</v>
      </c>
      <c r="P71" s="12" t="str">
        <v>否 - 非控件/功能状态类信号</v>
      </c>
    </row>
    <row r="72" spans="3:16">
      <c r="C72" s="12" t="str">
        <v>综合续航里程信息</v>
      </c>
      <c r="D72" s="12" t="str">
        <v>综合续航里程值</v>
      </c>
      <c r="E72" s="12" t="str">
        <v>0~999999.9 km, 分辨率0.1 km</v>
      </c>
      <c r="I72" s="13" t="str">
        <v>V1.0</v>
      </c>
      <c r="L72" s="14" t="str">
        <v>增加增程续航里程</v>
      </c>
      <c r="M72" s="14" t="inlineStr">
        <is>
          <r>
            <t>@刘多</t>
          </r>
        </is>
      </c>
      <c r="N72" s="14" t="str">
        <v>是</v>
      </c>
      <c r="P72" s="12" t="str">
        <v>否 - 非控件/功能状态类信号</v>
      </c>
    </row>
    <row r="73" spans="3:16">
      <c r="C73" s="12" t="str">
        <v>燃油续航里程信息</v>
      </c>
      <c r="D73" s="12" t="str">
        <v>燃油续航里程值</v>
      </c>
      <c r="E73" s="12" t="str">
        <v>0~999999.9 km, 分辨率0.1 km</v>
      </c>
      <c r="I73" s="65" t="str">
        <v>V1.0</v>
      </c>
      <c r="L73" s="14" t="str">
        <v>当前动力形式</v>
      </c>
      <c r="P73" s="12" t="str">
        <v>否 - 非控件/功能状态类信号</v>
      </c>
    </row>
    <row r="74" spans="3:16">
      <c r="C74" s="12" t="str">
        <v>纯电续航里程信息</v>
      </c>
      <c r="D74" s="12" t="str">
        <v>纯电续航里程值</v>
      </c>
      <c r="E74" s="12" t="str">
        <v>0~999999.9 km, 分辨率0.1 km</v>
      </c>
      <c r="I74" s="13" t="str">
        <v>V1.0</v>
      </c>
      <c r="P74" s="12" t="str">
        <v>否 - 非控件/功能状态类信号</v>
      </c>
    </row>
    <row r="75" spans="3:16">
      <c r="C75" s="12" t="str">
        <v>续航里程类型</v>
      </c>
      <c r="D75" s="12" t="str">
        <v>车辆模式_续航里程类型</v>
      </c>
      <c r="E75" s="12" t="str">
        <v>0=CLTC续航, 1=WLTC续航, 2=NEDC续航, 3=实际续航(动态估算)</v>
      </c>
      <c r="I75" s="65" t="str">
        <v>V1.0</v>
      </c>
      <c r="M75" s="14" t="inlineStr">
        <is>
          <r>
            <t>@刘多</t>
          </r>
        </is>
      </c>
      <c r="N75" s="14" t="str">
        <v>是</v>
      </c>
      <c r="O75" s="12" t="str">
        <v>刘多</v>
      </c>
      <c r="P75" s="12" t="str">
        <v>否 - 非控件/功能状态类信号</v>
      </c>
    </row>
    <row r="76" spans="3:16">
      <c r="C76" s="61" t="str">
        <v>充放电里程信息</v>
      </c>
      <c r="D76" s="61" t="str">
        <v>电池_充放电里程值</v>
      </c>
      <c r="E76" s="61" t="str">
        <v>0~65535 km, 分辨率1 km</v>
      </c>
      <c r="M76" s="48" t="inlineStr">
        <is>
          <r>
            <t>@刘多</t>
          </r>
        </is>
      </c>
      <c r="N76" s="48" t="str">
        <v>是</v>
      </c>
      <c r="P76" s="61" t="str">
        <v>否 - 非控件/功能状态类信号</v>
      </c>
    </row>
    <row r="77" spans="3:16">
      <c r="C77" s="12" t="str">
        <v>行驶里程(单次行程)</v>
      </c>
      <c r="D77" s="12" t="str">
        <v>车辆模式_单次行程里程值</v>
      </c>
      <c r="E77" s="12" t="str">
        <v>0~6553.5 km, 分辨率0.1 km</v>
      </c>
      <c r="I77" s="65" t="str">
        <v>V1.0</v>
      </c>
      <c r="M77" s="14" t="inlineStr">
        <is>
          <r>
            <t>@刘多</t>
          </r>
        </is>
      </c>
      <c r="N77" s="14" t="str">
        <v>是</v>
      </c>
      <c r="P77" s="12" t="str">
        <v>否 - 非控件/功能状态类信号</v>
      </c>
    </row>
    <row r="78" spans="3:16">
      <c r="C78" s="12" t="str">
        <v>持续驾驶时长</v>
      </c>
      <c r="D78" s="12" t="str">
        <v>车辆模式_持续驾驶时长值</v>
      </c>
      <c r="E78" s="12" t="str">
        <v>0~65535 min, 分辨率1 min</v>
      </c>
      <c r="I78" s="13" t="str">
        <v>V1.0</v>
      </c>
      <c r="M78" s="14" t="inlineStr">
        <is>
          <r>
            <t>@刘多</t>
          </r>
        </is>
      </c>
      <c r="N78" s="14" t="str">
        <v>是</v>
      </c>
      <c r="P78" s="12" t="str">
        <v>否 - 非控件/功能状态类信号</v>
      </c>
    </row>
    <row r="79" spans="2:16">
      <c r="B79" s="12" t="str">
        <v>2.8 能耗状态</v>
      </c>
      <c r="C79" s="12" t="str">
        <v>当前驾驶循环里程平均电耗</v>
      </c>
      <c r="D79" s="12" t="str">
        <v>平均电耗值</v>
      </c>
      <c r="E79" s="12" t="str">
        <v>0~655.35 kWh/100km, 分辨率0.01 kWh/100km</v>
      </c>
      <c r="I79" s="65" t="str">
        <v>V1.0</v>
      </c>
      <c r="M79" s="14" t="inlineStr">
        <is>
          <r>
            <t>@刘多</t>
          </r>
        </is>
      </c>
      <c r="N79" s="14" t="str">
        <v>是</v>
      </c>
      <c r="O79" s="12" t="str">
        <v>刘多、朱婧雯</v>
      </c>
      <c r="P79" s="12" t="str">
        <v>否 - 非控件/功能状态类信号</v>
      </c>
    </row>
    <row r="80" spans="3:9">
      <c r="C80" s="12" t="str">
        <v>总里程信息平均电耗</v>
      </c>
      <c r="D80" s="12" t="str">
        <v>平均电耗值</v>
      </c>
      <c r="I80" s="13" t="str">
        <v>V1.0</v>
      </c>
    </row>
    <row r="81" spans="3:16">
      <c r="C81" s="12" t="str">
        <v>平均油耗</v>
      </c>
      <c r="D81" s="12" t="str">
        <v>平均油耗值</v>
      </c>
      <c r="I81" s="65" t="str">
        <v>V1.0</v>
      </c>
      <c r="P81" s="12" t="str">
        <v>否 - 非控件/功能状态类信号</v>
      </c>
    </row>
    <row r="82" spans="3:15">
      <c r="C82" s="12" t="str">
        <v>当前还有多少电量</v>
      </c>
      <c r="D82" s="12" t="str">
        <v>目前电量</v>
      </c>
      <c r="I82" s="13" t="str">
        <v>V1.0</v>
      </c>
      <c r="O82" s="12" t="str">
        <v>赵益乐-语音查询电量</v>
      </c>
    </row>
    <row r="83" spans="3:15">
      <c r="C83" s="12" t="str">
        <v>当前还可以行驶多少里程</v>
      </c>
      <c r="D83" s="12" t="str">
        <v>可行驶里程</v>
      </c>
      <c r="I83" s="65" t="str">
        <v>V1.0</v>
      </c>
      <c r="O83" s="12" t="str">
        <v>赵益乐-语音查询里程</v>
      </c>
    </row>
    <row r="84" spans="1:16">
      <c r="A84" s="12" t="str">
        <v>三、车身域</v>
      </c>
      <c r="B84" s="12" t="str">
        <v>3.1 车门状态</v>
      </c>
      <c r="C84" s="12" t="str">
        <v>主驾车门状态</v>
      </c>
      <c r="D84" s="12" t="str">
        <v>车身_主驾车门状态</v>
      </c>
      <c r="E84" s="12" t="str">
        <v>0=关闭, 1=开启, 2=微开(0×5:WelcomeOpen), 3=运动中, 4=防夹触发，6=终止开启（Stopped）</v>
      </c>
      <c r="I84" s="13" t="str">
        <v>V1.0</v>
      </c>
      <c r="M84" s="14" t="inlineStr">
        <is>
          <r>
            <t>@张佳伟</t>
          </r>
          <r>
            <t>@宋章仪</t>
          </r>
        </is>
      </c>
      <c r="O84" s="12" t="str">
        <v>朱婧雯</v>
      </c>
      <c r="P84" s="12" t="str">
        <v>是 - 匹配：原子能力清单-车控@樊鹏宇：四门三盖/主驾车门自动关</v>
      </c>
    </row>
    <row r="85" spans="4:16">
      <c r="D85" s="12" t="str">
        <v>副驾车门状态</v>
      </c>
      <c r="E85" s="12" t="str">
        <v>0=关闭, 1=开启, 2=微开(0×5:WelcomeOpen), 3=运动中, 4=防夹触发，6=终止开启（Stopped）</v>
      </c>
      <c r="I85" s="65" t="str">
        <v>V1.0</v>
      </c>
      <c r="M85" s="14" t="inlineStr">
        <is>
          <r>
            <t>@张佳伟</t>
          </r>
          <r>
            <t>@宋章仪</t>
          </r>
        </is>
      </c>
      <c r="O85" s="12" t="str">
        <v>朱婧雯</v>
      </c>
      <c r="P85" s="12" t="str">
        <v>是 - 匹配：原子能力清单-车控@樊鹏宇：遮阳帘/四车门锁开关</v>
      </c>
    </row>
    <row r="86" spans="4:16">
      <c r="D86" s="12" t="str">
        <v>左后车门状态</v>
      </c>
      <c r="E86" s="12" t="str">
        <v>0=关闭, 1=开启, 2=微开(0×5:WelcomeOpen), 3=运动中, 4=防夹触发，6=终止开启（Stopped）</v>
      </c>
      <c r="I86" s="13" t="str">
        <v>V1.0</v>
      </c>
      <c r="M86" s="14" t="inlineStr">
        <is>
          <r>
            <t>@张佳伟</t>
          </r>
          <r>
            <t>@宋章仪</t>
          </r>
        </is>
      </c>
      <c r="O86" s="12" t="str">
        <v>朱婧雯</v>
      </c>
      <c r="P86" s="12" t="str">
        <v>是 - 匹配：原子能力清单-车控@樊鹏宇：遮阳帘/四车门锁开关</v>
      </c>
    </row>
    <row r="87" spans="4:16">
      <c r="D87" s="12" t="str">
        <v>右后车门状态</v>
      </c>
      <c r="E87" s="12" t="str">
        <v>0=关闭, 1=开启, 2=微开(0×5:WelcomeOpen), 3=运动中, 4=防夹触发，6=终止开启（Stopped）</v>
      </c>
      <c r="I87" s="65" t="str">
        <v>V1.0</v>
      </c>
      <c r="M87" s="14" t="inlineStr">
        <is>
          <r>
            <t>@张佳伟</t>
          </r>
          <r>
            <t>@宋章仪</t>
          </r>
        </is>
      </c>
      <c r="O87" s="12" t="str">
        <v>朱婧雯</v>
      </c>
      <c r="P87" s="12" t="str">
        <v>是 - 匹配：原子能力清单-车控@樊鹏宇：遮阳帘/四车门锁开关</v>
      </c>
    </row>
    <row r="88" spans="4:16">
      <c r="D88" s="61" t="str">
        <v>车身_车门功能配置</v>
      </c>
      <c r="E88" s="61" t="str">
        <v>0=无配置, 1=手动门, 2=电动门, 3=滑动门</v>
      </c>
      <c r="M88" s="48" t="inlineStr">
        <is>
          <r>
            <t>@张佳伟</t>
          </r>
        </is>
      </c>
      <c r="P88" s="61" t="str">
        <v>是 - 匹配：原子能力清单-车控@樊鹏宇：遮阳帘/四车门锁开关</v>
      </c>
    </row>
    <row r="89" spans="4:16">
      <c r="D89" s="12" t="str">
        <v>车身_主驾解锁保护状态</v>
      </c>
      <c r="E89" s="12" t="str">
        <v>0=关闭, 1=开启</v>
      </c>
      <c r="I89" s="65" t="str">
        <v>V1.0</v>
      </c>
      <c r="M89" s="14" t="inlineStr">
        <is>
          <r>
            <t>@张佳伟</t>
          </r>
        </is>
      </c>
      <c r="P89" s="12" t="str">
        <v>是 - 匹配：原子能力清单-车控@樊鹏宇：遮阳帘/主驾解锁保护</v>
      </c>
    </row>
    <row r="90" spans="4:16">
      <c r="D90" s="12" t="str">
        <v>车身_近车自动解锁状态</v>
      </c>
      <c r="E90" s="12" t="str">
        <v>0=关闭, 1=开启</v>
      </c>
      <c r="I90" s="65" t="str">
        <v>V1.0</v>
      </c>
      <c r="M90" s="14" t="inlineStr">
        <is>
          <r>
            <t>@张佳伟</t>
          </r>
        </is>
      </c>
      <c r="P90" s="12" t="str">
        <v>是 - 匹配：原子能力清单-车控@樊鹏宇：遮阳帘/近车自动解锁</v>
      </c>
    </row>
    <row r="91" spans="4:16">
      <c r="D91" s="12" t="str">
        <v>车身_离车自动闭锁状态</v>
      </c>
      <c r="E91" s="12" t="str">
        <v>0=关闭, 1=开启</v>
      </c>
      <c r="I91" s="65" t="str">
        <v>V1.0</v>
      </c>
      <c r="M91" s="14" t="inlineStr">
        <is>
          <r>
            <t>@张佳伟</t>
          </r>
        </is>
      </c>
      <c r="P91" s="12" t="str">
        <v>是 - 匹配：原子能力清单-车控@樊鹏宇：遮阳帘/离车自动闭锁</v>
      </c>
    </row>
    <row r="92" spans="4:16">
      <c r="D92" s="12" t="str">
        <v>车身_上锁提示状态</v>
      </c>
      <c r="E92" s="12" t="str">
        <v>0=关闭, 1=开启</v>
      </c>
      <c r="I92" s="65" t="str">
        <v>V1.0</v>
      </c>
      <c r="L92" s="14" t="str">
        <v>功能打开代表车锁锁住，功能关闭代表车锁解开</v>
      </c>
      <c r="M92" s="14" t="inlineStr">
        <is>
          <r>
            <t>@张佳伟</t>
          </r>
        </is>
      </c>
      <c r="P92" s="12" t="str">
        <v>否 - 未在AI可控原子能力清单匹配</v>
      </c>
    </row>
    <row r="93" spans="4:16">
      <c r="D93" s="12" t="str">
        <v>车身_儿童锁状态</v>
      </c>
      <c r="E93" s="12" t="str">
        <v>0=关闭, 1=左后开启, 2=右后开启, 3=全部开启</v>
      </c>
      <c r="I93" s="65" t="str">
        <v>V1.0</v>
      </c>
      <c r="L93" s="14" t="str">
        <v>功能打开代表车锁锁住，功能关闭代表车锁解开</v>
      </c>
      <c r="M93" s="14" t="inlineStr">
        <is>
          <r>
            <t>@张佳伟</t>
          </r>
        </is>
      </c>
      <c r="P93" s="12" t="str">
        <v>是 - 匹配：原子能力清单-车控@樊鹏宇：遮阳帘/离车自动闭锁</v>
      </c>
    </row>
    <row r="94" spans="4:16">
      <c r="D94" s="12" t="str">
        <v>车身_闭锁关遮阳帘状态</v>
      </c>
      <c r="E94" s="12" t="str">
        <v>0=关闭, 1=开启</v>
      </c>
      <c r="I94" s="65" t="str">
        <v>V1.0</v>
      </c>
      <c r="M94" s="14" t="inlineStr">
        <is>
          <r>
            <t>@张佳伟</t>
          </r>
        </is>
      </c>
      <c r="P94" s="12" t="str">
        <v>是 - 匹配：原子能力清单-车控@樊鹏宇：遮阳帘/闭锁自动关窗</v>
      </c>
    </row>
    <row r="95" spans="4:16">
      <c r="D95" s="12" t="str">
        <v>车身_闭锁自动关窗状态</v>
      </c>
      <c r="E95" s="12" t="str">
        <v>0=关闭, 1=开启</v>
      </c>
      <c r="I95" s="65" t="str">
        <v>V1.0</v>
      </c>
      <c r="M95" s="14" t="inlineStr">
        <is>
          <r>
            <t>@张佳伟</t>
          </r>
        </is>
      </c>
      <c r="P95" s="12" t="str">
        <v>是 - 匹配：原子能力清单-车控@樊鹏宇：遮阳帘/儿童锁开闭</v>
      </c>
    </row>
    <row r="96" spans="4:16">
      <c r="D96" s="12" t="str">
        <v>车身_充电口盖状态</v>
      </c>
      <c r="E96" s="12" t="str">
        <v>0=关闭, 1=开启, 2=运动中</v>
      </c>
      <c r="I96" s="65" t="str">
        <v>V1.0</v>
      </c>
      <c r="M96" s="14" t="inlineStr">
        <is>
          <r>
            <t>@张佳伟</t>
          </r>
        </is>
      </c>
      <c r="N96" s="14" t="str">
        <v>是</v>
      </c>
      <c r="P96" s="12" t="str">
        <v>是 - 匹配：原子能力清单-车控@樊鹏宇：四门三盖/充电口盖开闭</v>
      </c>
    </row>
    <row r="97" spans="4:16">
      <c r="D97" s="12" t="str">
        <v>车身_加油口盖状态</v>
      </c>
      <c r="E97" s="12" t="str">
        <v>0=关闭, 1=开启, 2=运动中</v>
      </c>
      <c r="I97" s="65" t="str">
        <v>V1.0</v>
      </c>
      <c r="P97" s="12" t="str">
        <v>否 - 未在AI可控原子能力清单匹配</v>
      </c>
    </row>
    <row r="98" spans="4:16">
      <c r="D98" s="12" t="str">
        <v>车身_前备箱状态</v>
      </c>
      <c r="E98" s="12" t="str">
        <v>0=关闭中，1=开启中，2=已关闭，3=已开启</v>
      </c>
      <c r="I98" s="65" t="str">
        <v>V1.0</v>
      </c>
      <c r="M98" s="14" t="inlineStr">
        <is>
          <r>
            <t>@张佳伟</t>
          </r>
          <r>
            <t>@宋章仪</t>
          </r>
        </is>
      </c>
      <c r="N98" s="14" t="str">
        <v>是</v>
      </c>
      <c r="P98" s="12" t="str">
        <v>是 - 匹配：原子能力清单-车控@樊鹏宇：四门三盖/前备箱开闭</v>
      </c>
    </row>
    <row r="99" spans="4:16">
      <c r="D99" s="12" t="str">
        <v>车身_后备箱状态</v>
      </c>
      <c r="E99" s="12" t="str">
        <v>0=关闭中，1=开启中，2=已关闭，3=已开启</v>
      </c>
      <c r="I99" s="65" t="str">
        <v>V1.0</v>
      </c>
      <c r="M99" s="14" t="inlineStr">
        <is>
          <r>
            <t>@张佳伟</t>
          </r>
          <r>
            <t>@宋章仪</t>
          </r>
        </is>
      </c>
      <c r="N99" s="14" t="str">
        <v>是</v>
      </c>
      <c r="P99" s="12" t="str">
        <v>是 - 匹配：原子能力清单-车控@樊鹏宇：四门三盖/后备箱开闭</v>
      </c>
    </row>
    <row r="100" spans="4:16">
      <c r="D100" s="12" t="str">
        <v>车身_后备箱开度设置高度</v>
      </c>
      <c r="E100" s="12" t="str">
        <v>50%-100%</v>
      </c>
      <c r="F100" s="13" t="str">
        <v>赵益乐</v>
      </c>
      <c r="G100" s="81">
        <v>46183</v>
      </c>
      <c r="H100" s="13" t="str">
        <v>语音基础执行</v>
      </c>
      <c r="I100" s="65" t="str">
        <v>V1.1</v>
      </c>
      <c r="L100" s="14" t="inlineStr">
        <is>
          <r>
            <t>@陈杰</t>
          </r>
          <r>
            <t>新增需求</t>
          </r>
        </is>
      </c>
      <c r="P100" s="12" t="str">
        <v>是 - 匹配：原子能力清单-车控@樊鹏宇：四门三盖/后备箱开闭</v>
      </c>
    </row>
    <row r="101" spans="4:16">
      <c r="D101" s="61" t="str">
        <v>车身_电动拖车钩状态</v>
      </c>
      <c r="E101" s="61" t="str">
        <v>0=收回, 1=展开, 2=运动中</v>
      </c>
      <c r="L101" s="48" t="str">
        <v>无配置</v>
      </c>
      <c r="P101" s="61" t="str">
        <v>否 - 未在AI可控原子能力清单匹配</v>
      </c>
    </row>
    <row r="102" spans="4:16">
      <c r="D102" s="61" t="str">
        <v>车身_门把手折叠状态</v>
      </c>
      <c r="E102" s="61" t="str">
        <v>0=展开, 1=折叠, 2=运动中, 3=故障</v>
      </c>
      <c r="M102" s="48" t="inlineStr">
        <is>
          <r>
            <t>@张佳伟</t>
          </r>
        </is>
      </c>
      <c r="P102" s="61" t="str">
        <v>否 - 未在AI可控原子能力清单匹配</v>
      </c>
    </row>
    <row r="103" spans="3:16">
      <c r="C103" s="12" t="str">
        <v>3.2 车窗状态</v>
      </c>
      <c r="D103" s="12" t="str">
        <v>车身_主驾车窗状态</v>
      </c>
      <c r="E103" s="12" t="str">
        <v>0=全关, 1=全开, 2=中间位置, 3=运动中, 4=防夹触发; 位置: 0~100%</v>
      </c>
      <c r="I103" s="65" t="str">
        <v>V1.0</v>
      </c>
      <c r="M103" s="14" t="inlineStr">
        <is>
          <r>
            <t>@张佳伟</t>
          </r>
        </is>
      </c>
      <c r="P103" s="12" t="str">
        <v>是 - 匹配：原子能力清单-车控@樊鹏宇：车窗/车窗开闭调节</v>
      </c>
    </row>
    <row r="104" spans="4:16">
      <c r="D104" s="12" t="str">
        <v>车身_副驾车窗状态</v>
      </c>
      <c r="E104" s="12" t="str">
        <v>0=全关, 1=全开, 2=中间位置, 3=运动中, 4=防夹触发; 位置: 0~100%</v>
      </c>
      <c r="I104" s="65" t="str">
        <v>V1.0</v>
      </c>
      <c r="M104" s="14" t="inlineStr">
        <is>
          <r>
            <t>@张佳伟</t>
          </r>
        </is>
      </c>
      <c r="P104" s="12" t="str">
        <v>是 - 匹配：原子能力清单-车控@樊鹏宇：车窗/车窗开闭调节</v>
      </c>
    </row>
    <row r="105" spans="4:16">
      <c r="D105" s="12" t="str">
        <v>车身_左后车窗状态</v>
      </c>
      <c r="E105" s="12" t="str">
        <v>0=全关, 1=全开, 2=中间位置, 3=运动中, 4=防夹触发; 位置: 0~100%</v>
      </c>
      <c r="I105" s="65" t="str">
        <v>V1.0</v>
      </c>
      <c r="M105" s="14" t="inlineStr">
        <is>
          <r>
            <t>@张佳伟</t>
          </r>
        </is>
      </c>
      <c r="O105" s="12" t="str">
        <v>刘凡、陈杰</v>
      </c>
      <c r="P105" s="12" t="str">
        <v>是 - 匹配：原子能力清单-车控@樊鹏宇：车窗/车窗开闭调节</v>
      </c>
    </row>
    <row r="106" spans="4:16">
      <c r="D106" s="12" t="str">
        <v>车身_右后车窗状态</v>
      </c>
      <c r="E106" s="12" t="str">
        <v>0=全关, 1=全开, 2=中间位置, 3=运动中, 4=防夹触发; 位置: 0~100%</v>
      </c>
      <c r="I106" s="65" t="str">
        <v>V1.0</v>
      </c>
      <c r="M106" s="14" t="inlineStr">
        <is>
          <r>
            <t>@张佳伟</t>
          </r>
        </is>
      </c>
      <c r="O106" s="12" t="str">
        <v>陈杰</v>
      </c>
      <c r="P106" s="12" t="str">
        <v>是 - 匹配：原子能力清单-车控@樊鹏宇：车窗/车窗开闭调节</v>
      </c>
    </row>
    <row r="107" spans="4:16">
      <c r="D107" s="61" t="str">
        <v>车身_车窗通风状态</v>
      </c>
      <c r="E107" s="61" t="str">
        <v>0=关闭, 1=开启(微开通风位)</v>
      </c>
      <c r="M107" s="48" t="inlineStr">
        <is>
          <r>
            <t>@张佳伟</t>
          </r>
        </is>
      </c>
      <c r="P107" s="61" t="str">
        <v>是 - 匹配：原子能力清单-车控@樊鹏宇：座椅调节/通风</v>
      </c>
    </row>
    <row r="108" spans="4:16">
      <c r="D108" s="12" t="str">
        <v>车身_下雨自动关窗状态</v>
      </c>
      <c r="E108" s="12" t="str">
        <v>0=关闭, 1=开启</v>
      </c>
      <c r="I108" s="65" t="str">
        <v>V1.0</v>
      </c>
      <c r="M108" s="14" t="inlineStr">
        <is>
          <r>
            <t>@张佳伟</t>
          </r>
        </is>
      </c>
      <c r="P108" s="12" t="str">
        <v>否 - 未在AI可控原子能力清单匹配</v>
      </c>
    </row>
    <row r="109" spans="3:16">
      <c r="C109" s="12" t="str">
        <v>3.3 车灯状态</v>
      </c>
      <c r="D109" s="12" t="str">
        <v>车身_大灯设置状态</v>
      </c>
      <c r="E109" s="12" t="str">
        <v>0=关闭, 1=位置灯(示廓灯), 2=近光灯, 3=自动</v>
      </c>
      <c r="I109" s="65" t="str">
        <v>V1.0</v>
      </c>
      <c r="M109" s="14" t="inlineStr">
        <is>
          <r>
            <t>@吴家鑫</t>
          </r>
        </is>
      </c>
      <c r="N109" s="14" t="str">
        <v>是</v>
      </c>
      <c r="O109" s="12" t="str">
        <v>朱婧雯</v>
      </c>
      <c r="P109" s="12" t="str">
        <v>否 - 未在AI可控原子能力清单匹配</v>
      </c>
    </row>
    <row r="110" spans="4:16">
      <c r="D110" s="12" t="str">
        <v>车身_远光灯状态</v>
      </c>
      <c r="E110" s="12" t="str">
        <v>打开/关闭</v>
      </c>
      <c r="I110" s="65" t="str">
        <v>V1.0</v>
      </c>
      <c r="M110" s="14" t="inlineStr">
        <is>
          <r>
            <t>@吴家鑫</t>
          </r>
        </is>
      </c>
      <c r="N110" s="14" t="str">
        <v>是</v>
      </c>
      <c r="O110" s="12" t="str">
        <v>朱婧雯</v>
      </c>
      <c r="P110" s="12" t="str">
        <v>是 - 匹配：原子能力清单-车控@樊鹏宇：车外灯光/自适应远光灯</v>
      </c>
    </row>
    <row r="111" spans="4:16">
      <c r="D111" s="12" t="str">
        <v>车身_近光灯状态</v>
      </c>
      <c r="E111" s="12" t="str">
        <v>打开/关闭</v>
      </c>
      <c r="I111" s="65" t="str">
        <v>V1.0</v>
      </c>
      <c r="M111" s="14" t="inlineStr">
        <is>
          <r>
            <t>@吴家鑫</t>
          </r>
        </is>
      </c>
      <c r="N111" s="14" t="str">
        <v>是</v>
      </c>
      <c r="O111" s="12" t="str">
        <v>朱婧雯</v>
      </c>
      <c r="P111" s="12" t="str">
        <v>是 - 匹配：原子能力清单-车控@樊鹏宇：车外灯光/近光灯控制</v>
      </c>
    </row>
    <row r="112" spans="4:16">
      <c r="D112" s="12" t="str">
        <v>车身_转向灯状态</v>
      </c>
      <c r="E112" s="12" t="str">
        <v>打开/关闭</v>
      </c>
      <c r="I112" s="65" t="str">
        <v>V1.0</v>
      </c>
      <c r="M112" s="14" t="inlineStr">
        <is>
          <r>
            <t>@吴家鑫</t>
          </r>
        </is>
      </c>
      <c r="N112" s="14" t="str">
        <v>是</v>
      </c>
      <c r="P112" s="12" t="str">
        <v>否 - 未在AI可控原子能力清单匹配</v>
      </c>
    </row>
    <row r="113" spans="4:16">
      <c r="D113" s="12" t="str">
        <v>后雾灯状态</v>
      </c>
      <c r="E113" s="12" t="str">
        <v>打开/关闭</v>
      </c>
      <c r="I113" s="65" t="str">
        <v>V1.0</v>
      </c>
      <c r="M113" s="14" t="inlineStr">
        <is>
          <r>
            <t>@吴家鑫</t>
          </r>
        </is>
      </c>
      <c r="N113" s="14" t="str">
        <v>是</v>
      </c>
      <c r="P113" s="12" t="str">
        <v>是 - 匹配：原子能力清单-车控@樊鹏宇：车外灯光/后雾灯</v>
      </c>
    </row>
    <row r="114" spans="4:16">
      <c r="D114" s="12" t="str">
        <v>自适应远光灯开关设置</v>
      </c>
      <c r="E114" s="12" t="str">
        <v>打开/关闭</v>
      </c>
      <c r="I114" s="65" t="str">
        <v>V1.0</v>
      </c>
      <c r="M114" s="14" t="inlineStr">
        <is>
          <r>
            <t>@吴家鑫</t>
          </r>
        </is>
      </c>
      <c r="N114" s="14" t="str">
        <v>是</v>
      </c>
      <c r="P114" s="12" t="str">
        <v>是 - 匹配：原子能力清单-车控@樊鹏宇：车外灯光/自适应远光灯</v>
      </c>
    </row>
    <row r="115" spans="4:16">
      <c r="D115" s="12" t="str">
        <v>车身_伴我回家设置状态</v>
      </c>
      <c r="E115" s="12" t="str">
        <v>0=关闭, 1=15秒, 2=30秒, 3=60秒</v>
      </c>
      <c r="I115" s="65" t="str">
        <v>V1.0</v>
      </c>
      <c r="M115" s="14" t="inlineStr">
        <is>
          <r>
            <t>@吴家鑫</t>
          </r>
        </is>
      </c>
      <c r="N115" s="14" t="str">
        <v>是</v>
      </c>
      <c r="P115" s="12" t="str">
        <v>是 - 匹配：原子能力清单-车控@樊鹏宇：车外灯光/伴我回家-相对值调节</v>
      </c>
    </row>
    <row r="116" spans="4:16">
      <c r="D116" s="12" t="str">
        <v>车身_ADS灯开关设置状态</v>
      </c>
      <c r="E116" s="12" t="str">
        <v>0=关闭, 1=开启</v>
      </c>
      <c r="I116" s="65" t="str">
        <v>V1.0</v>
      </c>
      <c r="M116" s="14" t="inlineStr">
        <is>
          <r>
            <t>@吴家鑫</t>
          </r>
        </is>
      </c>
      <c r="N116" s="14" t="str">
        <v>是</v>
      </c>
      <c r="P116" s="12" t="str">
        <v>是 - 匹配：原子能力清单-车控@樊鹏宇：车外灯光/ADS灯</v>
      </c>
    </row>
    <row r="117" spans="4:16">
      <c r="D117" s="12" t="str">
        <v>车身_ADS灯状态</v>
      </c>
      <c r="E117" s="12" t="str">
        <v>0=关闭, 1=开启</v>
      </c>
      <c r="I117" s="65" t="str">
        <v>V1.0</v>
      </c>
      <c r="M117" s="14" t="inlineStr">
        <is>
          <r>
            <t>@吴家鑫</t>
          </r>
        </is>
      </c>
      <c r="N117" s="14" t="str">
        <v>是</v>
      </c>
      <c r="P117" s="12" t="str">
        <v>是 - 匹配：原子能力清单-车控@樊鹏宇：车外灯光/ADS灯</v>
      </c>
    </row>
    <row r="118" spans="4:16">
      <c r="D118" s="12" t="str">
        <v>车身_后视镜迎宾Logo灯状态</v>
      </c>
      <c r="E118" s="12" t="str">
        <v>0=关闭, 1=开启</v>
      </c>
      <c r="I118" s="65" t="str">
        <v>V1.0</v>
      </c>
      <c r="M118" s="14" t="inlineStr">
        <is>
          <r>
            <t>@吴家鑫</t>
          </r>
        </is>
      </c>
      <c r="N118" s="14" t="str">
        <v>是</v>
      </c>
      <c r="P118" s="12" t="str">
        <v>是 - 匹配：原子能力清单-车控@樊鹏宇：logo灯/logo灯设置</v>
      </c>
    </row>
    <row r="119" spans="4:16">
      <c r="D119" s="12" t="str">
        <v>车身_氛围灯开关状态</v>
      </c>
      <c r="E119" s="12" t="str">
        <v>0=关闭, 1=开启</v>
      </c>
      <c r="I119" s="65" t="str">
        <v>V1.0</v>
      </c>
      <c r="M119" s="14" t="inlineStr">
        <is>
          <r>
            <t>@吴家鑫</t>
          </r>
        </is>
      </c>
      <c r="N119" s="14" t="str">
        <v>是</v>
      </c>
      <c r="O119" s="12" t="str">
        <v>冯艺玮、陈杰</v>
      </c>
      <c r="P119" s="12" t="str">
        <v>是 - 匹配：原子能力清单-车控@樊鹏宇：车内灯/氛围灯控制</v>
      </c>
    </row>
    <row r="120" spans="4:16">
      <c r="D120" s="12" t="str">
        <v>车身_氛围灯亮度</v>
      </c>
      <c r="E120" s="12" t="str">
        <v>亮度: 0~100%</v>
      </c>
      <c r="I120" s="65" t="str">
        <v>V1.0</v>
      </c>
      <c r="M120" s="14" t="inlineStr">
        <is>
          <r>
            <t>@吴家鑫</t>
          </r>
        </is>
      </c>
      <c r="N120" s="14" t="str">
        <v>是</v>
      </c>
      <c r="O120" s="12" t="str">
        <v>冯艺玮、陈杰</v>
      </c>
      <c r="P120" s="12" t="str">
        <v>是 - 匹配：原子能力清单-车控@樊鹏宇：车内灯/氛围灯亮度-相对值</v>
      </c>
    </row>
    <row r="121" spans="4:16">
      <c r="D121" s="12" t="str">
        <v>氛围灯颜色</v>
      </c>
      <c r="E121" s="12" t="str">
        <v>RGB: 0~255;</v>
      </c>
      <c r="I121" s="65" t="str">
        <v>V1.0</v>
      </c>
      <c r="M121" s="14" t="inlineStr">
        <is>
          <r>
            <t>@吴家鑫</t>
          </r>
        </is>
      </c>
      <c r="N121" s="14" t="str">
        <v>是</v>
      </c>
      <c r="O121" s="12" t="str">
        <v>冯艺玮、陈杰</v>
      </c>
      <c r="P121" s="12" t="str">
        <v>是 - 匹配：原子能力清单-车控@樊鹏宇：车内灯/氛围灯颜色调节</v>
      </c>
    </row>
    <row r="122" spans="4:16">
      <c r="D122" s="12" t="str">
        <v>氛围灯灯效设置状态</v>
      </c>
      <c r="E122" s="12" t="str">
        <v>静态/呼吸闪烁/流水动效/音乐律动</v>
      </c>
      <c r="I122" s="65" t="str">
        <v>V1.0</v>
      </c>
      <c r="M122" s="14" t="inlineStr">
        <is>
          <r>
            <t>@吴家鑫</t>
          </r>
        </is>
      </c>
      <c r="N122" s="14" t="str">
        <v>是</v>
      </c>
      <c r="P122" s="12" t="str">
        <v>是 - 匹配：原子能力清单-车控@樊鹏宇：车内灯/氛围灯灯效调节</v>
      </c>
    </row>
    <row r="123" spans="4:16">
      <c r="D123" s="12" t="str">
        <v>车身_氛围灯呼吸频率</v>
      </c>
      <c r="E123" s="12" t="str">
        <v>0=快, 1=中, 2=慢</v>
      </c>
      <c r="I123" s="65" t="str">
        <v>V1.0</v>
      </c>
      <c r="M123" s="14" t="inlineStr">
        <is>
          <r>
            <t>@吴家鑫</t>
          </r>
        </is>
      </c>
      <c r="N123" s="14" t="str">
        <v>是</v>
      </c>
      <c r="P123" s="12" t="str">
        <v>是 - 匹配：原子能力清单-车控@樊鹏宇：车内灯/氛围灯呼吸频率选择</v>
      </c>
    </row>
    <row r="124" spans="4:16">
      <c r="D124" s="12" t="str">
        <v>氛围灯主题模式</v>
      </c>
      <c r="E124" s="12" t="str">
        <v>0，1，2，3</v>
      </c>
      <c r="I124" s="65" t="str">
        <v>V1.0</v>
      </c>
      <c r="M124" s="14" t="inlineStr">
        <is>
          <r>
            <t>@吴家鑫</t>
          </r>
        </is>
      </c>
      <c r="N124" s="14" t="str">
        <v>是</v>
      </c>
      <c r="P124" s="12" t="str">
        <v>是 - 匹配：原子能力清单-车控@樊鹏宇：车内灯/氛围灯主题选择</v>
      </c>
    </row>
    <row r="125" spans="4:16">
      <c r="D125" s="12" t="str">
        <v>氛围灯场景灯效联动状态</v>
      </c>
      <c r="E125" s="12" t="str">
        <v>开门预警/后向来车预警/充电特效/驾驶模式切换/迎宾灯语/语音交互/小憩模式/电竞模式/影院模式/全民K歌/想唱就唱/纪念日打招呼/温感空间（极速制冷/极速制热）/行车主动服务</v>
      </c>
      <c r="I125" s="65" t="str">
        <v>V1.0</v>
      </c>
      <c r="M125" s="14" t="inlineStr">
        <is>
          <r>
            <t>@吴家鑫</t>
          </r>
        </is>
      </c>
      <c r="N125" s="14" t="str">
        <v>是</v>
      </c>
      <c r="P125" s="12" t="str">
        <v>是 - 匹配：原子能力清单-车控@樊鹏宇：车内灯/氛围灯控制</v>
      </c>
    </row>
    <row r="126" spans="4:16">
      <c r="D126" s="12" t="str">
        <v>车身_ISD交互灯主题设置状态</v>
      </c>
      <c r="E126" s="12" t="str">
        <v>0，1，2，3，4</v>
      </c>
      <c r="I126" s="65" t="str">
        <v>V1.0</v>
      </c>
      <c r="M126" s="14" t="inlineStr">
        <is>
          <r>
            <t>@吴家鑫</t>
          </r>
        </is>
      </c>
      <c r="N126" s="14" t="str">
        <v>是</v>
      </c>
      <c r="P126" s="12" t="str">
        <v>是 - 匹配：原子能力清单-车控@樊鹏宇：ISD灯光——灵眸大灯/ISD开关</v>
      </c>
    </row>
    <row r="127" spans="4:16">
      <c r="D127" s="12" t="str">
        <v>车身_ISD交互灯联动场景状态</v>
      </c>
      <c r="E127" s="12" t="str">
        <v>迎宾空间/充电联动/语音交互/哨兵模式/AI展销（TBD）</v>
      </c>
      <c r="I127" s="65" t="str">
        <v>V1.0</v>
      </c>
      <c r="M127" s="14" t="inlineStr">
        <is>
          <r>
            <t>@吴家鑫</t>
          </r>
        </is>
      </c>
      <c r="N127" s="14" t="str">
        <v>是</v>
      </c>
      <c r="P127" s="12" t="str">
        <v>是 - 匹配：原子能力清单-车控@樊鹏宇：ISD灯光——灵眸大灯/ISD开关</v>
      </c>
    </row>
    <row r="128" spans="4:16">
      <c r="D128" s="12" t="str">
        <v>ISD交互灯迎宾联动设置</v>
      </c>
      <c r="E128" s="12" t="str">
        <v>打开/关闭</v>
      </c>
      <c r="I128" s="65" t="str">
        <v>V1.0</v>
      </c>
      <c r="M128" s="14" t="inlineStr">
        <is>
          <r>
            <t>@吴家鑫</t>
          </r>
        </is>
      </c>
      <c r="N128" s="14" t="str">
        <v>是</v>
      </c>
      <c r="P128" s="12" t="str">
        <v>是 - 匹配：原子能力清单-车控@樊鹏宇：ISD灯光——灵眸大灯/ISD开关</v>
      </c>
    </row>
    <row r="129" spans="4:16">
      <c r="D129" s="12" t="str">
        <v>ISD交互灯充电联动设置</v>
      </c>
      <c r="E129" s="12" t="str">
        <v>打开/关闭</v>
      </c>
      <c r="I129" s="65" t="str">
        <v>V1.0</v>
      </c>
      <c r="M129" s="14" t="inlineStr">
        <is>
          <r>
            <t>@吴家鑫</t>
          </r>
        </is>
      </c>
      <c r="N129" s="14" t="str">
        <v>是</v>
      </c>
      <c r="P129" s="12" t="str">
        <v>是 - 匹配：原子能力清单-车控@樊鹏宇：ISD灯光——灵眸大灯/ISD开关</v>
      </c>
    </row>
    <row r="130" spans="4:16">
      <c r="D130" s="12" t="str">
        <v>ISD交互灯语音交互设置</v>
      </c>
      <c r="E130" s="12" t="str">
        <v>打开/关闭</v>
      </c>
      <c r="I130" s="65" t="str">
        <v>V1.0</v>
      </c>
      <c r="M130" s="14" t="inlineStr">
        <is>
          <r>
            <t>@吴家鑫</t>
          </r>
        </is>
      </c>
      <c r="N130" s="14" t="str">
        <v>是</v>
      </c>
      <c r="P130" s="12" t="str">
        <v>是 - 匹配：原子能力清单-车控@樊鹏宇：ISD灯光——灵眸大灯/ISD灯语-语音交互灯语</v>
      </c>
    </row>
    <row r="131" spans="4:16">
      <c r="D131" s="12" t="str">
        <v>后尾logo灯开关设置</v>
      </c>
      <c r="E131" s="12" t="str">
        <v>开启/关闭/跟随位置灯</v>
      </c>
      <c r="I131" s="65" t="str">
        <v>V1.0</v>
      </c>
      <c r="M131" s="14" t="inlineStr">
        <is>
          <r>
            <t>@吴家鑫</t>
          </r>
        </is>
      </c>
      <c r="N131" s="14" t="str">
        <v>是</v>
      </c>
      <c r="P131" s="12" t="str">
        <v>是 - 匹配：原子能力清单-车控@樊鹏宇：logo灯/logo灯设置</v>
      </c>
    </row>
    <row r="132" spans="4:16">
      <c r="D132" s="12" t="str">
        <v>车身_logo灯状态</v>
      </c>
      <c r="E132" s="12" t="str">
        <v>0=关闭, 1=开启</v>
      </c>
      <c r="I132" s="65" t="str">
        <v>V1.0</v>
      </c>
      <c r="M132" s="14" t="inlineStr">
        <is>
          <r>
            <t>@吴家鑫</t>
          </r>
        </is>
      </c>
      <c r="N132" s="14" t="str">
        <v>是</v>
      </c>
      <c r="P132" s="12" t="str">
        <v>是 - 匹配：原子能力清单-车控@樊鹏宇：logo灯/logo灯设置</v>
      </c>
    </row>
    <row r="133" spans="3:16">
      <c r="C133" s="12" t="str">
        <v>3.3b DVR状态</v>
      </c>
      <c r="D133" s="12" t="str">
        <v>车身_DVR应用状态</v>
      </c>
      <c r="E133" s="12" t="str">
        <v>0=关闭, 1=开启</v>
      </c>
      <c r="I133" s="65" t="str">
        <v>V1.0</v>
      </c>
      <c r="M133" s="14" t="inlineStr">
        <is>
          <r>
            <t>@刘凡</t>
          </r>
        </is>
      </c>
      <c r="N133" s="14" t="str">
        <v>是</v>
      </c>
      <c r="P133" s="12" t="str">
        <v>是 - 匹配：原子能力清单-车控@樊鹏宇：DVR/设置循环录像</v>
      </c>
    </row>
    <row r="134" spans="4:16">
      <c r="D134" s="12" t="str">
        <v>车身_DVR循环录像状态</v>
      </c>
      <c r="E134" s="12" t="str">
        <v>0=关闭, 1=开启</v>
      </c>
      <c r="I134" s="65" t="str">
        <v>V1.0</v>
      </c>
      <c r="M134" s="14" t="inlineStr">
        <is>
          <r>
            <t>@刘凡</t>
          </r>
        </is>
      </c>
      <c r="N134" s="14" t="str">
        <v>是</v>
      </c>
      <c r="P134" s="12" t="str">
        <v>是 - 匹配：原子能力清单-车控@樊鹏宇：DVR/设置循环录像</v>
      </c>
    </row>
    <row r="135" spans="4:16">
      <c r="D135" s="12" t="str">
        <v>车身_DVR录像录音状态</v>
      </c>
      <c r="E135" s="12" t="str">
        <v>0=关闭, 1=开启</v>
      </c>
      <c r="I135" s="65" t="str">
        <v>V1.0</v>
      </c>
      <c r="M135" s="14" t="inlineStr">
        <is>
          <r>
            <t>@刘凡</t>
          </r>
        </is>
      </c>
      <c r="N135" s="14" t="str">
        <v>是</v>
      </c>
      <c r="P135" s="12" t="str">
        <v>是 - 匹配：原子能力清单-车控@樊鹏宇：DVR/设置循环录像</v>
      </c>
    </row>
    <row r="136" spans="3:16">
      <c r="C136" s="12" t="str">
        <v>3.3c 智能后视状态</v>
      </c>
      <c r="D136" s="12" t="str">
        <v>智能后视设置状态</v>
      </c>
      <c r="E136" s="12" t="str">
        <v>0=关闭, 1=开启</v>
      </c>
      <c r="I136" s="65" t="str">
        <v>V1.0</v>
      </c>
      <c r="M136" s="14" t="inlineStr">
        <is>
          <r>
            <t>@刘凡</t>
          </r>
        </is>
      </c>
      <c r="N136" s="14" t="str">
        <v>是</v>
      </c>
      <c r="P136" s="12" t="str">
        <v>是 - 匹配：原子能力清单-车控@樊鹏宇：外后视镜/智能后视</v>
      </c>
    </row>
    <row r="137" spans="4:16">
      <c r="D137" s="12" t="str">
        <v>车身_智能后视应用状态</v>
      </c>
      <c r="E137" s="12" t="str">
        <v>0=关闭, 1=开启</v>
      </c>
      <c r="I137" s="65" t="str">
        <v>V1.0</v>
      </c>
      <c r="M137" s="14" t="inlineStr">
        <is>
          <r>
            <t>@刘凡</t>
          </r>
        </is>
      </c>
      <c r="N137" s="14" t="str">
        <v>是</v>
      </c>
      <c r="P137" s="12" t="str">
        <v>是 - 匹配：原子能力清单-车控@樊鹏宇：外后视镜/智能后视</v>
      </c>
    </row>
    <row r="138" spans="3:16">
      <c r="C138" s="12" t="str">
        <v>3.4 内灯状态</v>
      </c>
      <c r="D138" s="12" t="str">
        <v>车身_阅读灯运行状态</v>
      </c>
      <c r="E138" s="12" t="str">
        <v>位置：主驾/副驾/左后/右后; 状态：打开/关闭</v>
      </c>
      <c r="I138" s="65" t="str">
        <v>V1.0</v>
      </c>
      <c r="M138" s="14" t="inlineStr">
        <is>
          <r>
            <t>@吴家鑫</t>
          </r>
        </is>
      </c>
      <c r="N138" s="14" t="str">
        <v>是</v>
      </c>
      <c r="O138" s="12" t="str">
        <v>樊鹏宇</v>
      </c>
      <c r="P138" s="12" t="str">
        <v>是 - 匹配：原子能力清单-车控@樊鹏宇：车内灯/指定阅读灯开启</v>
      </c>
    </row>
    <row r="139" spans="4:16">
      <c r="D139" s="12" t="str">
        <v>车身_门控顶灯状态</v>
      </c>
      <c r="E139" s="12" t="str">
        <v>0=关闭, 1=开启</v>
      </c>
      <c r="I139" s="65" t="str">
        <v>V1.0</v>
      </c>
      <c r="M139" s="14" t="inlineStr">
        <is>
          <r>
            <t>@吴家鑫</t>
          </r>
        </is>
      </c>
      <c r="N139" s="14" t="str">
        <v>是</v>
      </c>
      <c r="P139" s="12" t="str">
        <v>是 - 匹配：原子能力清单-车控@樊鹏宇：车内灯/门控顶灯</v>
      </c>
    </row>
    <row r="140" ht="101" customHeight="1" spans="3:16">
      <c r="C140" s="12" t="str">
        <v>3.5 胎压监测状态</v>
      </c>
      <c r="D140" s="12" t="str">
        <v>左前轮胎状态异常</v>
      </c>
      <c r="E140" s="14" t="str">
        <v>指示灯（黄色）+弹窗+车模轮胎显示</v>
      </c>
      <c r="I140" s="65" t="str">
        <v>V1.0</v>
      </c>
      <c r="K140" s="14"/>
      <c r="M140" s="14" t="inlineStr">
        <is>
          <r>
            <t>@刘凡</t>
          </r>
        </is>
      </c>
      <c r="N140" s="14" t="str">
        <v>是</v>
      </c>
      <c r="P140" s="14" t="str">
        <v>否 - 未在AI可控原子能力清单匹配</v>
      </c>
    </row>
    <row r="141" spans="4:16">
      <c r="D141" s="12" t="str">
        <v>左前轮胎胎压</v>
      </c>
      <c r="E141" s="28" t="str">
        <v>101Kpa-354Kpa</v>
      </c>
      <c r="I141" s="65" t="str">
        <v>V1.0</v>
      </c>
      <c r="M141" s="14" t="inlineStr">
        <is>
          <r>
            <t>@刘凡</t>
          </r>
        </is>
      </c>
      <c r="N141" s="14" t="str">
        <v>是</v>
      </c>
      <c r="P141" s="14" t="str">
        <v>否 - 非控件/功能状态类信号</v>
      </c>
    </row>
    <row r="142" ht="101" customHeight="1" spans="4:16">
      <c r="D142" s="12" t="str">
        <v>右前轮胎状态异常</v>
      </c>
      <c r="E142" s="14" t="str">
        <v>指示灯（黄色）+弹窗+车模轮胎显示</v>
      </c>
      <c r="I142" s="65" t="str">
        <v>V1.0</v>
      </c>
      <c r="K142" s="14"/>
      <c r="M142" s="14" t="inlineStr">
        <is>
          <r>
            <t>@刘凡</t>
          </r>
        </is>
      </c>
      <c r="N142" s="14" t="str">
        <v>是</v>
      </c>
      <c r="P142" s="14" t="str">
        <v>否 - 未在AI可控原子能力清单匹配</v>
      </c>
    </row>
    <row r="143" spans="4:16">
      <c r="D143" s="12" t="str">
        <v>右前轮胎胎压</v>
      </c>
      <c r="E143" s="28" t="str">
        <v>101Kpa-354Kpa</v>
      </c>
      <c r="I143" s="65" t="str">
        <v>V1.0</v>
      </c>
      <c r="M143" s="14" t="inlineStr">
        <is>
          <r>
            <t>@刘凡</t>
          </r>
        </is>
      </c>
      <c r="N143" s="14" t="str">
        <v>是</v>
      </c>
      <c r="P143" s="14" t="str">
        <v>否 - 非控件/功能状态类信号</v>
      </c>
    </row>
    <row r="144" ht="101" customHeight="1" spans="4:16">
      <c r="D144" s="12" t="str">
        <v>左后轮胎状态异常</v>
      </c>
      <c r="E144" s="14" t="str">
        <v>指示灯（黄色）+弹窗+车模轮胎显示</v>
      </c>
      <c r="I144" s="65" t="str">
        <v>V1.0</v>
      </c>
      <c r="K144" s="14"/>
      <c r="M144" s="14" t="inlineStr">
        <is>
          <r>
            <t>@刘凡</t>
          </r>
        </is>
      </c>
      <c r="N144" s="14" t="str">
        <v>是</v>
      </c>
      <c r="P144" s="14" t="str">
        <v>否 - 未在AI可控原子能力清单匹配</v>
      </c>
    </row>
    <row r="145" spans="4:16">
      <c r="D145" s="12" t="str">
        <v>左后轮胎胎压</v>
      </c>
      <c r="E145" s="28" t="str">
        <v>101Kpa-354Kpa</v>
      </c>
      <c r="I145" s="65" t="str">
        <v>V1.0</v>
      </c>
      <c r="M145" s="14" t="inlineStr">
        <is>
          <r>
            <t>@刘凡</t>
          </r>
        </is>
      </c>
      <c r="N145" s="14" t="str">
        <v>是</v>
      </c>
      <c r="P145" s="14" t="str">
        <v>否 - 非控件/功能状态类信号</v>
      </c>
    </row>
    <row r="146" ht="101" customHeight="1" spans="4:16">
      <c r="D146" s="12" t="str">
        <v>右轮胎状态异常</v>
      </c>
      <c r="E146" s="14" t="str">
        <v>指示灯（黄色）+弹窗+车模轮胎显示</v>
      </c>
      <c r="I146" s="65" t="str">
        <v>V1.0</v>
      </c>
      <c r="K146" s="14"/>
      <c r="M146" s="14" t="inlineStr">
        <is>
          <r>
            <t>@刘凡</t>
          </r>
        </is>
      </c>
      <c r="N146" s="14" t="str">
        <v>是</v>
      </c>
      <c r="P146" s="14" t="str">
        <v>否 - 未在AI可控原子能力清单匹配</v>
      </c>
    </row>
    <row r="147" spans="4:16">
      <c r="D147" s="12" t="str">
        <v>右后轮胎胎压</v>
      </c>
      <c r="E147" s="28" t="str">
        <v>101Kpa-354Kpa</v>
      </c>
      <c r="I147" s="65" t="str">
        <v>V1.0</v>
      </c>
      <c r="M147" s="14" t="inlineStr">
        <is>
          <r>
            <t>@刘凡</t>
          </r>
        </is>
      </c>
      <c r="N147" s="14" t="str">
        <v>是</v>
      </c>
      <c r="P147" s="14" t="str">
        <v>否 - 非控件/功能状态类信号</v>
      </c>
    </row>
    <row r="148" spans="3:16">
      <c r="C148" s="12" t="str">
        <v>3.6 雨量光照状态</v>
      </c>
      <c r="D148" s="12" t="str">
        <v>左侧光强信息</v>
      </c>
      <c r="E148" s="12" t="str">
        <v>w/㎡</v>
      </c>
      <c r="I148" s="65" t="str">
        <v>V1.0</v>
      </c>
      <c r="M148" s="14" t="inlineStr">
        <is>
          <r>
            <t>@陈杰</t>
          </r>
        </is>
      </c>
      <c r="N148" s="14" t="str">
        <v>是</v>
      </c>
      <c r="P148" s="12" t="str">
        <v>否 - 未在AI可控原子能力清单匹配</v>
      </c>
    </row>
    <row r="149" spans="4:16">
      <c r="D149" s="12" t="str">
        <v>右侧光强信息</v>
      </c>
      <c r="E149" s="12" t="str">
        <v>w/㎡</v>
      </c>
      <c r="I149" s="65" t="str">
        <v>V1.0</v>
      </c>
      <c r="M149" s="14" t="inlineStr">
        <is>
          <r>
            <t>@陈杰</t>
          </r>
        </is>
      </c>
      <c r="N149" s="14" t="str">
        <v>是</v>
      </c>
      <c r="P149" s="12" t="str">
        <v>否 - 非控件/功能状态类信号</v>
      </c>
    </row>
    <row r="150" spans="4:16">
      <c r="D150" s="12" t="str">
        <v>雨量等级</v>
      </c>
      <c r="E150" s="12" t="str">
        <v>0-13</v>
      </c>
      <c r="I150" s="65" t="str">
        <v>V1.0</v>
      </c>
      <c r="M150" s="14" t="inlineStr">
        <is>
          <r>
            <t>@陈杰</t>
          </r>
        </is>
      </c>
      <c r="N150" s="14" t="str">
        <v>是</v>
      </c>
      <c r="O150" s="12" t="str">
        <v>冯艺玮</v>
      </c>
      <c r="P150" s="12" t="str">
        <v>否 - 非控件/功能状态类信号</v>
      </c>
    </row>
    <row r="151" spans="4:16">
      <c r="D151" s="12" t="str">
        <v>玻璃温度</v>
      </c>
      <c r="E151" s="12" t="str">
        <v>℃</v>
      </c>
      <c r="I151" s="65" t="str">
        <v>V1.0</v>
      </c>
      <c r="M151" s="14" t="inlineStr">
        <is>
          <r>
            <t>@陈杰</t>
          </r>
        </is>
      </c>
      <c r="N151" s="14" t="str">
        <v>是</v>
      </c>
      <c r="O151" s="12" t="str">
        <v>陈杰</v>
      </c>
      <c r="P151" s="12" t="str">
        <v>否 - 非控件/功能状态类信号</v>
      </c>
    </row>
    <row r="152" spans="4:16">
      <c r="D152" s="12" t="str">
        <v>露点温度</v>
      </c>
      <c r="E152" s="12" t="str">
        <v>℃</v>
      </c>
      <c r="I152" s="65" t="str">
        <v>V1.0</v>
      </c>
      <c r="M152" s="14" t="inlineStr">
        <is>
          <r>
            <t>@陈杰</t>
          </r>
        </is>
      </c>
      <c r="N152" s="14" t="str">
        <v>是</v>
      </c>
      <c r="O152" s="12" t="str">
        <v>陈杰</v>
      </c>
      <c r="P152" s="12" t="str">
        <v>否 - 非控件/功能状态类信号</v>
      </c>
    </row>
    <row r="153" spans="4:16">
      <c r="D153" s="12" t="str">
        <v>车外温度</v>
      </c>
      <c r="E153" s="12" t="str">
        <v>℃</v>
      </c>
      <c r="I153" s="65" t="str">
        <v>V1.0</v>
      </c>
      <c r="M153" s="14" t="inlineStr">
        <is>
          <r>
            <t>@陈杰</t>
          </r>
          <r>
            <t>@宋章仪</t>
          </r>
        </is>
      </c>
      <c r="N153" s="14" t="str">
        <v>是</v>
      </c>
      <c r="O153" s="12" t="str">
        <v>陈杰</v>
      </c>
      <c r="P153" s="12" t="str">
        <v>否 - 非控件/功能状态类信号</v>
      </c>
    </row>
    <row r="154" spans="4:16">
      <c r="D154" s="12" t="str">
        <v>车内温度</v>
      </c>
      <c r="E154" s="12" t="str">
        <v>℃</v>
      </c>
      <c r="I154" s="65" t="str">
        <v>V1.0</v>
      </c>
      <c r="M154" s="14" t="inlineStr">
        <is>
          <r>
            <t>@陈杰</t>
          </r>
        </is>
      </c>
      <c r="N154" s="14" t="str">
        <v>是</v>
      </c>
      <c r="O154" s="12" t="str">
        <v>冯艺玮、陈杰</v>
      </c>
      <c r="P154" s="12" t="str">
        <v>否 - 非控件/功能状态类信号</v>
      </c>
    </row>
    <row r="155" spans="4:16">
      <c r="D155" s="12" t="str">
        <v>车内湿度</v>
      </c>
      <c r="E155" s="12" t="str">
        <v>0~100 %RH</v>
      </c>
      <c r="I155" s="65" t="str">
        <v>V1.0</v>
      </c>
      <c r="M155" s="14" t="inlineStr">
        <is>
          <r>
            <t>@陈杰</t>
          </r>
        </is>
      </c>
      <c r="N155" s="14" t="str">
        <v>是</v>
      </c>
      <c r="O155" s="12" t="str">
        <v>陈杰</v>
      </c>
      <c r="P155" s="12" t="str">
        <v>否 - 非控件/功能状态类信号</v>
      </c>
    </row>
    <row r="156" spans="3:16">
      <c r="C156" s="12" t="str">
        <v>3.8 车身防盗状态</v>
      </c>
      <c r="D156" s="12" t="str">
        <v>近车自动解锁设置</v>
      </c>
      <c r="E156" s="12" t="str">
        <v>打开/关闭</v>
      </c>
      <c r="I156" s="65" t="str">
        <v>V1.0</v>
      </c>
      <c r="M156" s="14" t="inlineStr">
        <is>
          <r>
            <t>@宋章仪</t>
          </r>
        </is>
      </c>
      <c r="P156" s="12" t="str">
        <v>是 - 匹配：原子能力清单-车控@樊鹏宇：遮阳帘/近车自动解锁</v>
      </c>
    </row>
    <row r="157" spans="4:16">
      <c r="D157" s="12" t="str">
        <v>离车自动闭锁设置</v>
      </c>
      <c r="E157" s="12" t="str">
        <v>打开/关闭</v>
      </c>
      <c r="I157" s="65" t="str">
        <v>V1.0</v>
      </c>
      <c r="M157" s="14" t="inlineStr">
        <is>
          <r>
            <t>@宋章仪</t>
          </r>
        </is>
      </c>
      <c r="P157" s="12" t="str">
        <v>是 - 匹配：原子能力清单-车控@樊鹏宇：遮阳帘/离车自动闭锁</v>
      </c>
    </row>
    <row r="158" spans="4:16">
      <c r="D158" s="12" t="str">
        <v>车身_闭锁提示音状态</v>
      </c>
      <c r="E158" s="12" t="str">
        <v>0=关闭, 1=开启/预设</v>
      </c>
      <c r="I158" s="65" t="str">
        <v>V1.0</v>
      </c>
      <c r="M158" s="14" t="inlineStr">
        <is>
          <r>
            <t>@宋章仪</t>
          </r>
        </is>
      </c>
      <c r="P158" s="12" t="str">
        <v>是 - 匹配：原子能力清单-车设@各垂域：声音功能控制/闭锁提示音</v>
      </c>
    </row>
    <row r="159" spans="3:16">
      <c r="C159" s="12" t="str">
        <v>3.9 安全带/安全气囊状态</v>
      </c>
      <c r="D159" s="12" t="str">
        <v>主驾安全带状态</v>
      </c>
      <c r="E159" s="12" t="str">
        <v>0=未系, 1=已系, 2=故障, 3=未配置</v>
      </c>
      <c r="I159" s="65" t="str">
        <v>V1.0</v>
      </c>
      <c r="M159" s="14" t="inlineStr">
        <is>
          <r>
            <t>@宋章仪</t>
          </r>
        </is>
      </c>
      <c r="P159" s="12" t="str">
        <v>是 - 匹配：原子能力清单-车设@各垂域：声音功能控制/后座安全带未坐提示</v>
      </c>
    </row>
    <row r="160" spans="4:16">
      <c r="D160" s="12" t="str">
        <v>副驾安全带状态</v>
      </c>
      <c r="E160" s="12" t="str">
        <v>0=未系, 1=已系, 2=故障, 3=未配置</v>
      </c>
      <c r="I160" s="65" t="str">
        <v>V1.0</v>
      </c>
      <c r="M160" s="14" t="inlineStr">
        <is>
          <r>
            <t>@宋章仪</t>
          </r>
        </is>
      </c>
      <c r="P160" s="12" t="str">
        <v>是 - 匹配：原子能力清单-车设@各垂域：声音功能控制/后座安全带未坐提示</v>
      </c>
    </row>
    <row r="161" spans="4:16">
      <c r="D161" s="12" t="str">
        <v>主驾后侧安全带状态</v>
      </c>
      <c r="E161" s="12" t="str">
        <v>0=未系, 1=已系, 2=故障, 3=未配置</v>
      </c>
      <c r="I161" s="65" t="str">
        <v>V1.0</v>
      </c>
      <c r="M161" s="14" t="inlineStr">
        <is>
          <r>
            <t>@宋章仪</t>
          </r>
        </is>
      </c>
      <c r="P161" s="12" t="str">
        <v>否 - 未在AI可控原子能力清单匹配</v>
      </c>
    </row>
    <row r="162" spans="4:16">
      <c r="D162" s="12" t="str">
        <v>副驾后侧安全带状态</v>
      </c>
      <c r="E162" s="12" t="str">
        <v>0=未系, 1=已系, 2=故障, 3=未配置</v>
      </c>
      <c r="I162" s="65" t="str">
        <v>V1.0</v>
      </c>
      <c r="M162" s="14" t="inlineStr">
        <is>
          <r>
            <t>@宋章仪</t>
          </r>
        </is>
      </c>
      <c r="P162" s="12" t="str">
        <v>否 - 未在AI可控原子能力清单匹配</v>
      </c>
    </row>
    <row r="163" spans="4:16">
      <c r="D163" s="12" t="str">
        <v>后排中间安全带状态</v>
      </c>
      <c r="E163" s="12" t="str">
        <v>0=未系, 1=已系, 2=故障, 3=未配置</v>
      </c>
      <c r="I163" s="65" t="str">
        <v>V1.0</v>
      </c>
      <c r="M163" s="14" t="inlineStr">
        <is>
          <r>
            <t>@宋章仪</t>
          </r>
        </is>
      </c>
      <c r="P163" s="12" t="str">
        <v>否 - 未在AI可控原子能力清单匹配</v>
      </c>
    </row>
    <row r="164" spans="4:16">
      <c r="D164" s="12" t="str">
        <v>车身_后排安全带未系提醒状态</v>
      </c>
      <c r="E164" s="12" t="str">
        <v>0=关闭, 1=开启</v>
      </c>
      <c r="I164" s="65" t="str">
        <v>V1.0</v>
      </c>
      <c r="M164" s="14" t="inlineStr">
        <is>
          <r>
            <t>@宋章仪</t>
          </r>
        </is>
      </c>
      <c r="P164" s="12" t="str">
        <v>否 - 未在AI可控原子能力清单匹配</v>
      </c>
    </row>
    <row r="165" spans="3:16">
      <c r="C165" s="12" t="str">
        <v>3.10 后视镜状态</v>
      </c>
      <c r="D165" s="12" t="str">
        <v>左侧后视镜位置</v>
      </c>
      <c r="E165" s="12" t="str">
        <v>上下档位；左右档位</v>
      </c>
      <c r="I165" s="65" t="str">
        <v>V1.0</v>
      </c>
      <c r="M165" s="14" t="inlineStr">
        <is>
          <r>
            <t>@张佳伟</t>
          </r>
        </is>
      </c>
      <c r="P165" s="12" t="str">
        <v>是 - 匹配：原子能力清单-车控@樊鹏宇：外后视镜/外后视镜角度调节-相对值调节</v>
      </c>
    </row>
    <row r="166" spans="4:16">
      <c r="D166" s="12" t="str">
        <v>右侧后视镜位置</v>
      </c>
      <c r="E166" s="12" t="str">
        <v>上下档位；左右档位</v>
      </c>
      <c r="I166" s="65" t="str">
        <v>V1.0</v>
      </c>
      <c r="M166" s="14" t="inlineStr">
        <is>
          <r>
            <t>@张佳伟</t>
          </r>
        </is>
      </c>
      <c r="P166" s="12" t="str">
        <v>是 - 匹配：原子能力清单-车控@樊鹏宇：外后视镜/外后视镜角度调节-相对值调节</v>
      </c>
    </row>
    <row r="167" spans="4:16">
      <c r="D167" s="12" t="str">
        <v>后视镜折叠状态</v>
      </c>
      <c r="E167" s="12" t="str">
        <v>0=展开, 1=折叠, 2=运动中, 3=故障</v>
      </c>
      <c r="I167" s="65" t="str">
        <v>V1.0</v>
      </c>
      <c r="M167" s="14" t="inlineStr">
        <is>
          <r>
            <t>@张佳伟</t>
          </r>
        </is>
      </c>
      <c r="P167" s="12" t="str">
        <v>是 - 匹配：原子能力清单-车控@樊鹏宇：外后视镜/外后视镜展开折叠</v>
      </c>
    </row>
    <row r="168" spans="4:16">
      <c r="D168" s="12" t="str">
        <v>后视镜加热状态</v>
      </c>
      <c r="E168" s="12" t="str">
        <v>打开/关闭</v>
      </c>
      <c r="I168" s="65" t="str">
        <v>V1.0</v>
      </c>
      <c r="M168" s="14" t="inlineStr">
        <is>
          <r>
            <t>@张佳伟</t>
          </r>
        </is>
      </c>
      <c r="P168" s="12" t="str">
        <v>是 - 匹配：原子能力清单-车控@樊鹏宇：外后视镜/外后视镜加热</v>
      </c>
    </row>
    <row r="169" spans="3:16">
      <c r="C169" s="50" t="str">
        <v>3.11 天窗/遮阳帘状态</v>
      </c>
      <c r="D169" s="61" t="str">
        <v>车身_天窗状态</v>
      </c>
      <c r="E169" s="61" t="str">
        <v>状态: 0=全关, 1=全开, 2=翘起, 3=运动中, 4=防夹触发, 5=故障; 位置: 0~100%</v>
      </c>
      <c r="M169" s="48" t="inlineStr">
        <is>
          <r>
            <t>@张佳伟</t>
          </r>
        </is>
      </c>
      <c r="P169" s="61" t="str">
        <v>是 - 匹配：原子能力清单-车控@樊鹏宇：遮阳帘/暂停</v>
      </c>
    </row>
    <row r="170" spans="4:16">
      <c r="D170" s="12" t="str">
        <v>车身_遮阳帘状态</v>
      </c>
      <c r="E170" s="12" t="str">
        <v>状态: 0=全关, 1=全开, 2=运动中, 3=防夹触发, 4=故障; 位置: 0~100%</v>
      </c>
      <c r="I170" s="65" t="str">
        <v>V1.0</v>
      </c>
      <c r="M170" s="14" t="inlineStr">
        <is>
          <r>
            <t>@张佳伟</t>
          </r>
        </is>
      </c>
      <c r="P170" s="12" t="str">
        <v>是 - 匹配：原子能力清单-车控@樊鹏宇：遮阳帘/暂停</v>
      </c>
    </row>
    <row r="171" spans="3:16">
      <c r="C171" s="12" t="str">
        <v>3.12 雨刮状态</v>
      </c>
      <c r="D171" s="12" t="str">
        <v>车身_雨刮运行状态</v>
      </c>
      <c r="E171" s="12" t="str">
        <v>状态: 0=停止, 1=间歇, 2=低速, 3=高速, 4=维修位, 5=故障</v>
      </c>
      <c r="I171" s="65" t="str">
        <v>V1.0</v>
      </c>
      <c r="M171" s="14" t="str">
        <v>@张佳伟@宋章仪</v>
      </c>
      <c r="O171" s="12" t="str">
        <v>樊鹏宇</v>
      </c>
      <c r="P171" s="12" t="str">
        <v>是 - 匹配：原子能力清单-车控@樊鹏宇：前雨刮/雨刮灵敏度调节-相对值调节</v>
      </c>
    </row>
    <row r="172" spans="4:16">
      <c r="D172" s="12" t="str">
        <v>车身_雨刮档位状态</v>
      </c>
      <c r="E172" s="12" t="str">
        <v>0=手动, 1=自动
</v>
      </c>
      <c r="I172" s="65" t="str">
        <v>V1.0</v>
      </c>
      <c r="O172" s="12" t="str">
        <v>潘伟俊</v>
      </c>
      <c r="P172" s="12" t="str">
        <v>是 - 匹配：原子能力清单-车控@樊鹏宇：前雨刮/雨刮灵敏度调节-相对值调节</v>
      </c>
    </row>
    <row r="173" spans="3:16">
      <c r="C173" s="12" t="str">
        <v>3.13 喇叭状态</v>
      </c>
      <c r="D173" s="12" t="str">
        <v>车身_喇叭状态</v>
      </c>
      <c r="E173" s="12" t="str">
        <v>状态: 0=未按下, 1=按下; 故障: 0=无故障, 1=短路, 2=断路, 3=过流</v>
      </c>
      <c r="I173" s="65" t="str">
        <v>V1.0</v>
      </c>
      <c r="M173" s="14" t="inlineStr">
        <is>
          <r>
            <t>@张佳伟</t>
          </r>
        </is>
      </c>
      <c r="P173" s="12" t="str">
        <v>否 - 未在AI可控原子能力清单匹配</v>
      </c>
    </row>
    <row r="174" spans="4:9">
      <c r="D174" s="12" t="str">
        <v>车身_喇叭按下时长</v>
      </c>
      <c r="E174" s="12" t="str">
        <v>多少s</v>
      </c>
      <c r="I174" s="65" t="str">
        <v>V1.0</v>
      </c>
    </row>
    <row r="175" spans="3:16">
      <c r="C175" s="12" t="str">
        <v>3.14 方向盘状态</v>
      </c>
      <c r="D175" s="12" t="str">
        <v>方向盘位置</v>
      </c>
      <c r="E175" s="12" t="str">
        <v>高低档位；上下档位</v>
      </c>
      <c r="I175" s="65" t="str">
        <v>V1.0</v>
      </c>
      <c r="M175" s="14" t="inlineStr">
        <is>
          <r>
            <t>@张佳伟</t>
          </r>
        </is>
      </c>
      <c r="P175" s="12" t="str">
        <v>是 - 匹配：原子能力清单-车控@樊鹏宇：方向盘调节/前后-相对值调节</v>
      </c>
    </row>
    <row r="176" spans="4:16">
      <c r="D176" s="12" t="str">
        <v>方向盘加热状态</v>
      </c>
      <c r="E176" s="12" t="str">
        <v>打开/关闭</v>
      </c>
      <c r="I176" s="65" t="str">
        <v>V1.0</v>
      </c>
      <c r="M176" s="14" t="inlineStr">
        <is>
          <r>
            <t>@樊鹏宇</t>
          </r>
        </is>
      </c>
      <c r="N176" s="14" t="str">
        <v>是</v>
      </c>
      <c r="O176" s="12" t="str">
        <v>陈杰</v>
      </c>
      <c r="P176" s="12" t="str">
        <v>是 - 匹配：原子能力清单-车控@樊鹏宇：方向盘调节/加热</v>
      </c>
    </row>
    <row r="177" spans="4:16">
      <c r="D177" s="12" t="str">
        <v>方向盘脱手状态检测</v>
      </c>
      <c r="E177" s="12" t="str">
        <v>是/否</v>
      </c>
      <c r="I177" s="65" t="str">
        <v>V1.0</v>
      </c>
      <c r="P177" s="12" t="str">
        <v>是 - 匹配：原子能力清单-车设@各垂域：辅助驾驶功能控制/脱手检测设置</v>
      </c>
    </row>
    <row r="178" spans="4:16">
      <c r="D178" s="12" t="str">
        <v>方向盘脱手时长</v>
      </c>
      <c r="E178" s="12" t="str">
        <v>min</v>
      </c>
      <c r="I178" s="65" t="str">
        <v>V1.0</v>
      </c>
      <c r="P178" s="12" t="str">
        <v>否 - 非控件/功能状态类信号</v>
      </c>
    </row>
    <row r="179" spans="3:16">
      <c r="C179" s="12" t="str">
        <v>3.15 座椅状态</v>
      </c>
      <c r="D179" s="12" t="str">
        <v>主驾座椅占位状态</v>
      </c>
      <c r="E179" s="12" t="str">
        <v>0=Initial
1=Free
2=Occupied
3=Invalid</v>
      </c>
      <c r="I179" s="65" t="str">
        <v>V1.0</v>
      </c>
      <c r="M179" s="14" t="inlineStr">
        <is>
          <r>
            <t>@宋章仪</t>
          </r>
        </is>
      </c>
      <c r="P179" s="12" t="str">
        <v>否 - 非控件/功能状态类信号</v>
      </c>
    </row>
    <row r="180" spans="4:16">
      <c r="D180" s="12" t="str">
        <v>副驾座椅占位状态</v>
      </c>
      <c r="E180" s="12" t="str">
        <v>0=Initial
1=Free
2=Occupied
4=Invalid</v>
      </c>
      <c r="I180" s="65" t="str">
        <v>V1.0</v>
      </c>
      <c r="M180" s="14" t="inlineStr">
        <is>
          <r>
            <t>@宋章仪</t>
          </r>
        </is>
      </c>
      <c r="P180" s="12" t="str">
        <v>否 - 非控件/功能状态类信号</v>
      </c>
    </row>
    <row r="181" spans="4:16">
      <c r="D181" s="12" t="str">
        <v>主驾后侧座椅占位状态</v>
      </c>
      <c r="E181" s="12" t="str">
        <v>0=Initial
1=Free
2=Occupied
3=Invalid</v>
      </c>
      <c r="I181" s="65" t="str">
        <v>V1.0</v>
      </c>
      <c r="O181" s="12" t="str">
        <v>张子羽</v>
      </c>
      <c r="P181" s="12" t="str">
        <v>否 - 非控件/功能状态类信号</v>
      </c>
    </row>
    <row r="182" spans="4:16">
      <c r="D182" s="12" t="str">
        <v>副驾后侧座椅占位状态</v>
      </c>
      <c r="E182" s="12" t="str">
        <v>0=Initial
1=Free
2=Occupied
3=Invalid</v>
      </c>
      <c r="I182" s="65" t="str">
        <v>V1.0</v>
      </c>
      <c r="O182" s="12" t="str">
        <v>张子羽</v>
      </c>
      <c r="P182" s="12" t="str">
        <v>否 - 非控件/功能状态类信号</v>
      </c>
    </row>
    <row r="183" spans="4:16">
      <c r="D183" s="12" t="str">
        <v>后排中座椅占位状态</v>
      </c>
      <c r="E183" s="12" t="str">
        <v>0=Initial
1=Free
2=Occupied
4=Invalid</v>
      </c>
      <c r="I183" s="65" t="str">
        <v>V1.0</v>
      </c>
      <c r="P183" s="12" t="str">
        <v>否 - 非控件/功能状态类信号</v>
      </c>
    </row>
    <row r="184" spans="4:16">
      <c r="D184" s="12" t="str">
        <v>车身_主驾座椅前后位置值</v>
      </c>
      <c r="E184" s="12" t="str">
        <v>0~100%; 距离: 0~464mm</v>
      </c>
      <c r="I184" s="65" t="str">
        <v>V1.0</v>
      </c>
      <c r="M184" s="14" t="inlineStr">
        <is>
          <r>
            <t>@樊鹏宇</t>
          </r>
        </is>
      </c>
      <c r="N184" s="14" t="str">
        <v>是</v>
      </c>
      <c r="P184" s="12" t="str">
        <v>是 - 匹配：原子能力清单-车控@樊鹏宇：座椅调节/前排座椅前后位置调节-相对值调节</v>
      </c>
    </row>
    <row r="185" spans="4:16">
      <c r="D185" s="12" t="str">
        <v>车身_主驾座椅高度位置值</v>
      </c>
      <c r="E185" s="12" t="str">
        <v>0~100%</v>
      </c>
      <c r="I185" s="65" t="str">
        <v>V1.0</v>
      </c>
      <c r="M185" s="14" t="inlineStr">
        <is>
          <r>
            <t>@樊鹏宇</t>
          </r>
        </is>
      </c>
      <c r="N185" s="14" t="str">
        <v>是</v>
      </c>
      <c r="P185" s="12" t="str">
        <v>是 - 匹配：原子能力清单-车控@樊鹏宇：座椅调节/前排座椅高度调节-相对值调节</v>
      </c>
    </row>
    <row r="186" spans="4:16">
      <c r="D186" s="12" t="str">
        <v>车身_主驾座椅靠背角度值</v>
      </c>
      <c r="E186" s="12" t="str">
        <v>90~180°</v>
      </c>
      <c r="I186" s="65" t="str">
        <v>V1.0</v>
      </c>
      <c r="M186" s="14" t="inlineStr">
        <is>
          <r>
            <t>@樊鹏宇</t>
          </r>
        </is>
      </c>
      <c r="N186" s="14" t="str">
        <v>是</v>
      </c>
      <c r="P186" s="12" t="str">
        <v>是 - 匹配：原子能力清单-车控@樊鹏宇：座椅调节/前排座椅靠背角度调节-相对值调节</v>
      </c>
    </row>
    <row r="187" spans="4:16">
      <c r="D187" s="12" t="str">
        <v>车身_主驾座椅腰托位置值</v>
      </c>
      <c r="E187" s="12" t="str">
        <v>0~85%</v>
      </c>
      <c r="I187" s="65" t="str">
        <v>V1.0</v>
      </c>
      <c r="M187" s="14" t="inlineStr">
        <is>
          <r>
            <t>@樊鹏宇</t>
          </r>
        </is>
      </c>
      <c r="N187" s="14" t="str">
        <v>是</v>
      </c>
      <c r="P187" s="12" t="str">
        <v>是 - 匹配：原子能力清单-车控@樊鹏宇：座椅调节/腰托灵敏度调节（相对/绝对/极值）</v>
      </c>
    </row>
    <row r="188" spans="4:16">
      <c r="D188" s="12" t="str">
        <v>车身_主驾座椅腰部支撑值</v>
      </c>
      <c r="E188" s="12" t="str">
        <v>1~5档</v>
      </c>
      <c r="I188" s="65" t="str">
        <v>V1.0</v>
      </c>
      <c r="M188" s="14" t="inlineStr">
        <is>
          <r>
            <t>@樊鹏宇</t>
          </r>
        </is>
      </c>
      <c r="N188" s="14" t="str">
        <v>是</v>
      </c>
      <c r="P188" s="12" t="str">
        <v>是 - 匹配：原子能力清单-车控@樊鹏宇：座椅调节/腰部支撑相对值调节</v>
      </c>
    </row>
    <row r="189" spans="4:16">
      <c r="D189" s="12" t="str">
        <v>车身_主驾座椅座垫高度位置值</v>
      </c>
      <c r="E189" s="12" t="str">
        <v>0~100%</v>
      </c>
      <c r="I189" s="65" t="str">
        <v>V1.0</v>
      </c>
      <c r="P189" s="12" t="str">
        <v>是 - 匹配：原子能力清单-车控@樊鹏宇：座椅调节/前排座椅高度调节-相对值调节</v>
      </c>
    </row>
    <row r="190" spans="4:16">
      <c r="D190" s="12" t="str">
        <v>车身_主驾座椅腿托前后位置值</v>
      </c>
      <c r="E190" s="12" t="str">
        <v>0~100%</v>
      </c>
      <c r="I190" s="65" t="str">
        <v>V1.0</v>
      </c>
      <c r="M190" s="14" t="inlineStr">
        <is>
          <r>
            <t>@樊鹏宇</t>
          </r>
        </is>
      </c>
      <c r="N190" s="14" t="str">
        <v>是</v>
      </c>
      <c r="P190" s="12" t="str">
        <v>是 - 匹配：原子能力清单-车控@樊鹏宇：座椅调节/前排座椅前后位置调节-相对值调节</v>
      </c>
    </row>
    <row r="191" spans="4:16">
      <c r="D191" s="12" t="str">
        <v>车身_主驾座椅腿托角度位置值</v>
      </c>
      <c r="E191" s="12" t="str">
        <v>0~100%</v>
      </c>
      <c r="I191" s="65" t="str">
        <v>V1.0</v>
      </c>
      <c r="P191" s="12" t="str">
        <v>是 - 匹配：原子能力清单-车控@樊鹏宇：座椅调节/前排座椅腿托延伸-相对值调节</v>
      </c>
    </row>
    <row r="192" spans="4:16">
      <c r="D192" s="61" t="str">
        <v>车身_主驾座椅颈部支撑值</v>
      </c>
      <c r="E192" s="61" t="str">
        <v>1~5档</v>
      </c>
      <c r="M192" s="48" t="inlineStr">
        <is>
          <r>
            <t>@樊鹏宇</t>
          </r>
        </is>
      </c>
      <c r="N192" s="48" t="str">
        <v>是</v>
      </c>
      <c r="P192" s="61" t="str">
        <v>是 - 匹配：原子能力清单-车控@樊鹏宇：座椅调节/前排座椅前后位置调节-相对值调节</v>
      </c>
    </row>
    <row r="193" spans="4:16">
      <c r="D193" s="12" t="str">
        <v>车身_主驾座椅加热状态</v>
      </c>
      <c r="E193" s="12" t="str">
        <v>0=关闭, 1=低挡, 2=中挡, 3=高挡</v>
      </c>
      <c r="I193" s="65" t="str">
        <v>V1.0</v>
      </c>
      <c r="M193" s="14" t="inlineStr">
        <is>
          <r>
            <t>@樊鹏宇</t>
          </r>
        </is>
      </c>
      <c r="N193" s="14" t="str">
        <v>是</v>
      </c>
      <c r="O193" s="12" t="str">
        <v>刘凡、陈杰</v>
      </c>
      <c r="P193" s="12" t="str">
        <v>是 - 匹配：原子能力清单-车控@樊鹏宇：座椅调节/加热</v>
      </c>
    </row>
    <row r="194" spans="4:16">
      <c r="D194" s="12" t="str">
        <v>车身_主驾座椅通风状态</v>
      </c>
      <c r="E194" s="12" t="str">
        <v>0=关闭, 1=低挡, 2=中挡, 3=高挡</v>
      </c>
      <c r="I194" s="65" t="str">
        <v>V1.0</v>
      </c>
      <c r="M194" s="14" t="inlineStr">
        <is>
          <r>
            <t>@樊鹏宇</t>
          </r>
        </is>
      </c>
      <c r="N194" s="14" t="str">
        <v>是</v>
      </c>
      <c r="O194" s="12" t="str">
        <v>刘凡、陈杰</v>
      </c>
      <c r="P194" s="12" t="str">
        <v>是 - 匹配：原子能力清单-车控@樊鹏宇：座椅调节/通风</v>
      </c>
    </row>
    <row r="195" spans="4:16">
      <c r="D195" s="12" t="str">
        <v>车身_主驾座椅按摩强度状态</v>
      </c>
      <c r="E195" s="12" t="str">
        <v>0=关闭, 1=轻柔, 2=标准, 3=强力, 4=波浪, 5=深度</v>
      </c>
      <c r="I195" s="65" t="str">
        <v>V1.0</v>
      </c>
      <c r="M195" s="14" t="inlineStr">
        <is>
          <r>
            <t>@樊鹏宇</t>
          </r>
        </is>
      </c>
      <c r="N195" s="14" t="str">
        <v>是</v>
      </c>
      <c r="O195" s="12" t="str">
        <v>朱婧雯</v>
      </c>
      <c r="P195" s="12" t="str">
        <v>是 - 匹配：原子能力清单-车控@樊鹏宇：座椅调节/按摩</v>
      </c>
    </row>
    <row r="196" spans="4:16">
      <c r="D196" s="61" t="str">
        <v>车身_主驾座椅按摩部位状态</v>
      </c>
      <c r="E196" s="61" t="str">
        <v>背部/腰部/全背</v>
      </c>
      <c r="L196" s="49" t="str">
        <v>座椅按摩模式</v>
      </c>
      <c r="O196" s="61" t="str">
        <v>朱婧雯</v>
      </c>
      <c r="P196" s="61" t="str">
        <v>是 - 匹配：原子能力清单-车控@樊鹏宇：座椅调节/按摩</v>
      </c>
    </row>
    <row r="197" spans="4:16">
      <c r="D197" s="12" t="str">
        <v>车身_主驾座椅按摩模式状态</v>
      </c>
      <c r="E197" s="12" t="str">
        <v>0～5</v>
      </c>
      <c r="I197" s="65" t="str">
        <v>V1.0</v>
      </c>
      <c r="O197" s="12" t="str">
        <v>朱婧雯</v>
      </c>
      <c r="P197" s="12" t="str">
        <v>是 - 匹配：原子能力清单-车控@樊鹏宇：座椅调节/按摩</v>
      </c>
    </row>
    <row r="198" spans="4:16">
      <c r="D198" s="12" t="str">
        <v>车身_主驾座椅记忆位置状态</v>
      </c>
      <c r="E198" s="12" t="str">
        <v>0=无记忆, 1=模式一, 2=模式二, 3=模式三, 4=调用中</v>
      </c>
      <c r="I198" s="65" t="str">
        <v>V1.0</v>
      </c>
      <c r="M198" s="14" t="inlineStr">
        <is>
          <r>
            <t>@樊鹏宇</t>
          </r>
        </is>
      </c>
      <c r="N198" s="14" t="str">
        <v>是</v>
      </c>
      <c r="O198" s="12" t="str">
        <v>许圣义</v>
      </c>
      <c r="P198" s="12" t="str">
        <v>是 - 匹配：原子能力清单-车控@樊鹏宇：座椅调节/前排座椅靠背角度调节-相对值调节</v>
      </c>
    </row>
    <row r="199" spans="4:16">
      <c r="D199" s="12" t="str">
        <v>车身_主驾零重力座椅状态</v>
      </c>
      <c r="E199" s="12" t="str">
        <v>0=未激活, 1=进入中, 2=已进入, 3=退出中</v>
      </c>
      <c r="I199" s="65" t="str">
        <v>V1.0</v>
      </c>
      <c r="M199" s="14" t="inlineStr">
        <is>
          <r>
            <t>@樊鹏宇</t>
          </r>
        </is>
      </c>
      <c r="N199" s="14" t="str">
        <v>是</v>
      </c>
      <c r="P199" s="12" t="str">
        <v>是 - 匹配：原子能力清单-车控@樊鹏宇：座椅调节/零重力座椅</v>
      </c>
    </row>
    <row r="200" spans="4:16">
      <c r="D200" s="12" t="str">
        <v>车身_主驾床椅状态</v>
      </c>
      <c r="E200" s="12" t="str">
        <v>0=未激活, 1=进入中, 2=已进入, 3=退出中</v>
      </c>
      <c r="I200" s="65" t="str">
        <v>V1.0</v>
      </c>
      <c r="M200" s="14" t="inlineStr">
        <is>
          <r>
            <t>@樊鹏宇</t>
          </r>
        </is>
      </c>
      <c r="N200" s="14" t="str">
        <v>是</v>
      </c>
      <c r="P200" s="12" t="str">
        <v>否 - 未在AI可控原子能力清单匹配</v>
      </c>
    </row>
    <row r="201" spans="4:16">
      <c r="D201" s="12" t="str">
        <v>车身_副驾座椅前后位置值</v>
      </c>
      <c r="E201" s="12" t="str">
        <v>0~100%; 距离: 0~464mm</v>
      </c>
      <c r="I201" s="65" t="str">
        <v>V1.0</v>
      </c>
      <c r="M201" s="14" t="inlineStr">
        <is>
          <r>
            <t>@樊鹏宇</t>
          </r>
        </is>
      </c>
      <c r="N201" s="14" t="str">
        <v>是</v>
      </c>
      <c r="P201" s="12" t="str">
        <v>是 - 匹配：原子能力清单-车控@樊鹏宇：座椅调节/前排座椅前后位置调节-相对值调节</v>
      </c>
    </row>
    <row r="202" spans="4:16">
      <c r="D202" s="12" t="str">
        <v>车身_副驾座椅高度位置值</v>
      </c>
      <c r="E202" s="12" t="str">
        <v>0~100%</v>
      </c>
      <c r="I202" s="65" t="str">
        <v>V1.0</v>
      </c>
      <c r="M202" s="14" t="inlineStr">
        <is>
          <r>
            <t>@樊鹏宇</t>
          </r>
        </is>
      </c>
      <c r="N202" s="14" t="str">
        <v>是</v>
      </c>
      <c r="P202" s="12" t="str">
        <v>是 - 匹配：原子能力清单-车控@樊鹏宇：座椅调节/前排座椅高度调节-相对值调节</v>
      </c>
    </row>
    <row r="203" spans="4:16">
      <c r="D203" s="12" t="str">
        <v>车身_副驾座椅靠背角度值</v>
      </c>
      <c r="E203" s="12" t="str">
        <v>90~180°</v>
      </c>
      <c r="I203" s="65" t="str">
        <v>V1.0</v>
      </c>
      <c r="M203" s="14" t="inlineStr">
        <is>
          <r>
            <t>@樊鹏宇</t>
          </r>
        </is>
      </c>
      <c r="N203" s="14" t="str">
        <v>是</v>
      </c>
      <c r="P203" s="12" t="str">
        <v>是 - 匹配：原子能力清单-车控@樊鹏宇：座椅调节/前排座椅靠背角度调节-相对值调节</v>
      </c>
    </row>
    <row r="204" spans="4:16">
      <c r="D204" s="12" t="str">
        <v>车身_副驾座椅腰托位置值</v>
      </c>
      <c r="E204" s="12" t="str">
        <v>0~85%</v>
      </c>
      <c r="I204" s="65" t="str">
        <v>V1.0</v>
      </c>
      <c r="M204" s="14" t="inlineStr">
        <is>
          <r>
            <t>@樊鹏宇</t>
          </r>
        </is>
      </c>
      <c r="N204" s="14" t="str">
        <v>是</v>
      </c>
      <c r="P204" s="12" t="str">
        <v>是 - 匹配：原子能力清单-车控@樊鹏宇：座椅调节/腰托灵敏度调节（相对/绝对/极值）</v>
      </c>
    </row>
    <row r="205" spans="4:16">
      <c r="D205" s="12" t="str">
        <v>车身_副驾座椅腰部支撑值</v>
      </c>
      <c r="E205" s="12" t="str">
        <v>1~5档</v>
      </c>
      <c r="I205" s="65" t="str">
        <v>V1.0</v>
      </c>
      <c r="M205" s="14" t="inlineStr">
        <is>
          <r>
            <t>@樊鹏宇</t>
          </r>
        </is>
      </c>
      <c r="N205" s="14" t="str">
        <v>是</v>
      </c>
      <c r="P205" s="12" t="str">
        <v>是 - 匹配：原子能力清单-车控@樊鹏宇：座椅调节/腰部支撑相对值调节</v>
      </c>
    </row>
    <row r="206" spans="4:16">
      <c r="D206" s="12" t="str">
        <v>车身_副驾座椅座垫高度位置值</v>
      </c>
      <c r="E206" s="12" t="str">
        <v>0~100%</v>
      </c>
      <c r="I206" s="65" t="str">
        <v>V1.0</v>
      </c>
      <c r="P206" s="12" t="str">
        <v>是 - 匹配：原子能力清单-车控@樊鹏宇：座椅调节/前排座椅高度调节-相对值调节</v>
      </c>
    </row>
    <row r="207" spans="4:16">
      <c r="D207" s="12" t="str">
        <v>车身_副驾座椅腿托前后位置值</v>
      </c>
      <c r="E207" s="12" t="str">
        <v>0~100%</v>
      </c>
      <c r="I207" s="65" t="str">
        <v>V1.0</v>
      </c>
      <c r="M207" s="14" t="inlineStr">
        <is>
          <r>
            <t>@樊鹏宇</t>
          </r>
        </is>
      </c>
      <c r="N207" s="14" t="str">
        <v>是</v>
      </c>
      <c r="P207" s="12" t="str">
        <v>是 - 匹配：原子能力清单-车控@樊鹏宇：座椅调节/前排座椅前后位置调节-相对值调节</v>
      </c>
    </row>
    <row r="208" spans="4:16">
      <c r="D208" s="12" t="str">
        <v>车身_副驾座椅腿托角度位置值</v>
      </c>
      <c r="E208" s="12" t="str">
        <v>0~100%</v>
      </c>
      <c r="I208" s="65" t="str">
        <v>V1.0</v>
      </c>
      <c r="P208" s="12" t="str">
        <v>是 - 匹配：原子能力清单-车控@樊鹏宇：座椅调节/前排座椅腿托延伸-相对值调节</v>
      </c>
    </row>
    <row r="209" spans="4:16">
      <c r="D209" s="82" t="str">
        <v>车身_副驾座椅颈部支撑值</v>
      </c>
      <c r="E209" s="82" t="str">
        <v>1~5档</v>
      </c>
      <c r="I209" s="65" t="str">
        <v>V1.0</v>
      </c>
      <c r="M209" s="14" t="inlineStr">
        <is>
          <r>
            <t>@樊鹏宇</t>
          </r>
        </is>
      </c>
      <c r="N209" s="14" t="str">
        <v>是</v>
      </c>
      <c r="P209" s="82" t="str">
        <v>是 - 匹配：原子能力清单-车控@樊鹏宇：座椅调节/前排座椅前后位置调节-相对值调节</v>
      </c>
    </row>
    <row r="210" spans="4:16">
      <c r="D210" s="12" t="str">
        <v>车身_副驾座椅加热状态</v>
      </c>
      <c r="E210" s="12" t="str">
        <v>0=关闭, 1=低挡, 2=中挡, 3=高挡</v>
      </c>
      <c r="I210" s="65" t="str">
        <v>V1.0</v>
      </c>
      <c r="M210" s="14" t="inlineStr">
        <is>
          <r>
            <t>@樊鹏宇</t>
          </r>
        </is>
      </c>
      <c r="N210" s="14" t="str">
        <v>是</v>
      </c>
      <c r="O210" s="12" t="str">
        <v>刘凡、陈杰</v>
      </c>
      <c r="P210" s="12" t="str">
        <v>是 - 匹配：原子能力清单-车控@樊鹏宇：座椅调节/加热</v>
      </c>
    </row>
    <row r="211" spans="4:16">
      <c r="D211" s="12" t="str">
        <v>车身_副驾座椅通风状态</v>
      </c>
      <c r="E211" s="12" t="str">
        <v>0=关闭, 1=低挡, 2=中挡, 3=高挡</v>
      </c>
      <c r="I211" s="65" t="str">
        <v>V1.0</v>
      </c>
      <c r="M211" s="14" t="inlineStr">
        <is>
          <r>
            <t>@樊鹏宇</t>
          </r>
        </is>
      </c>
      <c r="N211" s="14" t="str">
        <v>是</v>
      </c>
      <c r="O211" s="12" t="str">
        <v>刘凡、陈杰</v>
      </c>
      <c r="P211" s="12" t="str">
        <v>是 - 匹配：原子能力清单-车控@樊鹏宇：座椅调节/通风</v>
      </c>
    </row>
    <row r="212" spans="4:16">
      <c r="D212" s="12" t="str">
        <v>车身_副驾座椅按摩强度状态</v>
      </c>
      <c r="E212" s="12" t="str">
        <v>0=关闭, 1=轻柔, 2=标准, 3=强力, 4=波浪, 5=深度</v>
      </c>
      <c r="I212" s="65" t="str">
        <v>V1.0</v>
      </c>
      <c r="M212" s="14" t="inlineStr">
        <is>
          <r>
            <t>@樊鹏宇</t>
          </r>
        </is>
      </c>
      <c r="N212" s="14" t="str">
        <v>是</v>
      </c>
      <c r="O212" s="12" t="str">
        <v>朱婧雯</v>
      </c>
      <c r="P212" s="12" t="str">
        <v>是 - 匹配：原子能力清单-车控@樊鹏宇：座椅调节/按摩</v>
      </c>
    </row>
    <row r="213" spans="4:16">
      <c r="D213" s="61" t="str">
        <v>车身_副驾座椅按摩部位状态</v>
      </c>
      <c r="E213" s="61" t="str">
        <v>背部/腰部/全背</v>
      </c>
      <c r="O213" s="61" t="str">
        <v>朱婧雯</v>
      </c>
      <c r="P213" s="61" t="str">
        <v>是 - 匹配：原子能力清单-车控@樊鹏宇：座椅调节/按摩</v>
      </c>
    </row>
    <row r="214" spans="4:16">
      <c r="D214" s="12" t="str">
        <v>车身_副驾座椅按摩模式状态</v>
      </c>
      <c r="E214" s="12" t="str">
        <v>0～5</v>
      </c>
      <c r="I214" s="65" t="str">
        <v>V1.0</v>
      </c>
      <c r="O214" s="12" t="str">
        <v>朱婧雯</v>
      </c>
      <c r="P214" s="12" t="str">
        <v>是 - 匹配：原子能力清单-车控@樊鹏宇：座椅调节/按摩</v>
      </c>
    </row>
    <row r="215" spans="4:16">
      <c r="D215" s="12" t="str">
        <v>车身_副驾座椅记忆位置状态</v>
      </c>
      <c r="E215" s="12" t="str">
        <v>0=无记忆, 1=模式一, 2=模式二, 3=模式三, 4=调用中</v>
      </c>
      <c r="I215" s="65" t="str">
        <v>V1.0</v>
      </c>
      <c r="M215" s="14" t="inlineStr">
        <is>
          <r>
            <t>@樊鹏宇</t>
          </r>
        </is>
      </c>
      <c r="N215" s="14" t="str">
        <v>是</v>
      </c>
      <c r="O215" s="12" t="str">
        <v>许圣义</v>
      </c>
      <c r="P215" s="12" t="str">
        <v>是 - 匹配：原子能力清单-车控@樊鹏宇：座椅调节/前排座椅靠背角度调节-相对值调节</v>
      </c>
    </row>
    <row r="216" spans="4:16">
      <c r="D216" s="12" t="str">
        <v>车身_副驾零重力座椅状态</v>
      </c>
      <c r="E216" s="12" t="str">
        <v>0=未激活, 1=进入中, 2=已进入, 3=退出中</v>
      </c>
      <c r="I216" s="65" t="str">
        <v>V1.0</v>
      </c>
      <c r="M216" s="14" t="inlineStr">
        <is>
          <r>
            <t>@樊鹏宇</t>
          </r>
        </is>
      </c>
      <c r="N216" s="14" t="str">
        <v>是</v>
      </c>
      <c r="P216" s="12" t="str">
        <v>是 - 匹配：原子能力清单-车控@樊鹏宇：座椅调节/零重力座椅</v>
      </c>
    </row>
    <row r="217" spans="4:16">
      <c r="D217" s="12" t="str">
        <v>车身_副驾床椅状态</v>
      </c>
      <c r="E217" s="12" t="str">
        <v>0=未激活, 1=进入中, 2=已进入, 3=退出中</v>
      </c>
      <c r="I217" s="65" t="str">
        <v>V1.0</v>
      </c>
      <c r="M217" s="14" t="inlineStr">
        <is>
          <r>
            <t>@樊鹏宇</t>
          </r>
        </is>
      </c>
      <c r="N217" s="14" t="str">
        <v>是</v>
      </c>
      <c r="P217" s="12" t="str">
        <v>否 - 未在AI可控原子能力清单匹配</v>
      </c>
    </row>
    <row r="218" spans="4:16">
      <c r="D218" s="82" t="str">
        <v>车身_左后座椅靠背角度值</v>
      </c>
      <c r="E218" s="82" t="str">
        <v>90~180°</v>
      </c>
      <c r="I218" s="65" t="str">
        <v>V1.0</v>
      </c>
      <c r="M218" s="35" t="inlineStr">
        <is>
          <r>
            <t>@樊鹏宇</t>
          </r>
        </is>
      </c>
      <c r="N218" s="35" t="str">
        <v>是</v>
      </c>
      <c r="P218" s="82" t="str">
        <v>是 - 匹配：原子能力清单-车控@樊鹏宇：座椅调节/前排座椅靠背角度调节-相对值调节</v>
      </c>
    </row>
    <row r="219" spans="4:16">
      <c r="D219" s="12" t="str">
        <v>车身_左后坐垫状态</v>
      </c>
      <c r="E219" s="12" t="str">
        <v>0=正常, 1=翻折中, 2=已翻折, 3=落下中</v>
      </c>
      <c r="I219" s="65" t="str">
        <v>V1.0</v>
      </c>
      <c r="M219" s="14" t="inlineStr">
        <is>
          <r>
            <t>@樊鹏宇</t>
          </r>
        </is>
      </c>
      <c r="N219" s="14" t="str">
        <v>是</v>
      </c>
      <c r="P219" s="12" t="str">
        <v>否 - 未在AI可控原子能力清单匹配</v>
      </c>
    </row>
    <row r="220" spans="4:16">
      <c r="D220" s="12" t="str">
        <v>车身_左后座椅加热状态</v>
      </c>
      <c r="E220" s="12" t="str">
        <v>0=关闭, 1=低挡, 2=中挡, 3=高挡</v>
      </c>
      <c r="I220" s="65" t="str">
        <v>V1.0</v>
      </c>
      <c r="M220" s="14" t="inlineStr">
        <is>
          <r>
            <t>@樊鹏宇</t>
          </r>
        </is>
      </c>
      <c r="N220" s="14" t="str">
        <v>是</v>
      </c>
      <c r="O220" s="12" t="str">
        <v>许圣义</v>
      </c>
      <c r="P220" s="12" t="str">
        <v>是 - 匹配：原子能力清单-车控@樊鹏宇：座椅调节/加热</v>
      </c>
    </row>
    <row r="221" spans="4:16">
      <c r="D221" s="12" t="str">
        <v>车身_左后座椅通风状态</v>
      </c>
      <c r="E221" s="12" t="str">
        <v>0=关闭, 1=低挡, 2=中挡, 3=高挡</v>
      </c>
      <c r="I221" s="65" t="str">
        <v>V1.0</v>
      </c>
      <c r="M221" s="14" t="inlineStr">
        <is>
          <r>
            <t>@樊鹏宇</t>
          </r>
        </is>
      </c>
      <c r="N221" s="14" t="str">
        <v>是</v>
      </c>
      <c r="O221" s="12" t="str">
        <v>许圣义</v>
      </c>
      <c r="P221" s="12" t="str">
        <v>是 - 匹配：原子能力清单-车控@樊鹏宇：座椅调节/通风</v>
      </c>
    </row>
    <row r="222" spans="4:16">
      <c r="D222" s="61" t="str">
        <v>车身_左后座椅按摩强度状态</v>
      </c>
      <c r="E222" s="61" t="str">
        <v>0=关闭, 1=轻柔, 2=标准, 3=强力, 4=波浪, 5=深度</v>
      </c>
      <c r="M222" s="49" t="inlineStr">
        <is>
          <r>
            <t>@樊鹏宇</t>
          </r>
        </is>
      </c>
      <c r="N222" s="49" t="str">
        <v>是</v>
      </c>
      <c r="O222" s="61" t="str">
        <v>朱婧雯</v>
      </c>
      <c r="P222" s="61" t="str">
        <v>是 - 匹配：原子能力清单-车控@樊鹏宇：座椅调节/按摩</v>
      </c>
    </row>
    <row r="223" spans="4:16">
      <c r="D223" s="61" t="str">
        <v>车身_左后座椅按摩部位状态</v>
      </c>
      <c r="E223" s="61" t="str">
        <v>背部/腰部/全背</v>
      </c>
      <c r="O223" s="61" t="str">
        <v>朱婧雯</v>
      </c>
      <c r="P223" s="61" t="str">
        <v>是 - 匹配：原子能力清单-车控@樊鹏宇：座椅调节/按摩</v>
      </c>
    </row>
    <row r="224" spans="4:16">
      <c r="D224" s="61" t="str">
        <v>车身_左后座椅按摩模式状态</v>
      </c>
      <c r="E224" s="61" t="str">
        <v>0～5（猫步、波浪。。。）</v>
      </c>
      <c r="O224" s="61" t="str">
        <v>朱婧雯</v>
      </c>
      <c r="P224" s="61" t="str">
        <v>是 - 匹配：原子能力清单-车控@樊鹏宇：座椅调节/按摩</v>
      </c>
    </row>
    <row r="225" spans="4:16">
      <c r="D225" s="61" t="str">
        <v>车身_右后座椅靠背角度值</v>
      </c>
      <c r="E225" s="61" t="str">
        <v>90~180°</v>
      </c>
      <c r="M225" s="49" t="inlineStr">
        <is>
          <r>
            <t>@樊鹏宇</t>
          </r>
        </is>
      </c>
      <c r="N225" s="49" t="str">
        <v>是</v>
      </c>
      <c r="P225" s="61" t="str">
        <v>是 - 匹配：原子能力清单-车控@樊鹏宇：座椅调节/前排座椅靠背角度调节-相对值调节</v>
      </c>
    </row>
    <row r="226" spans="4:16">
      <c r="D226" s="12" t="str">
        <v>车身_右后坐垫状态</v>
      </c>
      <c r="E226" s="12" t="str">
        <v>0=正常, 1=翻折中, 2=已翻折, 3=落下中</v>
      </c>
      <c r="I226" s="65" t="str">
        <v>V1.0</v>
      </c>
      <c r="M226" s="14" t="inlineStr">
        <is>
          <r>
            <t>@樊鹏宇</t>
          </r>
        </is>
      </c>
      <c r="N226" s="14" t="str">
        <v>是</v>
      </c>
      <c r="P226" s="12" t="str">
        <v>否 - 未在AI可控原子能力清单匹配</v>
      </c>
    </row>
    <row r="227" spans="4:16">
      <c r="D227" s="12" t="str">
        <v>车身_右后座椅加热状态</v>
      </c>
      <c r="E227" s="12" t="str">
        <v>0=关闭, 1=低挡, 2=中挡, 3=高挡</v>
      </c>
      <c r="I227" s="65" t="str">
        <v>V1.0</v>
      </c>
      <c r="M227" s="14" t="inlineStr">
        <is>
          <r>
            <t>@樊鹏宇</t>
          </r>
        </is>
      </c>
      <c r="N227" s="14" t="str">
        <v>是</v>
      </c>
      <c r="O227" s="12" t="str">
        <v>许圣义</v>
      </c>
      <c r="P227" s="12" t="str">
        <v>是 - 匹配：原子能力清单-车控@樊鹏宇：座椅调节/加热</v>
      </c>
    </row>
    <row r="228" spans="4:16">
      <c r="D228" s="12" t="str">
        <v>车身_右后座椅通风状态</v>
      </c>
      <c r="E228" s="12" t="str">
        <v>0=关闭, 1=低挡, 2=中挡, 3=高挡</v>
      </c>
      <c r="I228" s="65" t="str">
        <v>V1.0</v>
      </c>
      <c r="M228" s="14" t="inlineStr">
        <is>
          <r>
            <t>@樊鹏宇</t>
          </r>
        </is>
      </c>
      <c r="N228" s="14" t="str">
        <v>是</v>
      </c>
      <c r="O228" s="12" t="str">
        <v>许圣义</v>
      </c>
      <c r="P228" s="12" t="str">
        <v>是 - 匹配：原子能力清单-车控@樊鹏宇：座椅调节/通风</v>
      </c>
    </row>
    <row r="229" spans="4:16">
      <c r="D229" s="61" t="str">
        <v>车身_右后座椅按摩状态</v>
      </c>
      <c r="E229" s="61" t="str">
        <v>0=关闭, 1=轻柔, 2=标准, 3=强力, 4=波浪, 5=深度</v>
      </c>
      <c r="M229" s="49" t="inlineStr">
        <is>
          <r>
            <t>@樊鹏宇</t>
          </r>
        </is>
      </c>
      <c r="N229" s="49" t="str">
        <v>是</v>
      </c>
      <c r="O229" s="61" t="str">
        <v>朱婧雯</v>
      </c>
      <c r="P229" s="61" t="str">
        <v>是 - 匹配：原子能力清单-车控@樊鹏宇：座椅调节/按摩</v>
      </c>
    </row>
    <row r="230" spans="4:16">
      <c r="D230" s="61" t="str">
        <v>车身_右后座椅按摩部位状态</v>
      </c>
      <c r="E230" s="61" t="str">
        <v>背部/腰部/全背</v>
      </c>
      <c r="O230" s="61" t="str">
        <v>朱婧雯</v>
      </c>
      <c r="P230" s="61" t="str">
        <v>是 - 匹配：原子能力清单-车控@樊鹏宇：座椅调节/按摩</v>
      </c>
    </row>
    <row r="231" spans="4:16">
      <c r="D231" s="61" t="str">
        <v>车身_右后座椅按摩模式状态</v>
      </c>
      <c r="E231" s="61" t="str">
        <v>0～5（猫步、波浪。。。）</v>
      </c>
      <c r="O231" s="61" t="str">
        <v>朱婧雯</v>
      </c>
      <c r="P231" s="61" t="str">
        <v>是 - 匹配：原子能力清单-车控@樊鹏宇：座椅调节/按摩</v>
      </c>
    </row>
    <row r="232" spans="4:16">
      <c r="D232" s="61" t="str">
        <v>车身_后排中间座椅加热状态</v>
      </c>
      <c r="E232" s="61" t="str">
        <v>0=关闭, 1=低挡, 2=中挡, 3=高挡</v>
      </c>
      <c r="M232" s="49" t="inlineStr">
        <is>
          <r>
            <t>@樊鹏宇</t>
          </r>
        </is>
      </c>
      <c r="O232" s="61" t="str">
        <v>许圣义</v>
      </c>
      <c r="P232" s="61" t="str">
        <v>是 - 匹配：原子能力清单-车控@樊鹏宇：座椅调节/加热</v>
      </c>
    </row>
    <row r="233" spans="3:16">
      <c r="C233" s="12" t="str">
        <v>冷暖箱状态</v>
      </c>
      <c r="D233" s="12" t="str">
        <v>车身_冷暖箱电源开关状态</v>
      </c>
      <c r="E233" s="12" t="str">
        <v>0=关闭, 1=开启</v>
      </c>
      <c r="I233" s="65" t="str">
        <v>V1.0</v>
      </c>
      <c r="M233" s="14" t="inlineStr">
        <is>
          <r>
            <t>@陈杰</t>
          </r>
        </is>
      </c>
      <c r="N233" s="14" t="str">
        <v>是</v>
      </c>
      <c r="P233" s="12" t="str">
        <v>是 - 匹配：原子能力清单-车控@樊鹏宇：车载冷暖箱/冷暖箱电源开关</v>
      </c>
    </row>
    <row r="234" spans="4:16">
      <c r="D234" s="12" t="str">
        <v>车身_冷暖箱工作状态</v>
      </c>
      <c r="E234" s="12" t="str">
        <v>0=关闭, 1=制冷, 2=制热, 3=故障</v>
      </c>
      <c r="I234" s="65" t="str">
        <v>V1.0</v>
      </c>
      <c r="M234" s="14" t="inlineStr">
        <is>
          <r>
            <t>@陈杰</t>
          </r>
          <r>
            <t>@宋章仪</t>
          </r>
        </is>
      </c>
      <c r="N234" s="14" t="str">
        <v>是</v>
      </c>
      <c r="P234" s="12" t="str">
        <v>是 - 匹配：原子能力清单-车控@樊鹏宇：车载冷暖箱/冷暖箱状态设置</v>
      </c>
    </row>
    <row r="235" spans="4:16">
      <c r="D235" s="12" t="str">
        <v>车身_冷暖箱温度设置值</v>
      </c>
      <c r="E235" s="12" t="str">
        <v>制冷: -6~15℃, 制热: 30~50℃, 精度±1℃</v>
      </c>
      <c r="I235" s="65" t="str">
        <v>V1.0</v>
      </c>
      <c r="M235" s="14" t="inlineStr">
        <is>
          <r>
            <t>@陈杰</t>
          </r>
        </is>
      </c>
      <c r="N235" s="14" t="str">
        <v>是</v>
      </c>
      <c r="P235" s="12" t="str">
        <v>是 - 匹配：原子能力清单-车控@樊鹏宇：车载冷暖箱/温度设置</v>
      </c>
    </row>
    <row r="236" spans="4:16">
      <c r="D236" s="12" t="str">
        <v>车身_冷暖箱不下电时间设置值</v>
      </c>
      <c r="E236" s="12" t="str">
        <v>0~23h + 0/15/30/45min组合, 不超过24h</v>
      </c>
      <c r="I236" s="65" t="str">
        <v>V1.0</v>
      </c>
      <c r="M236" s="14" t="inlineStr">
        <is>
          <r>
            <t>@陈杰</t>
          </r>
        </is>
      </c>
      <c r="N236" s="14" t="str">
        <v>是</v>
      </c>
      <c r="P236" s="12" t="str">
        <v>是 - 匹配：原子能力清单-车控@樊鹏宇：车载冷暖箱/冷暖箱状态设置</v>
      </c>
    </row>
    <row r="237" spans="3:16">
      <c r="C237" s="61" t="str">
        <v>3.17 拖车状态</v>
      </c>
      <c r="D237" s="61" t="str">
        <v>车身_拖车连接状态</v>
      </c>
      <c r="E237" s="61" t="str">
        <v>连接: 0=未连接, 1=已连接; 灯光: 0=无故障~3=制动灯故障; 制动: 0=无制动, 1=制动中; 故障: 0=无故障~3=通信故障</v>
      </c>
      <c r="M237" s="48" t="inlineStr">
        <is>
          <r>
            <t>@张佳伟</t>
          </r>
        </is>
      </c>
      <c r="P237" s="61" t="str">
        <v>否 - 非控件/功能状态类信号</v>
      </c>
    </row>
    <row r="238" spans="3:16">
      <c r="C238" s="12" t="str">
        <v>3.18 电动尾翼状态</v>
      </c>
      <c r="D238" s="12" t="str">
        <v>车身_电动尾翼状态</v>
      </c>
      <c r="E238" s="12" t="str">
        <v>状态: 0=收回, 1=展开, 2=运动中, 3=故障; </v>
      </c>
      <c r="I238" s="65" t="str">
        <v>V1.0</v>
      </c>
      <c r="M238" s="14" t="inlineStr">
        <is>
          <r>
            <t>@张佳伟</t>
          </r>
        </is>
      </c>
      <c r="P238" s="12" t="str">
        <v>是 - 匹配：原子能力清单-车控@樊鹏宇：电动尾翼/尾翼开闭</v>
      </c>
    </row>
    <row r="239" spans="4:16">
      <c r="D239" s="12" t="str">
        <v>车身_电动尾翼展开百分比</v>
      </c>
      <c r="E239" s="12" t="str">
        <v>0~100%</v>
      </c>
      <c r="I239" s="65" t="str">
        <v>V1.0</v>
      </c>
      <c r="P239" s="12" t="str">
        <v>是 - 匹配：原子能力清单-车控@樊鹏宇：电动尾翼/尾翼开闭</v>
      </c>
    </row>
    <row r="240" spans="3:16">
      <c r="C240" s="12" t="str">
        <v>3.19 活体检测状态</v>
      </c>
      <c r="D240" s="12" t="str">
        <v>车身_活体检测状态</v>
      </c>
      <c r="E240" s="12" t="str">
        <v>状态: 0=关闭, 1=待机, 2=检测中, 3=故障; 结果: 0=无活体~2=不确定; 报警: 0=无报警~2=高温报警; Euro NCAP 2023</v>
      </c>
      <c r="I240" s="65" t="str">
        <v>V1.0</v>
      </c>
      <c r="M240" s="14" t="inlineStr">
        <is>
          <r>
            <t>@许圣义</t>
          </r>
          <r>
            <t>@宋章仪</t>
          </r>
        </is>
      </c>
      <c r="P240" s="12" t="str">
        <v>否 - 未在AI可控原子能力清单匹配</v>
      </c>
    </row>
    <row r="241" spans="4:16">
      <c r="D241" s="12" t="str">
        <v>车身_遗留物品提醒状态</v>
      </c>
      <c r="E241" s="12" t="str">
        <v>0=关闭, 1=开启</v>
      </c>
      <c r="I241" s="65" t="str">
        <v>V1.0</v>
      </c>
      <c r="M241" s="14" t="str">
        <v>@许圣义</v>
      </c>
      <c r="P241" s="12" t="str">
        <v>是 - 匹配：原子能力清单-车控@樊鹏宇：OMS/遗留物品提醒</v>
      </c>
    </row>
    <row r="242" spans="3:16">
      <c r="C242" s="12" t="str">
        <v>.20 流媒体后视镜状态</v>
      </c>
      <c r="D242" s="12" t="str">
        <v>车身_流媒体后视镜开关状态</v>
      </c>
      <c r="E242" s="12" t="str">
        <v>0=关闭, 1=开启</v>
      </c>
      <c r="I242" s="65" t="str">
        <v>V1.0</v>
      </c>
      <c r="M242" s="14" t="inlineStr">
        <is>
          <r>
            <t>@吴家鑫</t>
          </r>
        </is>
      </c>
      <c r="N242" s="14" t="str">
        <v>是</v>
      </c>
      <c r="P242" s="12" t="str">
        <v>是 - 匹配：原子能力清单-车控@樊鹏宇：流媒体后视镜/开关</v>
      </c>
    </row>
    <row r="243" spans="4:16">
      <c r="D243" s="12" t="str">
        <v>车身_流媒体后视镜亮度值</v>
      </c>
      <c r="E243" s="12" t="str">
        <v>1~7档</v>
      </c>
      <c r="I243" s="65" t="str">
        <v>V1.0</v>
      </c>
      <c r="M243" s="14" t="inlineStr">
        <is>
          <r>
            <t>@吴家鑫</t>
          </r>
        </is>
      </c>
      <c r="N243" s="14" t="str">
        <v>是</v>
      </c>
      <c r="P243" s="12" t="str">
        <v>是 - 匹配：原子能力清单-车控@樊鹏宇：流媒体后视镜/亮度调节</v>
      </c>
    </row>
    <row r="244" spans="4:16">
      <c r="D244" s="12" t="str">
        <v>车身_流媒体后视镜垂直视野值</v>
      </c>
      <c r="E244" s="12" t="str">
        <v>1~7档</v>
      </c>
      <c r="I244" s="65" t="str">
        <v>V1.0</v>
      </c>
      <c r="M244" s="14" t="inlineStr">
        <is>
          <r>
            <t>@吴家鑫</t>
          </r>
        </is>
      </c>
      <c r="N244" s="14" t="str">
        <v>是</v>
      </c>
      <c r="P244" s="12" t="str">
        <v>是 - 匹配：原子能力清单-车控@樊鹏宇：流媒体后视镜/开关</v>
      </c>
    </row>
    <row r="245" spans="4:16">
      <c r="D245" s="12" t="str">
        <v>车身_流媒体后视镜缩放值</v>
      </c>
      <c r="E245" s="12" t="str">
        <v>1~4档</v>
      </c>
      <c r="I245" s="65" t="str">
        <v>V1.0</v>
      </c>
      <c r="M245" s="14" t="inlineStr">
        <is>
          <r>
            <t>@吴家鑫</t>
          </r>
        </is>
      </c>
      <c r="N245" s="14" t="str">
        <v>是</v>
      </c>
      <c r="P245" s="12" t="str">
        <v>是 - 匹配：原子能力清单-车控@樊鹏宇：流媒体后视镜/开关</v>
      </c>
    </row>
    <row r="246" spans="3:16">
      <c r="C246" s="12" t="str">
        <v>3.22 滑移屏状态</v>
      </c>
      <c r="D246" s="12" t="str">
        <v>车身_滑移屏控制状态</v>
      </c>
      <c r="E246" s="12" t="str">
        <v>0=关闭, 1=开启, 2=复位, 3=暂停</v>
      </c>
      <c r="I246" s="65" t="str">
        <v>V1.0</v>
      </c>
      <c r="M246" s="14" t="inlineStr">
        <is>
          <r>
            <t>@樊鹏宇</t>
          </r>
        </is>
      </c>
      <c r="N246" s="14" t="str">
        <v>是</v>
      </c>
      <c r="P246" s="12" t="str">
        <v>是 - 匹配：原子能力清单-车控@樊鹏宇：天幕滑移屏/控制</v>
      </c>
    </row>
    <row r="247" spans="4:16">
      <c r="D247" s="12" t="str">
        <v>车身_滑移屏指定位置状态</v>
      </c>
      <c r="E247" s="12" t="str">
        <v>0=主驾独享, 1=副驾独享, 2=左后独享, 3=右后独享, 4=前排中间, 5=后排中间</v>
      </c>
      <c r="I247" s="65" t="str">
        <v>V1.0</v>
      </c>
      <c r="M247" s="14" t="inlineStr">
        <is>
          <r>
            <t>@樊鹏宇</t>
          </r>
        </is>
      </c>
      <c r="N247" s="14" t="str">
        <v>是</v>
      </c>
      <c r="P247" s="12" t="str">
        <v>是 - 匹配：原子能力清单-车控@樊鹏宇：天幕滑移屏/指定位置调节</v>
      </c>
    </row>
    <row r="248" spans="4:16">
      <c r="D248" s="12" t="str">
        <v>车身_滑移屏位置值</v>
      </c>
      <c r="E248" s="12" t="str">
        <v>方向: 前后左右; 0~100%; Y轴行程≥566mm</v>
      </c>
      <c r="I248" s="65" t="str">
        <v>V1.0</v>
      </c>
      <c r="M248" s="14" t="inlineStr">
        <is>
          <r>
            <t>@樊鹏宇</t>
          </r>
        </is>
      </c>
      <c r="N248" s="14" t="str">
        <v>是</v>
      </c>
      <c r="P248" s="12" t="str">
        <v>否 - 非控件/功能状态类信号</v>
      </c>
    </row>
    <row r="249" spans="4:16">
      <c r="D249" s="12" t="str">
        <v>车身_滑移屏角度值</v>
      </c>
      <c r="E249" s="12" t="str">
        <v>80~120°</v>
      </c>
      <c r="I249" s="65" t="str">
        <v>V1.0</v>
      </c>
      <c r="M249" s="14" t="inlineStr">
        <is>
          <r>
            <t>@樊鹏宇</t>
          </r>
        </is>
      </c>
      <c r="N249" s="14" t="str">
        <v>是</v>
      </c>
      <c r="O249" s="12" t="str">
        <v>樊鹏宇</v>
      </c>
      <c r="P249" s="12" t="str">
        <v>否 - 非控件/功能状态类信号</v>
      </c>
    </row>
    <row r="250" spans="4:16">
      <c r="D250" s="12" t="str">
        <v>车身_滑移屏亮度值</v>
      </c>
      <c r="E250" s="12" t="str">
        <v>0~100%</v>
      </c>
      <c r="I250" s="65" t="str">
        <v>V1.0</v>
      </c>
      <c r="M250" s="14" t="inlineStr">
        <is>
          <r>
            <t>@樊鹏宇</t>
          </r>
        </is>
      </c>
      <c r="N250" s="14" t="str">
        <v>是</v>
      </c>
      <c r="O250" s="12" t="str">
        <v>樊鹏宇</v>
      </c>
      <c r="P250" s="12" t="str">
        <v>是 - 匹配：原子能力清单-车控@樊鹏宇：天幕滑移屏/控制</v>
      </c>
    </row>
    <row r="251" spans="4:16">
      <c r="D251" s="61" t="str">
        <v>车身_屏幕夹持机构状态</v>
      </c>
      <c r="E251" s="61" t="str">
        <v>0=释放, 1=夹持, 2=故障</v>
      </c>
      <c r="M251" s="49" t="inlineStr">
        <is>
          <r>
            <t>@樊鹏宇</t>
          </r>
        </is>
      </c>
      <c r="N251" s="49" t="str">
        <v>是</v>
      </c>
      <c r="O251" s="61" t="str">
        <v>樊鹏宇</v>
      </c>
      <c r="P251" s="61" t="str">
        <v>否 - 未在AI可控原子能力清单匹配</v>
      </c>
    </row>
    <row r="252" spans="3:16">
      <c r="C252" s="12" t="str">
        <v>3.26 ETC状态</v>
      </c>
      <c r="D252" s="12" t="str">
        <v>车身_ETC信息</v>
      </c>
      <c r="E252" s="12" t="str">
        <v>连接: 0=未插入, 1=已插入; 交易: 0=空闲~4=余额不足; 卡片: 0=无卡~3=黑名单; 信号: 0=无信号~2=信号正常</v>
      </c>
      <c r="I252" s="65" t="str">
        <v>V1.0</v>
      </c>
      <c r="M252" s="14" t="inlineStr">
        <is>
          <r>
            <t>@张佳伟</t>
          </r>
        </is>
      </c>
      <c r="P252" s="12" t="str">
        <v>是 - 匹配：原子能力清单-车控@樊鹏宇：ETC/ETC控制</v>
      </c>
    </row>
    <row r="253" spans="4:16">
      <c r="D253" s="12" t="str">
        <v>车身_ETC开关状态</v>
      </c>
      <c r="E253" s="12" t="str">
        <v>0=关闭, 1=开启</v>
      </c>
      <c r="I253" s="65" t="str">
        <v>V1.0</v>
      </c>
      <c r="M253" s="14" t="inlineStr">
        <is>
          <r>
            <t>@张佳伟</t>
          </r>
        </is>
      </c>
      <c r="P253" s="12" t="str">
        <v>是 - 匹配：原子能力清单-车控@樊鹏宇：ETC/ETC控制</v>
      </c>
    </row>
    <row r="254" spans="3:16">
      <c r="C254" s="12" t="str">
        <v>3.28 无线充电状态</v>
      </c>
      <c r="D254" s="12" t="str">
        <v>车身_无线充电状态</v>
      </c>
      <c r="E254" s="12" t="str">
        <v>状态: 0=无设备, 1=检测中, 2=充电中, 3=充电完成, 4=故障; 功率: 0~50 W; 异物检测: 0=无异物, 1=异物检测触发</v>
      </c>
      <c r="I254" s="65" t="str">
        <v>V1.0</v>
      </c>
      <c r="M254" s="14" t="inlineStr">
        <is>
          <r>
            <t>@张佳伟</t>
          </r>
          <r>
            <t>@宋章仪</t>
          </r>
        </is>
      </c>
      <c r="O254" s="12" t="str">
        <v>刘多</v>
      </c>
      <c r="P254" s="12" t="str">
        <v>是 - 匹配：原子能力清单-车控@樊鹏宇：无线充电-仅一个/无线充电</v>
      </c>
    </row>
    <row r="255" ht="140" customHeight="1" spans="3:16">
      <c r="C255" s="12" t="str">
        <v>3.38 仪表指示灯状态</v>
      </c>
      <c r="D255" s="12" t="str">
        <v>仪表_电池低电量告警灯</v>
      </c>
      <c r="E255" s="28" t="str">
        <v>0=熄灭, 1=常亮</v>
      </c>
      <c r="I255" s="65" t="str">
        <v>V1.0</v>
      </c>
      <c r="K255" s="14"/>
      <c r="L255" s="14" t="str">
        <v>黄色</v>
      </c>
      <c r="M255" s="14" t="inlineStr">
        <is>
          <r>
            <t>@刘凡</t>
          </r>
        </is>
      </c>
      <c r="N255" s="14" t="str">
        <v>是</v>
      </c>
      <c r="P255" s="14" t="str">
        <v>否 - 未在AI可控原子能力清单匹配</v>
      </c>
    </row>
    <row r="256" ht="110" customHeight="1" spans="4:16">
      <c r="D256" s="12" t="str">
        <v>仪表_ESC故障灯</v>
      </c>
      <c r="E256" s="12" t="str">
        <v>0=熄灭, 1=常亮(故障), 2=闪烁(ESC激活中)</v>
      </c>
      <c r="I256" s="65" t="str">
        <v>V1.0</v>
      </c>
      <c r="J256" s="14" t="str">
        <v>ok</v>
      </c>
      <c r="K256" s="14"/>
      <c r="L256" s="14" t="str">
        <v>黄色</v>
      </c>
      <c r="M256" s="14" t="inlineStr">
        <is>
          <r>
            <t>@刘凡</t>
          </r>
        </is>
      </c>
      <c r="N256" s="14" t="str">
        <v>是</v>
      </c>
      <c r="P256" s="12" t="str">
        <v>否 - 非控件/功能状态类信号</v>
      </c>
    </row>
    <row r="257" ht="114" customHeight="1" spans="4:16">
      <c r="D257" s="12" t="str">
        <v>仪表_ABS故障灯</v>
      </c>
      <c r="E257" s="12" t="str">
        <v>0=熄灭, 1=常亮(故障)</v>
      </c>
      <c r="I257" s="65" t="str">
        <v>V1.0</v>
      </c>
      <c r="J257" s="14" t="str">
        <v>ok</v>
      </c>
      <c r="K257" s="14"/>
      <c r="L257" s="14" t="str">
        <v>黄色</v>
      </c>
      <c r="M257" s="14" t="inlineStr">
        <is>
          <r>
            <t>@刘凡</t>
          </r>
        </is>
      </c>
      <c r="N257" s="14" t="str">
        <v>是</v>
      </c>
      <c r="P257" s="12" t="str">
        <v>否 - 非控件/功能状态类信号</v>
      </c>
    </row>
    <row r="258" ht="129" customHeight="1" spans="4:16">
      <c r="D258" s="12" t="str">
        <v>仪表_EPB故障灯</v>
      </c>
      <c r="E258" s="13" t="str">
        <v>0=熄灭, 1=常亮(故障), 2=闪烁(进入诊断模式)</v>
      </c>
      <c r="I258" s="65" t="str">
        <v>V1.0</v>
      </c>
      <c r="K258" s="14"/>
      <c r="L258" s="14" t="str">
        <v>黄色</v>
      </c>
      <c r="M258" s="14" t="inlineStr">
        <is>
          <r>
            <t>@刘凡</t>
          </r>
        </is>
      </c>
      <c r="N258" s="14" t="str">
        <v>是</v>
      </c>
      <c r="P258" s="12" t="str">
        <v>否 - 非控件/功能状态类信号</v>
      </c>
    </row>
    <row r="259" ht="111" customHeight="1" spans="4:16">
      <c r="D259" s="12" t="str">
        <v>仪表_安全气囊故障灯</v>
      </c>
      <c r="E259" s="13" t="str">
        <v>0=熄灭, 1=常亮(故障), 2=闪烁(未激活点火功能)</v>
      </c>
      <c r="I259" s="65" t="str">
        <v>V1.0</v>
      </c>
      <c r="K259" s="14"/>
      <c r="L259" s="14" t="str">
        <v>红色</v>
      </c>
      <c r="M259" s="14" t="inlineStr">
        <is>
          <r>
            <t>@刘凡</t>
          </r>
        </is>
      </c>
      <c r="N259" s="14" t="str">
        <v>是</v>
      </c>
      <c r="P259" s="12" t="str">
        <v>否 - 非控件/功能状态类信号</v>
      </c>
    </row>
    <row r="260" ht="134" customHeight="1" spans="4:16">
      <c r="D260" s="12" t="str">
        <v>仪表_安全带未系指示灯</v>
      </c>
      <c r="E260" s="13" t="str">
        <v>0=熄灭, 1=常亮（未系）, 2=闪烁(未系+报警)</v>
      </c>
      <c r="I260" s="65" t="str">
        <v>V1.0</v>
      </c>
      <c r="K260" s="14"/>
      <c r="L260" s="14" t="str">
        <v>红色</v>
      </c>
      <c r="M260" s="14" t="inlineStr">
        <is>
          <r>
            <t>@刘凡</t>
          </r>
        </is>
      </c>
      <c r="N260" s="14" t="str">
        <v>是</v>
      </c>
      <c r="P260" s="12" t="str">
        <v>否 - 未在AI可控原子能力清单匹配</v>
      </c>
    </row>
    <row r="261" spans="4:16">
      <c r="D261" s="12" t="str">
        <v>仪表_胎压故障灯</v>
      </c>
      <c r="E261" s="12" t="str">
        <v>0=熄灭, 1=常亮(胎压异常), 2=闪烁(系统故障)</v>
      </c>
      <c r="I261" s="65" t="str">
        <v>V1.0</v>
      </c>
      <c r="J261" s="42" t="str">
        <v>参照3.5胎压监测状态</v>
      </c>
      <c r="K261" s="14" t="str">
        <v>/</v>
      </c>
      <c r="L261" s="14" t="str">
        <v>/</v>
      </c>
      <c r="M261" s="14" t="inlineStr">
        <is>
          <r>
            <t>@刘凡</t>
          </r>
        </is>
      </c>
      <c r="N261" s="14" t="str">
        <v>是</v>
      </c>
      <c r="P261" s="12" t="str">
        <v>否 - 非控件/功能状态类信号</v>
      </c>
    </row>
    <row r="262" ht="39" customHeight="1" spans="4:16">
      <c r="D262" s="12" t="str">
        <v>仪表_转向系统故障灯</v>
      </c>
      <c r="E262" s="13" t="str">
        <v>0=熄灭, 1=常亮(严重故障，红色), 2=常亮(故障，黄色)</v>
      </c>
      <c r="I262" s="65" t="str">
        <v>V1.0</v>
      </c>
      <c r="K262" s="14"/>
      <c r="L262" s="14" t="str">
        <v>红色
黄色</v>
      </c>
      <c r="M262" s="14" t="inlineStr">
        <is>
          <r>
            <t>@刘凡</t>
          </r>
        </is>
      </c>
      <c r="N262" s="14" t="str">
        <v>是</v>
      </c>
      <c r="P262" s="12" t="str">
        <v>否 - 非控件/功能状态类信号</v>
      </c>
    </row>
    <row r="263" ht="59" customHeight="1" spans="4:16">
      <c r="D263" s="12" t="str">
        <v>仪表_悬架故障灯</v>
      </c>
      <c r="E263" s="13" t="str">
        <v>0=熄灭, 1=常亮(故障，黄色) 2=常亮(严重故障，红色)</v>
      </c>
      <c r="I263" s="65" t="str">
        <v>V1.0</v>
      </c>
      <c r="K263" s="14"/>
      <c r="L263" s="14" t="str">
        <v>红色</v>
      </c>
      <c r="M263" s="14" t="inlineStr">
        <is>
          <r>
            <t>@刘凡</t>
          </r>
        </is>
      </c>
      <c r="N263" s="14" t="str">
        <v>是</v>
      </c>
      <c r="P263" s="12" t="str">
        <v>否 - 非控件/功能状态类信号</v>
      </c>
    </row>
    <row r="264" ht="125" customHeight="1" spans="4:16">
      <c r="D264" s="12" t="str">
        <v>仪表_Ready指示灯</v>
      </c>
      <c r="E264" s="13" t="str">
        <v>0=熄灭(未就绪), 1=常亮绿(高压就绪)</v>
      </c>
      <c r="I264" s="65" t="str">
        <v>V1.0</v>
      </c>
      <c r="K264" s="14"/>
      <c r="L264" s="14" t="str">
        <v>绿色</v>
      </c>
      <c r="M264" s="14" t="inlineStr">
        <is>
          <r>
            <t>@刘凡</t>
          </r>
        </is>
      </c>
      <c r="N264" s="14" t="str">
        <v>是</v>
      </c>
      <c r="P264" s="12" t="str">
        <v>否 - 未在AI可控原子能力清单匹配</v>
      </c>
    </row>
    <row r="265" ht="133" customHeight="1" spans="4:16">
      <c r="D265" s="12" t="str">
        <v>仪表_车灯故障指示灯</v>
      </c>
      <c r="E265" s="12" t="str">
        <v>0=熄灭, 1=常亮(灯光故障)</v>
      </c>
      <c r="I265" s="65" t="str">
        <v>V1.0</v>
      </c>
      <c r="J265" s="14" t="str">
        <v>ok</v>
      </c>
      <c r="K265" s="14"/>
      <c r="L265" s="14" t="str">
        <v>黄色</v>
      </c>
      <c r="M265" s="14" t="inlineStr">
        <is>
          <r>
            <t>@刘凡</t>
          </r>
        </is>
      </c>
      <c r="N265" s="14" t="str">
        <v>是</v>
      </c>
      <c r="P265" s="12" t="str">
        <v>否 - 非控件/功能状态类信号</v>
      </c>
    </row>
    <row r="266" ht="95" customHeight="1" spans="4:16">
      <c r="D266" s="12" t="str">
        <v>仪表_12V蓄电池故障灯</v>
      </c>
      <c r="E266" s="28" t="str">
        <v>0=熄灭, 1=常亮(异常)</v>
      </c>
      <c r="I266" s="65" t="str">
        <v>V1.0</v>
      </c>
      <c r="K266" s="14"/>
      <c r="L266" s="14" t="str">
        <v>红色</v>
      </c>
      <c r="M266" s="14" t="inlineStr">
        <is>
          <r>
            <t>@刘凡</t>
          </r>
        </is>
      </c>
      <c r="N266" s="14" t="str">
        <v>是</v>
      </c>
      <c r="P266" s="14" t="str">
        <v>否 - 非控件/功能状态类信号</v>
      </c>
    </row>
    <row r="267" ht="90" customHeight="1" spans="4:16">
      <c r="D267" s="12" t="str">
        <v>仪表_动力系统故障指示灯</v>
      </c>
      <c r="E267" s="13" t="str">
        <v>0=熄灭, 1=常亮(动力系统故障)</v>
      </c>
      <c r="I267" s="65" t="str">
        <v>V1.0</v>
      </c>
      <c r="K267" s="14"/>
      <c r="L267" s="14" t="str">
        <v>红色</v>
      </c>
      <c r="M267" s="14" t="inlineStr">
        <is>
          <r>
            <t>@刘凡</t>
          </r>
        </is>
      </c>
      <c r="N267" s="14" t="str">
        <v>是</v>
      </c>
      <c r="P267" s="12" t="str">
        <v>否 - 非控件/功能状态类信号</v>
      </c>
    </row>
    <row r="268" ht="140" customHeight="1" spans="4:16">
      <c r="D268" s="12" t="str">
        <v>仪表_制动系统故障灯</v>
      </c>
      <c r="E268" s="28" t="str">
        <v>0=熄灭, 1=常亮(制动系统故障)</v>
      </c>
      <c r="I268" s="65" t="str">
        <v>V1.0</v>
      </c>
      <c r="K268" s="14"/>
      <c r="L268" s="14" t="str">
        <v>红色</v>
      </c>
      <c r="M268" s="14" t="inlineStr">
        <is>
          <r>
            <t>@刘凡</t>
          </r>
        </is>
      </c>
      <c r="N268" s="14" t="str">
        <v>是</v>
      </c>
      <c r="P268" s="14" t="str">
        <v>否 - 非控件/功能状态类信号</v>
      </c>
    </row>
    <row r="269" ht="85" customHeight="1" spans="4:16">
      <c r="D269" s="12" t="str">
        <v>仪表_驻车制动状态灯</v>
      </c>
      <c r="E269" s="28" t="str">
        <v>0=熄灭, 1=常亮红(EPB已施加), 2=闪烁(信号丢失/E2E校验失败)</v>
      </c>
      <c r="I269" s="65" t="str">
        <v>V1.0</v>
      </c>
      <c r="K269" s="14"/>
      <c r="L269" s="14" t="str">
        <v>红色</v>
      </c>
      <c r="M269" s="14" t="inlineStr">
        <is>
          <r>
            <t>@刘凡</t>
          </r>
        </is>
      </c>
      <c r="N269" s="14" t="str">
        <v>是</v>
      </c>
      <c r="P269" s="14" t="str">
        <v>否 - 未在AI可控原子能力清单匹配</v>
      </c>
    </row>
    <row r="270" ht="140" customHeight="1" spans="4:16">
      <c r="D270" s="12" t="str">
        <v>仪表_动力电池故障灯</v>
      </c>
      <c r="E270" s="13" t="str">
        <v>0=熄灭, 1=常亮(电池故障)</v>
      </c>
      <c r="I270" s="65" t="str">
        <v>V1.0</v>
      </c>
      <c r="K270" s="14"/>
      <c r="L270" s="14" t="str">
        <v>红色</v>
      </c>
      <c r="M270" s="14" t="inlineStr">
        <is>
          <r>
            <t>@刘凡</t>
          </r>
        </is>
      </c>
      <c r="N270" s="14" t="str">
        <v>是</v>
      </c>
      <c r="P270" s="12" t="str">
        <v>否 - 非控件/功能状态类信号</v>
      </c>
    </row>
    <row r="271" ht="140" customHeight="1" spans="4:16">
      <c r="D271" s="12" t="str">
        <v>仪表_驱动电机故障灯</v>
      </c>
      <c r="E271" s="13" t="str">
        <v>0=熄灭, 1=常亮(电机故障)</v>
      </c>
      <c r="I271" s="65" t="str">
        <v>V1.0</v>
      </c>
      <c r="K271" s="14"/>
      <c r="L271" s="14" t="str">
        <v>红色</v>
      </c>
      <c r="M271" s="14" t="inlineStr">
        <is>
          <r>
            <t>@刘凡</t>
          </r>
        </is>
      </c>
      <c r="N271" s="14" t="str">
        <v>是</v>
      </c>
      <c r="P271" s="12" t="str">
        <v>否 - 非控件/功能状态类信号</v>
      </c>
    </row>
    <row r="272" ht="39" customHeight="1" spans="4:16">
      <c r="D272" s="12" t="str">
        <v>仪表_EPS严重故障灯</v>
      </c>
      <c r="E272" s="13" t="str">
        <v>0=熄灭, 1=常亮(严重故障，红色), 2=常亮(故障，黄色)</v>
      </c>
      <c r="I272" s="65" t="str">
        <v>V1.0</v>
      </c>
      <c r="J272" s="42" t="str">
        <v>同“仪表_转向系统故障灯”“</v>
      </c>
      <c r="K272" s="14"/>
      <c r="L272" s="14" t="str">
        <v>/</v>
      </c>
      <c r="M272" s="14" t="inlineStr">
        <is>
          <r>
            <t>@刘凡</t>
          </r>
        </is>
      </c>
      <c r="N272" s="14" t="str">
        <v>是</v>
      </c>
      <c r="P272" s="12" t="str">
        <v>否 - 非控件/功能状态类信号</v>
      </c>
    </row>
    <row r="273" ht="140" customHeight="1" spans="4:16">
      <c r="D273" s="12" t="str">
        <v>仪表_功率受限灯</v>
      </c>
      <c r="E273" s="12" t="str">
        <v>0=熄灭, 1=常亮(功率受限)</v>
      </c>
      <c r="I273" s="65" t="str">
        <v>V1.0</v>
      </c>
      <c r="J273" s="14" t="str">
        <v>ok</v>
      </c>
      <c r="K273" s="14"/>
      <c r="L273" s="14" t="str">
        <v>黄色</v>
      </c>
      <c r="M273" s="14" t="inlineStr">
        <is>
          <r>
            <t>@刘凡</t>
          </r>
        </is>
      </c>
      <c r="N273" s="14" t="str">
        <v>是</v>
      </c>
      <c r="P273" s="12" t="str">
        <v>否 - 非控件/功能状态类信号</v>
      </c>
    </row>
    <row r="274" ht="140" customHeight="1" spans="4:16">
      <c r="D274" s="12" t="str">
        <v>仪表_ESC功能关闭灯</v>
      </c>
      <c r="E274" s="12" t="str">
        <v>0=熄灭, 1=常亮(ESC功能已关闭)</v>
      </c>
      <c r="I274" s="65" t="str">
        <v>V1.0</v>
      </c>
      <c r="J274" s="14" t="str">
        <v>ok</v>
      </c>
      <c r="K274" s="14"/>
      <c r="L274" s="14" t="str">
        <v>黄色</v>
      </c>
      <c r="M274" s="14" t="inlineStr">
        <is>
          <r>
            <t>@刘凡</t>
          </r>
        </is>
      </c>
      <c r="N274" s="14" t="str">
        <v>是</v>
      </c>
      <c r="P274" s="12" t="str">
        <v>是 - 匹配：原子能力清单-车控@樊鹏宇：驾驶设置/ESC模式</v>
      </c>
    </row>
    <row r="275" ht="62" customHeight="1" spans="4:16">
      <c r="D275" s="12" t="str">
        <v>仪表_AVH自动驻车指示灯</v>
      </c>
      <c r="E275" s="13" t="str">
        <v>0=熄灭, 1=常亮灰(待机), 2=常亮绿(激活)</v>
      </c>
      <c r="I275" s="65" t="str">
        <v>V1.0</v>
      </c>
      <c r="K275" s="14"/>
      <c r="L275" s="14" t="str">
        <v>灰色
绿色</v>
      </c>
      <c r="M275" s="14" t="inlineStr">
        <is>
          <r>
            <t>@刘凡</t>
          </r>
        </is>
      </c>
      <c r="N275" s="14" t="str">
        <v>是</v>
      </c>
      <c r="P275" s="12" t="str">
        <v>是 - 匹配：原子能力清单-车控@樊鹏宇：驾驶设置/自动驻车(AVH)</v>
      </c>
    </row>
    <row r="276" ht="140" customHeight="1" spans="4:16">
      <c r="D276" s="13" t="str">
        <v>仪表_AVH自动驻车故障指示灯</v>
      </c>
      <c r="E276" s="13" t="str">
        <v>0=熄灭, 1=常亮（故障）</v>
      </c>
      <c r="I276" s="65" t="str">
        <v>V1.0</v>
      </c>
      <c r="K276" s="14"/>
      <c r="L276" s="14" t="str">
        <v>黄色</v>
      </c>
      <c r="M276" s="14" t="inlineStr">
        <is>
          <r>
            <t>@刘凡</t>
          </r>
        </is>
      </c>
      <c r="N276" s="14" t="str">
        <v>是</v>
      </c>
      <c r="P276" s="12" t="str">
        <v>否 - 非控件/功能状态类信号</v>
      </c>
    </row>
    <row r="277" ht="140" customHeight="1" spans="4:16">
      <c r="D277" s="12" t="str">
        <v>仪表_减震器故障灯</v>
      </c>
      <c r="E277" s="12" t="str">
        <v>0=熄灭, 1=常亮(CDC减震器故障)</v>
      </c>
      <c r="I277" s="65" t="str">
        <v>V1.0</v>
      </c>
      <c r="J277" s="12" t="str">
        <v>ok</v>
      </c>
      <c r="K277" s="14"/>
      <c r="L277" s="14" t="str">
        <v>黄色</v>
      </c>
      <c r="M277" s="14" t="inlineStr">
        <is>
          <r>
            <t>@刘凡</t>
          </r>
        </is>
      </c>
      <c r="N277" s="14" t="str">
        <v>是</v>
      </c>
      <c r="P277" s="12" t="str">
        <v>否 - 非控件/功能状态类信号</v>
      </c>
    </row>
    <row r="278" ht="83" customHeight="1" spans="4:16">
      <c r="D278" s="12" t="str">
        <v>仪表_位置灯指示灯</v>
      </c>
      <c r="E278" s="12" t="str">
        <v>0=熄灭, 1=常亮(位置灯已开启)</v>
      </c>
      <c r="I278" s="65" t="str">
        <v>V1.0</v>
      </c>
      <c r="J278" s="12" t="str">
        <v>ok</v>
      </c>
      <c r="K278" s="14"/>
      <c r="L278" s="14" t="str">
        <v>绿色</v>
      </c>
      <c r="M278" s="14" t="inlineStr">
        <is>
          <r>
            <t>@刘凡</t>
          </r>
        </is>
      </c>
      <c r="N278" s="14" t="str">
        <v>是</v>
      </c>
      <c r="P278" s="12" t="str">
        <v>是 - 匹配：原子能力清单-车控@樊鹏宇：车外灯光/位置灯控制</v>
      </c>
    </row>
    <row r="279" ht="95" customHeight="1" spans="4:16">
      <c r="D279" s="12" t="str">
        <v>仪表_近光灯指示灯</v>
      </c>
      <c r="E279" s="12" t="str">
        <v>0=熄灭, 1=常亮(近光灯已开启)</v>
      </c>
      <c r="I279" s="65" t="str">
        <v>V1.0</v>
      </c>
      <c r="J279" s="12" t="str">
        <v>ok</v>
      </c>
      <c r="K279" s="14"/>
      <c r="L279" s="14" t="str">
        <v>绿色</v>
      </c>
      <c r="M279" s="14" t="inlineStr">
        <is>
          <r>
            <t>@刘凡</t>
          </r>
        </is>
      </c>
      <c r="N279" s="14" t="str">
        <v>是</v>
      </c>
      <c r="P279" s="12" t="str">
        <v>是 - 匹配：原子能力清单-车控@樊鹏宇：车外灯光/近光灯控制</v>
      </c>
    </row>
    <row r="280" ht="41" customHeight="1" spans="4:16">
      <c r="D280" s="12" t="str">
        <v>仪表_远光灯指示灯</v>
      </c>
      <c r="E280" s="13" t="str">
        <v>0=熄灭, 1=常亮蓝无AUTO(远光灯已开启，自动远光关闭), 2=常亮蓝有AUTO（远光灯已开启，自动远光开启），3=常亮灰有AUTO（远光灯已关闭，自动远光开启）</v>
      </c>
      <c r="I280" s="65" t="str">
        <v>V1.0</v>
      </c>
      <c r="K280" s="14"/>
      <c r="L280" s="14" t="str">
        <v>蓝色
灰色</v>
      </c>
      <c r="M280" s="14" t="inlineStr">
        <is>
          <r>
            <t>@刘凡</t>
          </r>
        </is>
      </c>
      <c r="N280" s="14" t="str">
        <v>是</v>
      </c>
      <c r="P280" s="12" t="str">
        <v>否 - 未在AI可控原子能力清单匹配</v>
      </c>
    </row>
    <row r="281" ht="116" customHeight="1" spans="4:16">
      <c r="D281" s="12" t="str">
        <v>仪表_后雾灯指示灯</v>
      </c>
      <c r="E281" s="12" t="str">
        <v>0=熄灭, 1=常亮(后雾灯已开启)</v>
      </c>
      <c r="I281" s="65" t="str">
        <v>V1.0</v>
      </c>
      <c r="J281" s="14" t="str">
        <v>ok</v>
      </c>
      <c r="K281" s="14"/>
      <c r="L281" s="14" t="str">
        <v>黄色</v>
      </c>
      <c r="M281" s="14" t="inlineStr">
        <is>
          <r>
            <t>@刘凡</t>
          </r>
        </is>
      </c>
      <c r="N281" s="14" t="str">
        <v>是</v>
      </c>
      <c r="P281" s="12" t="str">
        <v>是 - 匹配：原子能力清单-车控@樊鹏宇：车外灯光/后雾灯</v>
      </c>
    </row>
    <row r="282" ht="102" customHeight="1" spans="4:16">
      <c r="D282" s="12" t="str">
        <v>仪表_充电枪连接指示灯</v>
      </c>
      <c r="E282" s="28" t="str">
        <v>0=熄灭, 1=常亮(充电枪已连接)</v>
      </c>
      <c r="I282" s="65" t="str">
        <v>V1.0</v>
      </c>
      <c r="K282" s="14"/>
      <c r="L282" s="14" t="str">
        <v>红色</v>
      </c>
      <c r="M282" s="14" t="inlineStr">
        <is>
          <r>
            <t>@刘凡</t>
          </r>
        </is>
      </c>
      <c r="N282" s="14" t="str">
        <v>是</v>
      </c>
      <c r="O282" s="14" t="str">
        <v>张子羽</v>
      </c>
      <c r="P282" s="14" t="str">
        <v>否 - 未在AI可控原子能力清单匹配</v>
      </c>
    </row>
    <row r="283" ht="88" customHeight="1" spans="4:16">
      <c r="D283" s="12" t="str">
        <v>仪表_AEB故障灯</v>
      </c>
      <c r="E283" s="13" t="str">
        <v>0=熄灭, 1=常亮黄(AEB故障)</v>
      </c>
      <c r="I283" s="65" t="str">
        <v>V1.0</v>
      </c>
      <c r="K283" s="25"/>
      <c r="L283" s="14" t="str">
        <v>黄色</v>
      </c>
      <c r="M283" s="14" t="inlineStr">
        <is>
          <r>
            <t>@刘凡</t>
          </r>
        </is>
      </c>
      <c r="N283" s="14" t="str">
        <v>是</v>
      </c>
      <c r="P283" s="12" t="str">
        <v>否 - 非控件/功能状态类信号</v>
      </c>
    </row>
    <row r="284" ht="101" customHeight="1" spans="4:16">
      <c r="D284" s="12" t="str">
        <v>仪表_LKA故障灯</v>
      </c>
      <c r="E284" s="13" t="str">
        <v>0=熄灭, 1=常亮黄(LKA故障)</v>
      </c>
      <c r="I284" s="65" t="str">
        <v>V1.0</v>
      </c>
      <c r="K284" s="25"/>
      <c r="L284" s="14" t="str">
        <v>黄色</v>
      </c>
      <c r="M284" s="14" t="inlineStr">
        <is>
          <r>
            <t>@刘凡</t>
          </r>
        </is>
      </c>
      <c r="N284" s="14" t="str">
        <v>是</v>
      </c>
      <c r="P284" s="12" t="str">
        <v>否 - 非控件/功能状态类信号</v>
      </c>
    </row>
    <row r="285" ht="88" customHeight="1" spans="4:16">
      <c r="D285" s="12" t="str">
        <v>仪表_AEB关闭灯</v>
      </c>
      <c r="E285" s="12" t="str">
        <v>0=熄灭, 1=常亮(AEB功能已关闭)</v>
      </c>
      <c r="I285" s="65" t="str">
        <v>V1.0</v>
      </c>
      <c r="J285" s="14" t="str">
        <v>ok</v>
      </c>
      <c r="K285" s="25"/>
      <c r="L285" s="14" t="str">
        <v>黄色</v>
      </c>
      <c r="M285" s="14" t="inlineStr">
        <is>
          <r>
            <t>@刘凡</t>
          </r>
        </is>
      </c>
      <c r="N285" s="14" t="str">
        <v>是</v>
      </c>
      <c r="P285" s="12" t="str">
        <v>否 - 未在AI可控原子能力清单匹配</v>
      </c>
    </row>
    <row r="286" ht="147" customHeight="1" spans="4:16">
      <c r="D286" s="12" t="str">
        <v>仪表_AFS故障灯</v>
      </c>
      <c r="E286" s="13" t="str">
        <v>0=熄灭, 1=常亮黄(AFS故障)</v>
      </c>
      <c r="I286" s="65" t="str">
        <v>V1.0</v>
      </c>
      <c r="K286" s="25"/>
      <c r="L286" s="14" t="str">
        <v>黄色</v>
      </c>
      <c r="M286" s="14" t="inlineStr">
        <is>
          <r>
            <t>@刘凡</t>
          </r>
        </is>
      </c>
      <c r="N286" s="14" t="str">
        <v>是</v>
      </c>
      <c r="P286" s="12" t="str">
        <v>否 - 非控件/功能状态类信号</v>
      </c>
    </row>
    <row r="287" ht="140" customHeight="1" spans="4:16">
      <c r="D287" s="12" t="str">
        <v>仪表_HDC故障灯</v>
      </c>
      <c r="E287" s="28" t="str">
        <v>0=熄灭, 1=常亮黄(HDC故障)</v>
      </c>
      <c r="I287" s="65" t="str">
        <v>V1.0</v>
      </c>
      <c r="K287" s="14"/>
      <c r="L287" s="14" t="str">
        <v>黄色</v>
      </c>
      <c r="M287" s="14" t="inlineStr">
        <is>
          <r>
            <t>@刘凡</t>
          </r>
        </is>
      </c>
      <c r="N287" s="14" t="str">
        <v>是</v>
      </c>
      <c r="P287" s="14" t="str">
        <v>否 - 非控件/功能状态类信号</v>
      </c>
    </row>
    <row r="288" ht="80" customHeight="1" spans="4:16">
      <c r="D288" s="12" t="str">
        <v>仪表_HDC工作灯</v>
      </c>
      <c r="E288" s="13" t="str">
        <v>0=熄灭, 1=常亮灰(HD已启动), 2=常亮绿(HD已激活)</v>
      </c>
      <c r="I288" s="65" t="str">
        <v>V1.0</v>
      </c>
      <c r="K288" s="14"/>
      <c r="L288" s="14" t="str">
        <v>灰色
绿色</v>
      </c>
      <c r="M288" s="14" t="inlineStr">
        <is>
          <r>
            <t>@刘凡</t>
          </r>
        </is>
      </c>
      <c r="N288" s="14" t="str">
        <v>是</v>
      </c>
      <c r="P288" s="12" t="str">
        <v>否 - 未在AI可控原子能力清单匹配</v>
      </c>
    </row>
    <row r="289" ht="93" customHeight="1" spans="4:16">
      <c r="D289" s="12" t="str">
        <v>仪表_左转向指示灯</v>
      </c>
      <c r="E289" s="12" t="str">
        <v>0=熄灭, 1=闪烁(左转向激活)</v>
      </c>
      <c r="I289" s="65" t="str">
        <v>V1.0</v>
      </c>
      <c r="J289" s="14" t="str">
        <v>ok</v>
      </c>
      <c r="K289" s="14"/>
      <c r="L289" s="14" t="str">
        <v>绿色</v>
      </c>
      <c r="M289" s="14" t="inlineStr">
        <is>
          <r>
            <t>@刘凡</t>
          </r>
        </is>
      </c>
      <c r="N289" s="14" t="str">
        <v>是</v>
      </c>
      <c r="P289" s="12" t="str">
        <v>否 - 未在AI可控原子能力清单匹配</v>
      </c>
    </row>
    <row r="290" ht="99" customHeight="1" spans="4:16">
      <c r="D290" s="12" t="str">
        <v>仪表_右转向指示灯</v>
      </c>
      <c r="E290" s="12" t="str">
        <v>0=熄灭, 1=闪烁(右转向激活)</v>
      </c>
      <c r="I290" s="65" t="str">
        <v>V1.0</v>
      </c>
      <c r="J290" s="14" t="str">
        <v>ok</v>
      </c>
      <c r="K290" s="14"/>
      <c r="L290" s="14" t="str">
        <v>绿色</v>
      </c>
      <c r="M290" s="14" t="inlineStr">
        <is>
          <r>
            <t>@刘凡</t>
          </r>
        </is>
      </c>
      <c r="N290" s="14" t="str">
        <v>是</v>
      </c>
      <c r="P290" s="12" t="str">
        <v>否 - 未在AI可控原子能力清单匹配</v>
      </c>
    </row>
    <row r="291" ht="120" customHeight="1" spans="4:16">
      <c r="D291" s="12" t="str">
        <v>仪表_拖车链接状态灯</v>
      </c>
      <c r="E291" s="13" t="str">
        <v>0=熄灭, 1=常亮绿(拖车已连接), 2=常亮红(拖车连接故障)</v>
      </c>
      <c r="I291" s="65" t="str">
        <v>V1.0</v>
      </c>
      <c r="K291" s="14"/>
      <c r="L291" s="14" t="str">
        <v>绿色
红色</v>
      </c>
      <c r="M291" s="14" t="inlineStr">
        <is>
          <r>
            <t>@刘凡</t>
          </r>
        </is>
      </c>
      <c r="N291" s="14" t="str">
        <v>是</v>
      </c>
      <c r="P291" s="12" t="str">
        <v>否 - 未在AI可控原子能力清单匹配</v>
      </c>
    </row>
    <row r="292" spans="2:16">
      <c r="B292" s="3" t="str">
        <v>3.2整车</v>
      </c>
      <c r="D292" s="12" t="str">
        <v>整车车辆解锁状态</v>
      </c>
      <c r="E292" s="13" t="str">
        <v>0=闭锁；1=解锁</v>
      </c>
      <c r="I292" s="65" t="str">
        <v>V1.0</v>
      </c>
      <c r="O292" s="12" t="str">
        <v>赵益乐-车外语音需要，整车解锁可进行车窗后备箱等车控的打开关闭</v>
      </c>
      <c r="P292" s="12" t="str">
        <v>否-未在AI可控原子能力清单匹配</v>
      </c>
    </row>
    <row r="293" spans="1:16">
      <c r="A293" s="12" t="str">
        <v>四、热管理域</v>
      </c>
      <c r="C293" s="12" t="str">
        <v>4.1 空调工作状态</v>
      </c>
      <c r="D293" s="12" t="str">
        <v>热管理_空调工作状态</v>
      </c>
      <c r="E293" s="12" t="str">
        <v>0=关闭, 1=打开</v>
      </c>
      <c r="I293" s="65" t="str">
        <v>V1.0</v>
      </c>
      <c r="M293" s="14" t="inlineStr">
        <is>
          <r>
            <t>@陈杰</t>
          </r>
        </is>
      </c>
      <c r="N293" s="14" t="str">
        <v>是</v>
      </c>
      <c r="O293" s="12" t="str">
        <v>朱婧雯</v>
      </c>
      <c r="P293" s="12" t="str">
        <v>是 - 匹配：原子能力清单-车控@樊鹏宇：空调/空调开关</v>
      </c>
    </row>
    <row r="294" spans="4:16">
      <c r="D294" s="12" t="str">
        <v>A/C开关</v>
      </c>
      <c r="E294" s="12" t="str">
        <v>0=关闭, 1=打开</v>
      </c>
      <c r="I294" s="65" t="str">
        <v>V1.0</v>
      </c>
      <c r="M294" s="14" t="inlineStr">
        <is>
          <r>
            <t>@陈杰</t>
          </r>
        </is>
      </c>
      <c r="N294" s="14" t="str">
        <v>是</v>
      </c>
      <c r="P294" s="12" t="str">
        <v>是 - 匹配：原子能力清单-车控@樊鹏宇：空调/A/C开关</v>
      </c>
    </row>
    <row r="295" spans="4:16">
      <c r="D295" s="12" t="str">
        <v>热管理_主驾温度设置值</v>
      </c>
      <c r="E295" s="12" t="str">
        <v>Lo~16.5~17~...~30~30.5~Hi degC</v>
      </c>
      <c r="I295" s="65" t="str">
        <v>V1.0</v>
      </c>
      <c r="M295" s="14" t="inlineStr">
        <is>
          <r>
            <t>@陈杰</t>
          </r>
        </is>
      </c>
      <c r="N295" s="14" t="str">
        <v>是</v>
      </c>
      <c r="P295" s="12" t="str">
        <v>是 - 匹配：原子能力清单-车控@樊鹏宇：空调/主驾温度调节</v>
      </c>
    </row>
    <row r="296" spans="4:16">
      <c r="D296" s="12" t="str">
        <v>热管理_主驾风量设置值</v>
      </c>
      <c r="E296" s="12" t="str">
        <v>0~9档</v>
      </c>
      <c r="I296" s="65" t="str">
        <v>V1.0</v>
      </c>
      <c r="M296" s="14" t="inlineStr">
        <is>
          <r>
            <t>@陈杰</t>
          </r>
        </is>
      </c>
      <c r="N296" s="14" t="str">
        <v>是</v>
      </c>
      <c r="O296" s="12" t="str">
        <v>陈杰</v>
      </c>
      <c r="P296" s="12" t="str">
        <v>是 - 匹配：原子能力清单-车控@樊鹏宇：空调/主驾风量调节</v>
      </c>
    </row>
    <row r="297" spans="4:16">
      <c r="D297" s="12" t="str">
        <v>热管理_主驾出风模式状态</v>
      </c>
      <c r="E297" s="12" t="str">
        <v>0=吹面, 1=吹脚, 2=吹窗, 3=吹面+吹脚, 4=吹脚+吹窗，5=吹面+吹窗，6=吹面+吹脚+吹窗</v>
      </c>
      <c r="I297" s="65" t="str">
        <v>V1.0</v>
      </c>
      <c r="M297" s="14" t="inlineStr">
        <is>
          <r>
            <t>@陈杰</t>
          </r>
        </is>
      </c>
      <c r="N297" s="14" t="str">
        <v>是</v>
      </c>
      <c r="P297" s="12" t="str">
        <v>是 - 匹配：原子能力清单-车控@樊鹏宇：空调/主驾出风模式切换</v>
      </c>
    </row>
    <row r="298" spans="4:16">
      <c r="D298" s="12" t="str">
        <v>热管理_主驾自动空调状态</v>
      </c>
      <c r="E298" s="12" t="str">
        <v>0=关闭, 1=开启</v>
      </c>
      <c r="I298" s="65" t="str">
        <v>V1.0</v>
      </c>
      <c r="M298" s="14" t="inlineStr">
        <is>
          <r>
            <t>@陈杰</t>
          </r>
        </is>
      </c>
      <c r="N298" s="14" t="str">
        <v>是</v>
      </c>
      <c r="P298" s="12" t="str">
        <v>是 - 匹配：原子能力清单-车控@樊鹏宇：空调/主驾自动空调auto</v>
      </c>
    </row>
    <row r="299" spans="4:16">
      <c r="D299" s="12" t="str">
        <v>热管理_副驾温度设置值</v>
      </c>
      <c r="E299" s="12" t="str">
        <v>Lo~16.5~17~...~30~30.5~Hi degC</v>
      </c>
      <c r="I299" s="65" t="str">
        <v>V1.0</v>
      </c>
      <c r="M299" s="14" t="inlineStr">
        <is>
          <r>
            <t>@陈杰</t>
          </r>
        </is>
      </c>
      <c r="N299" s="14" t="str">
        <v>是</v>
      </c>
      <c r="P299" s="12" t="str">
        <v>是 - 匹配：原子能力清单-车控@樊鹏宇：空调/副驾温度调节</v>
      </c>
    </row>
    <row r="300" spans="4:16">
      <c r="D300" s="12" t="str">
        <v>热管理_副驾风量设置值</v>
      </c>
      <c r="E300" s="12" t="str">
        <v>0~9档</v>
      </c>
      <c r="I300" s="65" t="str">
        <v>V1.0</v>
      </c>
      <c r="M300" s="14" t="inlineStr">
        <is>
          <r>
            <t>@陈杰</t>
          </r>
        </is>
      </c>
      <c r="N300" s="14" t="str">
        <v>是</v>
      </c>
      <c r="O300" s="12" t="str">
        <v>陈杰</v>
      </c>
      <c r="P300" s="12" t="str">
        <v>是 - 匹配：原子能力清单-车控@樊鹏宇：空调/副驾风量调节</v>
      </c>
    </row>
    <row r="301" spans="4:16">
      <c r="D301" s="12" t="str">
        <v>热管理_副驾出风模式状态</v>
      </c>
      <c r="E301" s="12" t="str">
        <v>0=吹面, 1=吹脚, 2=吹面+吹脚</v>
      </c>
      <c r="I301" s="65" t="str">
        <v>V1.0</v>
      </c>
      <c r="M301" s="14" t="inlineStr">
        <is>
          <r>
            <t>@陈杰</t>
          </r>
        </is>
      </c>
      <c r="N301" s="14" t="str">
        <v>是</v>
      </c>
      <c r="P301" s="12" t="str">
        <v>是 - 匹配：原子能力清单-车控@樊鹏宇：空调/主驾出风模式切换</v>
      </c>
    </row>
    <row r="302" spans="4:16">
      <c r="D302" s="12" t="str">
        <v>热管理_副驾自动空调状态</v>
      </c>
      <c r="E302" s="12" t="str">
        <v>0=关闭, 1=开启</v>
      </c>
      <c r="I302" s="65" t="str">
        <v>V1.0</v>
      </c>
      <c r="M302" s="14" t="inlineStr">
        <is>
          <r>
            <t>@陈杰</t>
          </r>
        </is>
      </c>
      <c r="N302" s="14" t="str">
        <v>是</v>
      </c>
      <c r="P302" s="12" t="str">
        <v>是 - 匹配：原子能力清单-车控@樊鹏宇：空调/副驾自动空调auto</v>
      </c>
    </row>
    <row r="303" spans="4:16">
      <c r="D303" s="12" t="str">
        <v>热管理_内外循环状态</v>
      </c>
      <c r="E303" s="12" t="str">
        <v>0=内循环, 1=外循环, 2=自动循环</v>
      </c>
      <c r="I303" s="65" t="str">
        <v>V1.0</v>
      </c>
      <c r="M303" s="14" t="inlineStr">
        <is>
          <r>
            <t>@陈杰</t>
          </r>
        </is>
      </c>
      <c r="N303" s="14" t="str">
        <v>是</v>
      </c>
      <c r="O303" s="12" t="str">
        <v>朱婧雯</v>
      </c>
      <c r="P303" s="12" t="str">
        <v>是 - 匹配：原子能力清单-车控@樊鹏宇：空调/内外循环切换</v>
      </c>
    </row>
    <row r="304" spans="4:16">
      <c r="D304" s="12" t="str">
        <v>热管理_前除雾状态</v>
      </c>
      <c r="E304" s="12" t="str">
        <v>0=关闭, 1=开启</v>
      </c>
      <c r="I304" s="65" t="str">
        <v>V1.0</v>
      </c>
      <c r="M304" s="14" t="inlineStr">
        <is>
          <r>
            <t>@陈杰</t>
          </r>
        </is>
      </c>
      <c r="N304" s="14" t="str">
        <v>是</v>
      </c>
      <c r="P304" s="12" t="str">
        <v>是 - 匹配：原子能力清单-车控@樊鹏宇：空调/前除雾</v>
      </c>
    </row>
    <row r="305" spans="4:16">
      <c r="D305" s="12" t="str">
        <v>热管理_自动除雾状态</v>
      </c>
      <c r="E305" s="12" t="str">
        <v>0=关闭, 1=开启</v>
      </c>
      <c r="I305" s="65" t="str">
        <v>V1.0</v>
      </c>
      <c r="M305" s="14" t="inlineStr">
        <is>
          <r>
            <t>@陈杰</t>
          </r>
        </is>
      </c>
      <c r="N305" s="14" t="str">
        <v>是</v>
      </c>
      <c r="O305" s="12" t="str">
        <v>陈杰</v>
      </c>
      <c r="P305" s="12" t="str">
        <v>是 - 匹配：原子能力清单-车控@樊鹏宇：空调/自动除雾</v>
      </c>
    </row>
    <row r="306" spans="4:16">
      <c r="D306" s="12" t="str">
        <v>热管理_空调同步状态</v>
      </c>
      <c r="E306" s="12" t="str">
        <v>0=未同步, 1=已同步</v>
      </c>
      <c r="I306" s="65" t="str">
        <v>V1.0</v>
      </c>
      <c r="M306" s="14" t="inlineStr">
        <is>
          <r>
            <t>@陈杰</t>
          </r>
        </is>
      </c>
      <c r="N306" s="14" t="str">
        <v>是</v>
      </c>
      <c r="P306" s="12" t="str">
        <v>是 - 匹配：原子能力清单-车控@樊鹏宇：空调/空调开关</v>
      </c>
    </row>
    <row r="307" spans="3:16">
      <c r="C307" s="12" t="str">
        <v>4.2 空气净化状态</v>
      </c>
      <c r="D307" s="12" t="str">
        <v>热管理_空气净化工作状态</v>
      </c>
      <c r="E307" s="12" t="str">
        <v>0=关闭, 1=打开</v>
      </c>
      <c r="I307" s="65" t="str">
        <v>V1.0</v>
      </c>
      <c r="M307" s="14" t="inlineStr">
        <is>
          <r>
            <t>@陈杰</t>
          </r>
        </is>
      </c>
      <c r="N307" s="14" t="str">
        <v>是</v>
      </c>
      <c r="O307" s="12" t="str">
        <v>陈杰</v>
      </c>
      <c r="P307" s="12" t="str">
        <v>是 - 匹配：原子能力清单-车控@樊鹏宇：空调/空气净化</v>
      </c>
    </row>
    <row r="308" spans="3:16">
      <c r="C308" s="12" t="str">
        <v>4.4 环境监测状态</v>
      </c>
      <c r="D308" s="12" t="str">
        <v>PM2.5</v>
      </c>
      <c r="E308" s="12" t="str">
        <v>ug/m³</v>
      </c>
      <c r="I308" s="65" t="str">
        <v>V1.0</v>
      </c>
      <c r="M308" s="14" t="inlineStr">
        <is>
          <r>
            <t>@陈杰</t>
          </r>
        </is>
      </c>
      <c r="N308" s="14" t="str">
        <v>是</v>
      </c>
      <c r="O308" s="12" t="str">
        <v>冯艺玮</v>
      </c>
      <c r="P308" s="12" t="str">
        <v>否 - 未在AI可控原子能力清单匹配</v>
      </c>
    </row>
    <row r="309" spans="4:16">
      <c r="D309" s="12" t="str">
        <v>热管理_AQS环境监测扩展状态</v>
      </c>
      <c r="E309" s="12" t="str">
        <v>等级0-5</v>
      </c>
      <c r="I309" s="65" t="str">
        <v>V1.0</v>
      </c>
      <c r="M309" s="14" t="inlineStr">
        <is>
          <r>
            <t>@陈杰</t>
          </r>
        </is>
      </c>
      <c r="N309" s="14" t="str">
        <v>是</v>
      </c>
      <c r="P309" s="12" t="str">
        <v>否 - 未在AI可控原子能力清单匹配</v>
      </c>
    </row>
    <row r="310" spans="3:16">
      <c r="C310" s="12" t="str">
        <v>4.5 电动风口状态</v>
      </c>
      <c r="D310" s="12" t="str">
        <v>主驾电动风口状态</v>
      </c>
      <c r="E310" s="12" t="str">
        <v>避人吹/对人吹/扫吹/风向调节/自然风模式1/2</v>
      </c>
      <c r="I310" s="65" t="str">
        <v>V1.0</v>
      </c>
      <c r="M310" s="14" t="inlineStr">
        <is>
          <r>
            <t>@陈杰</t>
          </r>
        </is>
      </c>
      <c r="N310" s="14" t="str">
        <v>是</v>
      </c>
      <c r="P310" s="12" t="str">
        <v>否 - 未在AI可控原子能力清单匹配</v>
      </c>
    </row>
    <row r="311" spans="4:16">
      <c r="D311" s="12" t="str">
        <v>主驾电动风口1状态</v>
      </c>
      <c r="E311" s="12" t="str">
        <v>上下0～100%，左右0～100%</v>
      </c>
      <c r="I311" s="65" t="str">
        <v>V1.0</v>
      </c>
      <c r="M311" s="14" t="inlineStr">
        <is>
          <r>
            <t>@陈杰</t>
          </r>
        </is>
      </c>
      <c r="N311" s="14" t="str">
        <v>是</v>
      </c>
      <c r="P311" s="12" t="str">
        <v>否 - 未在AI可控原子能力清单匹配</v>
      </c>
    </row>
    <row r="312" spans="4:16">
      <c r="D312" s="12" t="str">
        <v>主驾电动风口2状态</v>
      </c>
      <c r="E312" s="12" t="str">
        <v>上下0～100%，左右0～100%</v>
      </c>
      <c r="I312" s="65" t="str">
        <v>V1.0</v>
      </c>
      <c r="M312" s="14" t="inlineStr">
        <is>
          <r>
            <t>@陈杰</t>
          </r>
        </is>
      </c>
      <c r="N312" s="14" t="str">
        <v>是</v>
      </c>
      <c r="P312" s="12" t="str">
        <v>否 - 未在AI可控原子能力清单匹配</v>
      </c>
    </row>
    <row r="313" spans="4:16">
      <c r="D313" s="12" t="str">
        <v>副驾电动风口模式</v>
      </c>
      <c r="E313" s="12" t="str">
        <v>避人吹/对人吹/扫吹/风向调节/自然风模式1/2</v>
      </c>
      <c r="I313" s="65" t="str">
        <v>V1.0</v>
      </c>
      <c r="M313" s="14" t="inlineStr">
        <is>
          <r>
            <t>@陈杰</t>
          </r>
        </is>
      </c>
      <c r="N313" s="14" t="str">
        <v>是</v>
      </c>
      <c r="P313" s="12" t="str">
        <v>否 - 未在AI可控原子能力清单匹配</v>
      </c>
    </row>
    <row r="314" spans="4:16">
      <c r="D314" s="12" t="str">
        <v>副驾电动风口1状态</v>
      </c>
      <c r="E314" s="12" t="str">
        <v>上下0～100%，左右0～100%</v>
      </c>
      <c r="I314" s="65" t="str">
        <v>V1.0</v>
      </c>
      <c r="M314" s="14" t="inlineStr">
        <is>
          <r>
            <t>@陈杰</t>
          </r>
        </is>
      </c>
      <c r="N314" s="14" t="str">
        <v>是</v>
      </c>
      <c r="P314" s="12" t="str">
        <v>否 - 未在AI可控原子能力清单匹配</v>
      </c>
    </row>
    <row r="315" spans="4:16">
      <c r="D315" s="12" t="str">
        <v>副驾电动风口2状态</v>
      </c>
      <c r="E315" s="12" t="str">
        <v>上下0～100%，左右0～100%</v>
      </c>
      <c r="I315" s="65" t="str">
        <v>V1.0</v>
      </c>
      <c r="M315" s="14" t="inlineStr">
        <is>
          <r>
            <t>@陈杰</t>
          </r>
        </is>
      </c>
      <c r="N315" s="14" t="str">
        <v>是</v>
      </c>
      <c r="P315" s="12" t="str">
        <v>否 - 未在AI可控原子能力清单匹配</v>
      </c>
    </row>
    <row r="316" spans="1:16">
      <c r="A316" s="50" t="str">
        <v>五、智驾域</v>
      </c>
      <c r="C316" s="61" t="str">
        <v>5.1 智驾系统状态</v>
      </c>
      <c r="D316" s="61" t="str">
        <v>智驾_工作状态</v>
      </c>
      <c r="E316" s="61" t="str">
        <v>0=关闭, 1=待机, 2=L1_ACC, 3=L2_LCC, 4=L2_NOA激活, 5=L2.5自动变道, 6=L3有条件自动驾驶, 7=L4高度自动驾驶, 0xE=接管请求, 0xF=故障</v>
      </c>
      <c r="M316" s="48" t="inlineStr">
        <is>
          <r>
            <t>@严怡辰</t>
          </r>
        </is>
      </c>
      <c r="P316" s="61" t="str">
        <v>否 - 未在AI可控原子能力清单匹配</v>
      </c>
    </row>
    <row r="317" spans="3:16">
      <c r="C317" s="12" t="str">
        <v>5.1智驾语音控车</v>
      </c>
      <c r="D317" s="12" t="str">
        <v>智驾_语音控车开关</v>
      </c>
      <c r="E317" s="12" t="str">
        <v>0=开, 1=关</v>
      </c>
      <c r="I317" s="13" t="str">
        <v>v1.2</v>
      </c>
      <c r="M317" s="14" t="inlineStr">
        <is>
          <r>
            <t>@严怡辰</t>
          </r>
        </is>
      </c>
      <c r="N317" s="14" t="str">
        <v>是</v>
      </c>
      <c r="P317" s="12" t="str">
        <v>是 - 匹配：语音控制可打开/关闭VLA语音控车开关。</v>
      </c>
    </row>
    <row r="318" spans="3:16">
      <c r="C318" s="83" t="str">
        <v>5.3 高精GNSS数据</v>
      </c>
      <c r="D318" s="83" t="str">
        <v>智驾_高精度GNSS数据</v>
      </c>
      <c r="E318" s="83" t="str">
        <v>Struct: 纬度(-90~+90 deg), 经度(-180~+180 deg), 高程(-100~+10000 m), HDOP(0~50), VDOP(0~50), 卫星数(0~64), 定位模式(0~5=RTK固定), 差分校正龄期(0~6000 ms)</v>
      </c>
      <c r="M318" s="84" t="inlineStr">
        <is>
          <r>
            <t>@严怡辰</t>
          </r>
        </is>
      </c>
      <c r="P318" s="83" t="str">
        <v>否 - 非控件/功能状态类信号</v>
      </c>
    </row>
    <row r="319" spans="3:16">
      <c r="C319" s="12" t="str">
        <v>5.5 智驾个性化</v>
      </c>
      <c r="D319" s="12" t="str">
        <v>智驾_风格状态</v>
      </c>
      <c r="E319" s="12" t="str">
        <v>0=敏捷, 1=标准, 2=柔和</v>
      </c>
      <c r="I319" s="65" t="str">
        <v>V1.0</v>
      </c>
      <c r="M319" s="14" t="inlineStr">
        <is>
          <r>
            <t>@严怡辰</t>
          </r>
        </is>
      </c>
      <c r="P319" s="12" t="str">
        <v>是 - 匹配：原子能力清单-智驾@严怡辰（原子能力不依赖字节）：语音控制智驾/个性化设置/智驾风格调整</v>
      </c>
    </row>
    <row r="320" spans="4:16">
      <c r="D320" s="83" t="str">
        <v>智驾_车距挡位状态</v>
      </c>
      <c r="E320" s="83" t="str">
        <v>0=近, 1=中, 2=远</v>
      </c>
      <c r="M320" s="84" t="inlineStr">
        <is>
          <r>
            <t>@严怡辰</t>
          </r>
        </is>
      </c>
      <c r="P320" s="83" t="str">
        <v>否 - 未在AI可控原子能力清单匹配</v>
      </c>
    </row>
    <row r="321" spans="4:16">
      <c r="D321" s="83" t="str">
        <v>智驾_车速设定状态</v>
      </c>
      <c r="E321" s="83" t="str">
        <v>0~最高限速 km/h</v>
      </c>
      <c r="M321" s="84" t="inlineStr">
        <is>
          <r>
            <t>@严怡辰</t>
          </r>
        </is>
      </c>
      <c r="P321" s="83" t="str">
        <v>否 - 未在AI可控原子能力清单匹配</v>
      </c>
    </row>
    <row r="322" spans="4:16">
      <c r="D322" s="83" t="str">
        <v>智驾_横向避让状态</v>
      </c>
      <c r="E322" s="83" t="str">
        <v>0=未激活, 1=激活</v>
      </c>
      <c r="M322" s="84" t="inlineStr">
        <is>
          <r>
            <t>@严怡辰</t>
          </r>
        </is>
      </c>
      <c r="P322" s="83" t="str">
        <v>否 - 未在AI可控原子能力清单匹配</v>
      </c>
    </row>
    <row r="323" spans="4:16">
      <c r="D323" s="83" t="str">
        <v>智驾_横向变道状态</v>
      </c>
      <c r="E323" s="83" t="str">
        <v>0=未激活, 1=左变道, 2=右变道</v>
      </c>
      <c r="M323" s="84" t="inlineStr">
        <is>
          <r>
            <t>@严怡辰</t>
          </r>
        </is>
      </c>
      <c r="P323" s="83" t="str">
        <v>否 - 未在AI可控原子能力清单匹配</v>
      </c>
    </row>
    <row r="324" spans="4:16">
      <c r="D324" s="12" t="str">
        <v>智驾_辅助驾驶指示灯状态</v>
      </c>
      <c r="E324" s="12" t="str">
        <v>0=关闭, 1=仅前灯, 2=全开</v>
      </c>
      <c r="I324" s="65" t="str">
        <v>V1.0</v>
      </c>
      <c r="M324" s="14" t="inlineStr">
        <is>
          <r>
            <t>@严怡辰</t>
          </r>
        </is>
      </c>
      <c r="P324" s="12" t="str">
        <v>是 - 匹配：原子能力清单-车设@各垂域：辅助驾驶页面/辅助驾驶主设置页</v>
      </c>
    </row>
    <row r="325" spans="4:9">
      <c r="D325" s="12" t="str">
        <v>前向识别到斑马线</v>
      </c>
      <c r="I325" s="65" t="str">
        <v>V1.0</v>
      </c>
    </row>
    <row r="326" spans="4:9">
      <c r="D326" s="12" t="str">
        <v>前向识别到行人</v>
      </c>
      <c r="I326" s="65" t="str">
        <v>V1.0</v>
      </c>
    </row>
    <row r="327" spans="4:9">
      <c r="D327" s="12" t="str">
        <v>识别到正在跟车</v>
      </c>
      <c r="I327" s="65" t="str">
        <v>V1.0</v>
      </c>
    </row>
    <row r="328" spans="4:9">
      <c r="D328" s="12" t="str">
        <v>识别到对向来车</v>
      </c>
      <c r="I328" s="65" t="str">
        <v>V1.0</v>
      </c>
    </row>
    <row r="329" spans="3:16">
      <c r="C329" s="83" t="str">
        <v>5.6 ACC状态机</v>
      </c>
      <c r="D329" s="83" t="str">
        <v>智驾_ACC状态</v>
      </c>
      <c r="E329" s="83" t="str">
        <v>0=未激活, 1=已激活, 2=激活失败</v>
      </c>
      <c r="M329" s="84" t="inlineStr">
        <is>
          <r>
            <t>@严怡辰</t>
          </r>
        </is>
      </c>
      <c r="P329" s="83" t="str">
        <v>否 - 未在AI可控原子能力清单匹配</v>
      </c>
    </row>
    <row r="330" spans="4:16">
      <c r="D330" s="83" t="str">
        <v>智驾_ACC激活条件状态</v>
      </c>
      <c r="E330" s="83" t="str">
        <v>0=条件未满足, 1=条件已满足但未激活</v>
      </c>
      <c r="M330" s="84" t="inlineStr">
        <is>
          <r>
            <t>@严怡辰</t>
          </r>
        </is>
      </c>
      <c r="P330" s="83" t="str">
        <v>否 - 未在AI可控原子能力清单匹配</v>
      </c>
    </row>
    <row r="331" spans="3:16">
      <c r="C331" s="83" t="str">
        <v>5.7 LCC状态机</v>
      </c>
      <c r="D331" s="83" t="str">
        <v>智驾_LCC状态</v>
      </c>
      <c r="E331" s="83" t="str">
        <v>0=未激活, 1=已激活, 2=激活失败</v>
      </c>
      <c r="M331" s="84" t="inlineStr">
        <is>
          <r>
            <t>@严怡辰</t>
          </r>
        </is>
      </c>
      <c r="P331" s="83" t="str">
        <v>否 - 未在AI可控原子能力清单匹配</v>
      </c>
    </row>
    <row r="332" spans="3:16">
      <c r="C332" s="12" t="str">
        <v>5.8 NCA状态机</v>
      </c>
      <c r="D332" s="12" t="str">
        <v>智驾_NCA状态</v>
      </c>
      <c r="E332" s="12" t="str">
        <v>0=未激活, 1=已激活, 2=激活失败</v>
      </c>
      <c r="I332" s="65" t="str">
        <v>V1.0</v>
      </c>
      <c r="M332" s="14" t="inlineStr">
        <is>
          <r>
            <t>@严怡辰</t>
          </r>
        </is>
      </c>
      <c r="P332" s="12" t="str">
        <v>是 - 匹配：原子能力清单-车设@各垂域：辅助驾驶功能控制/NCA功能考试（城区）</v>
      </c>
    </row>
    <row r="333" spans="3:16">
      <c r="C333" s="83" t="str">
        <v>5.9 AVP状态机</v>
      </c>
      <c r="D333" s="83" t="str">
        <v>智驾_AVP状态</v>
      </c>
      <c r="E333" s="83" t="str">
        <v>0=功能不可用, 1=功能可用, 2=已激活, 3=激活失败</v>
      </c>
      <c r="M333" s="84" t="inlineStr">
        <is>
          <r>
            <t>@严怡辰</t>
          </r>
        </is>
      </c>
      <c r="P333" s="83" t="str">
        <v>否 - 未在AI可控原子能力清单匹配</v>
      </c>
    </row>
    <row r="334" spans="3:16">
      <c r="C334" s="83" t="str">
        <v>5.10 ADS校准状态</v>
      </c>
      <c r="D334" s="83" t="str">
        <v>智驾_ADS校准状态</v>
      </c>
      <c r="E334" s="83" t="str">
        <v>0=未校准, 1=校准中, 2=校准完成, 3=校准失败</v>
      </c>
      <c r="M334" s="84" t="inlineStr">
        <is>
          <r>
            <t>@严怡辰</t>
          </r>
        </is>
      </c>
      <c r="P334" s="83" t="str">
        <v>否 - 未在AI可控原子能力清单匹配</v>
      </c>
    </row>
    <row r="335" spans="3:16">
      <c r="C335" s="83" t="str">
        <v>5.11 ADS功能故障</v>
      </c>
      <c r="D335" s="83" t="str">
        <v>智驾_ADS功能故障状态</v>
      </c>
      <c r="E335" s="83" t="str">
        <v>0=无故障, 1=一般故障(降级), 2=严重故障(需接管)</v>
      </c>
      <c r="M335" s="84" t="inlineStr">
        <is>
          <r>
            <t>@严怡辰</t>
          </r>
        </is>
      </c>
      <c r="P335" s="83" t="str">
        <v>否 - 非控件/功能状态类信号</v>
      </c>
    </row>
    <row r="336" spans="3:16">
      <c r="C336" s="83" t="str">
        <v>5.12 接管请求状态</v>
      </c>
      <c r="D336" s="83" t="str">
        <v>智驾_接管请求状态</v>
      </c>
      <c r="E336" s="83" t="str">
        <v>0=无请求, 1=接管请求(需驾驶员接管)</v>
      </c>
      <c r="M336" s="84" t="inlineStr">
        <is>
          <r>
            <t>@严怡辰</t>
          </r>
        </is>
      </c>
      <c r="P336" s="83" t="str">
        <v>否 - 未在AI可控原子能力清单匹配</v>
      </c>
    </row>
    <row r="337" spans="3:16">
      <c r="C337" s="12" t="str">
        <v>5.13 TSR交通标志识别</v>
      </c>
      <c r="D337" s="12" t="str">
        <v>智驾_TSR限速识别状态</v>
      </c>
      <c r="E337" s="12" t="str">
        <v>0=未识别, 1=已识别(显示限速值), 2=识别异常</v>
      </c>
      <c r="I337" s="65" t="str">
        <v>V1.0</v>
      </c>
      <c r="M337" s="14" t="inlineStr">
        <is>
          <r>
            <t>@严怡辰</t>
          </r>
        </is>
      </c>
      <c r="P337" s="12" t="str">
        <v>是 - 匹配：原子能力清单-车设@各垂域：辅助驾驶功能控制/交通标志识别功能设置</v>
      </c>
    </row>
    <row r="338" spans="3:16">
      <c r="C338" s="83" t="str">
        <v>5.14 智驾指示灯状态</v>
      </c>
      <c r="D338" s="83" t="str">
        <v>仪表_ACC指示灯</v>
      </c>
      <c r="E338" s="83" t="str">
        <v>0=熄灭, 1=常亮绿(已激活), 2=常亮灰(未激活), 3=闪烁(激活失败)</v>
      </c>
      <c r="M338" s="84" t="inlineStr">
        <is>
          <r>
            <t>@严怡辰</t>
          </r>
        </is>
      </c>
      <c r="P338" s="83" t="str">
        <v>否 - 未在AI可控原子能力清单匹配</v>
      </c>
    </row>
    <row r="339" spans="4:16">
      <c r="D339" s="83" t="str">
        <v>仪表_LCC指示灯</v>
      </c>
      <c r="E339" s="83" t="str">
        <v>0=熄灭, 1=常亮绿(已激活), 2=常亮灰(未激活), 3=闪烁(激活失败)</v>
      </c>
      <c r="M339" s="84" t="inlineStr">
        <is>
          <r>
            <t>@严怡辰</t>
          </r>
        </is>
      </c>
      <c r="P339" s="83" t="str">
        <v>否 - 未在AI可控原子能力清单匹配</v>
      </c>
    </row>
    <row r="340" spans="4:16">
      <c r="D340" s="83" t="str">
        <v>仪表_NCA指示灯</v>
      </c>
      <c r="E340" s="83" t="str">
        <v>0=熄灭, 1=常亮绿(已激活), 2=常亮灰(未激活), 3=闪烁(激活失败)</v>
      </c>
      <c r="M340" s="84" t="inlineStr">
        <is>
          <r>
            <t>@严怡辰</t>
          </r>
        </is>
      </c>
      <c r="P340" s="83" t="str">
        <v>否 - 未在AI可控原子能力清单匹配</v>
      </c>
    </row>
    <row r="341" spans="4:16">
      <c r="D341" s="83" t="str">
        <v>仪表_AVP指示灯</v>
      </c>
      <c r="E341" s="83" t="str">
        <v>0=熄灭, 1=常亮绿(已激活), 2=常亮灰(可用未激活), 3=闪烁(激活失败)</v>
      </c>
      <c r="M341" s="84" t="inlineStr">
        <is>
          <r>
            <t>@严怡辰</t>
          </r>
        </is>
      </c>
      <c r="P341" s="83" t="str">
        <v>否 - 未在AI可控原子能力清单匹配</v>
      </c>
    </row>
    <row r="342" spans="4:16">
      <c r="D342" s="83" t="str">
        <v>仪表_ADS指示灯</v>
      </c>
      <c r="E342" s="83" t="str">
        <v>0=熄灭, 1=常亮绿(自动驾驶运行中), 2=常亮灰(待机), 3=闪烁(故障)</v>
      </c>
      <c r="M342" s="84" t="inlineStr">
        <is>
          <r>
            <t>@严怡辰</t>
          </r>
        </is>
      </c>
      <c r="P342" s="83" t="str">
        <v>否 - 未在AI可控原子能力清单匹配</v>
      </c>
    </row>
    <row r="343" spans="4:16">
      <c r="D343" s="83" t="str">
        <v>仪表_ADS校准指示灯</v>
      </c>
      <c r="E343" s="83" t="str">
        <v>0=熄灭, 1=常亮黄(校准中), 2=闪烁(校准失败), 3=熄灭(校准完成)</v>
      </c>
      <c r="M343" s="84" t="inlineStr">
        <is>
          <r>
            <t>@严怡辰</t>
          </r>
        </is>
      </c>
      <c r="P343" s="83" t="str">
        <v>否 - 未在AI可控原子能力清单匹配</v>
      </c>
    </row>
    <row r="344" spans="4:16">
      <c r="D344" s="83" t="str">
        <v>仪表_接管请求指示灯</v>
      </c>
      <c r="E344" s="83" t="str">
        <v>0=熄灭, 1=常亮红(需接管), 2=闪烁(紧急接管)</v>
      </c>
      <c r="M344" s="84" t="inlineStr">
        <is>
          <r>
            <t>@严怡辰</t>
          </r>
        </is>
      </c>
      <c r="P344" s="83" t="str">
        <v>否 - 未在AI可控原子能力清单匹配</v>
      </c>
    </row>
    <row r="345" spans="4:16">
      <c r="D345" s="83" t="str">
        <v>仪表_TSR限速识别指示灯</v>
      </c>
      <c r="E345" s="83" t="str">
        <v>0=熄灭, 1=常亮(限速识别中), 2=闪烁(识别异常)</v>
      </c>
      <c r="M345" s="84" t="inlineStr">
        <is>
          <r>
            <t>@严怡辰</t>
          </r>
        </is>
      </c>
      <c r="P345" s="83" t="str">
        <v>否 - 未在AI可控原子能力清单匹配</v>
      </c>
    </row>
    <row r="346" spans="4:16">
      <c r="D346" s="83" t="str">
        <v>仪表_巡航速度指示灯</v>
      </c>
      <c r="E346" s="83" t="str">
        <v>0=熄灭, 1=常亮(巡航速度设定中), 2=闪烁(速度调整中)</v>
      </c>
      <c r="M346" s="84" t="inlineStr">
        <is>
          <r>
            <t>@严怡辰</t>
          </r>
        </is>
      </c>
      <c r="P346" s="83" t="str">
        <v>否 - 未在AI可控原子能力清单匹配</v>
      </c>
    </row>
    <row r="347" spans="4:16">
      <c r="D347" s="83" t="str">
        <v>仪表_危险告警指示灯</v>
      </c>
      <c r="E347" s="83" t="str">
        <v>0=熄灭, 1=闪烁(危险告警激活)</v>
      </c>
      <c r="M347" s="84" t="inlineStr">
        <is>
          <r>
            <t>@严怡辰</t>
          </r>
        </is>
      </c>
      <c r="P347" s="83" t="str">
        <v>否 - 未在AI可控原子能力清单匹配</v>
      </c>
    </row>
    <row r="348" spans="3:16">
      <c r="C348" s="83" t="str">
        <v>5.15 前向碰撞预警与制动</v>
      </c>
      <c r="D348" s="83" t="str">
        <v>智驾_FCW状态</v>
      </c>
      <c r="E348" s="83" t="str">
        <v>0=未激活, 1=预警激活, 2=预警解除, 3=故障</v>
      </c>
      <c r="M348" s="84" t="inlineStr">
        <is>
          <r>
            <t>@严怡辰</t>
          </r>
        </is>
      </c>
      <c r="P348" s="83" t="str">
        <v>否 - 未在AI可控原子能力清单匹配</v>
      </c>
    </row>
    <row r="349" spans="3:16">
      <c r="C349" s="83" t="str">
        <v>5.15 前向碰撞预警与制动</v>
      </c>
      <c r="D349" s="83" t="str">
        <v>智驾_FCW预警等级</v>
      </c>
      <c r="E349" s="83" t="str">
        <v>0=无预警, 1=一级(提示), 2=二级(警告), 3=三级(紧急)</v>
      </c>
      <c r="M349" s="84" t="inlineStr">
        <is>
          <r>
            <t>@严怡辰</t>
          </r>
        </is>
      </c>
      <c r="P349" s="83" t="str">
        <v>否 - 非控件/功能状态类信号</v>
      </c>
    </row>
    <row r="350" spans="3:16">
      <c r="C350" s="83" t="str">
        <v>5.15 前向碰撞预警与制动</v>
      </c>
      <c r="D350" s="83" t="str">
        <v>智驾_FCW前车时距值</v>
      </c>
      <c r="E350" s="83" t="str">
        <v>0~6553.5 m (0.1 m/bit)</v>
      </c>
      <c r="M350" s="84" t="inlineStr">
        <is>
          <r>
            <t>@严怡辰</t>
          </r>
        </is>
      </c>
      <c r="P350" s="83" t="str">
        <v>否 - 非控件/功能状态类信号</v>
      </c>
    </row>
    <row r="351" spans="3:16">
      <c r="C351" s="83" t="str">
        <v>5.15 前向碰撞预警与制动</v>
      </c>
      <c r="D351" s="83" t="str">
        <v>智驾_FCW碰撞时间值</v>
      </c>
      <c r="E351" s="83" t="str">
        <v>0~25.5 s (0.1 s/bit)</v>
      </c>
      <c r="M351" s="84" t="inlineStr">
        <is>
          <r>
            <t>@严怡辰</t>
          </r>
        </is>
      </c>
      <c r="P351" s="83" t="str">
        <v>否 - 非控件/功能状态类信号</v>
      </c>
    </row>
    <row r="352" spans="3:16">
      <c r="C352" s="83" t="str">
        <v>5.16 AEB自动紧急制动</v>
      </c>
      <c r="D352" s="83" t="str">
        <v>智驾_LAEB状态</v>
      </c>
      <c r="E352" s="83" t="str">
        <v>0=未激活, 1=部分制动, 2=全力制动, 3=故障</v>
      </c>
      <c r="M352" s="84" t="inlineStr">
        <is>
          <r>
            <t>@严怡辰</t>
          </r>
        </is>
      </c>
      <c r="P352" s="83" t="str">
        <v>否 - 未在AI可控原子能力清单匹配</v>
      </c>
    </row>
    <row r="353" spans="3:16">
      <c r="C353" s="12" t="str">
        <v>5.16 AEB自动紧急制动</v>
      </c>
      <c r="D353" s="12" t="str">
        <v>智驾_FCTA状态</v>
      </c>
      <c r="E353" s="12" t="str">
        <v>0=未激活, 1=预警激活, 2=预警解除, 3=故障</v>
      </c>
      <c r="I353" s="65" t="str">
        <v>V1.0</v>
      </c>
      <c r="M353" s="14" t="inlineStr">
        <is>
          <r>
            <t>@严怡辰</t>
          </r>
        </is>
      </c>
      <c r="P353" s="12" t="str">
        <v>是 - 匹配：原子能力清单-车设@各垂域：辅助驾驶功能控制/FCTA前方横向来车预警</v>
      </c>
    </row>
    <row r="354" spans="3:16">
      <c r="C354" s="83" t="str">
        <v>5.16 AEB自动紧急制动</v>
      </c>
      <c r="D354" s="83" t="str">
        <v>智驾_FCTB状态</v>
      </c>
      <c r="E354" s="83" t="str">
        <v>0=未激活, 1=部分制动, 2=全力制动, 3=故障</v>
      </c>
      <c r="M354" s="84" t="inlineStr">
        <is>
          <r>
            <t>@严怡辰</t>
          </r>
        </is>
      </c>
      <c r="P354" s="83" t="str">
        <v>否 - 未在AI可控原子能力清单匹配</v>
      </c>
    </row>
    <row r="355" spans="3:16">
      <c r="C355" s="12" t="str">
        <v>5.16 AEB自动紧急制动</v>
      </c>
      <c r="D355" s="12" t="str">
        <v>智驾_GAEB状态</v>
      </c>
      <c r="E355" s="12" t="str">
        <v>0=未激活, 1=部分制动, 2=全力制动, 3=故障</v>
      </c>
      <c r="I355" s="65" t="str">
        <v>V1.0</v>
      </c>
      <c r="M355" s="14" t="inlineStr">
        <is>
          <r>
            <t>@严怡辰</t>
          </r>
        </is>
      </c>
      <c r="P355" s="12" t="str">
        <v>是 - 匹配：原子能力清单-车设@各垂域：辅助驾驶功能控制/通用障碍物紧急制动GAEB</v>
      </c>
    </row>
    <row r="356" spans="3:16">
      <c r="C356" s="12" t="str">
        <v>5.16 AEB自动紧急制动</v>
      </c>
      <c r="D356" s="12" t="str">
        <v>智驾_AEB功能开关状态</v>
      </c>
      <c r="E356" s="12" t="str">
        <v>0=关闭, 1=开启</v>
      </c>
      <c r="I356" s="65" t="str">
        <v>V1.0</v>
      </c>
      <c r="M356" s="14" t="inlineStr">
        <is>
          <r>
            <t>@严怡辰</t>
          </r>
        </is>
      </c>
      <c r="P356" s="12" t="str">
        <v>是 - 匹配：原子能力清单-车设@各垂域：辅助驾驶功能控制/后方紧急制动-RAEB</v>
      </c>
    </row>
    <row r="357" spans="3:16">
      <c r="C357" s="83" t="str">
        <v>5.17 后向碰撞预警与制动</v>
      </c>
      <c r="D357" s="83" t="str">
        <v>智驾_RCW状态</v>
      </c>
      <c r="E357" s="83" t="str">
        <v>0=未激活, 1=预警激活, 2=预警解除, 3=故障</v>
      </c>
      <c r="M357" s="84" t="inlineStr">
        <is>
          <r>
            <t>@严怡辰</t>
          </r>
        </is>
      </c>
      <c r="P357" s="83" t="str">
        <v>否 - 未在AI可控原子能力清单匹配</v>
      </c>
    </row>
    <row r="358" spans="3:16">
      <c r="C358" s="12" t="str">
        <v>5.17 后向碰撞预警与制动</v>
      </c>
      <c r="D358" s="12" t="str">
        <v>智驾_RCTA状态</v>
      </c>
      <c r="E358" s="12" t="str">
        <v>0=未激活, 1=预警激活, 2=预警解除, 3=故障</v>
      </c>
      <c r="I358" s="65" t="str">
        <v>V1.0</v>
      </c>
      <c r="M358" s="14" t="inlineStr">
        <is>
          <r>
            <t>@严怡辰</t>
          </r>
        </is>
      </c>
      <c r="P358" s="12" t="str">
        <v>是 - 匹配：原子能力清单-车设@各垂域：辅助驾驶功能控制/RCTA后方横向来车预警</v>
      </c>
    </row>
    <row r="359" spans="3:16">
      <c r="C359" s="12" t="str">
        <v>5.17 后向碰撞预警与制动</v>
      </c>
      <c r="D359" s="12" t="str">
        <v>智驾_RCTB状态</v>
      </c>
      <c r="E359" s="12" t="str">
        <v>0=未激活, 1=部分制动, 2=全力制动, 3=故障</v>
      </c>
      <c r="I359" s="65" t="str">
        <v>V1.0</v>
      </c>
      <c r="M359" s="14" t="inlineStr">
        <is>
          <r>
            <t>@严怡辰</t>
          </r>
        </is>
      </c>
      <c r="P359" s="12" t="str">
        <v>是 - 匹配：原子能力清单-车设@各垂域：辅助驾驶功能控制/RCTB后方穿行制动功能</v>
      </c>
    </row>
    <row r="360" spans="3:16">
      <c r="C360" s="12" t="str">
        <v>5.17 后向碰撞预警与制动</v>
      </c>
      <c r="D360" s="12" t="str">
        <v>智驾_RAEB状态</v>
      </c>
      <c r="E360" s="12" t="str">
        <v>0=未激活, 1=部分制动, 2=全力制动, 3=故障</v>
      </c>
      <c r="I360" s="65" t="str">
        <v>V1.0</v>
      </c>
      <c r="M360" s="14" t="inlineStr">
        <is>
          <r>
            <t>@严怡辰</t>
          </r>
        </is>
      </c>
      <c r="P360" s="12" t="str">
        <v>是 - 匹配：原子能力清单-车设@各垂域：辅助驾驶功能控制/后方紧急制动-RAEB</v>
      </c>
    </row>
    <row r="361" spans="3:16">
      <c r="C361" s="83" t="str">
        <v>5.18 车道安全辅助</v>
      </c>
      <c r="D361" s="83" t="str">
        <v>智驾_LDW状态</v>
      </c>
      <c r="E361" s="83" t="str">
        <v>0=未激活, 1=左偏离预警, 2=右偏离预警, 3=故障</v>
      </c>
      <c r="M361" s="84" t="inlineStr">
        <is>
          <r>
            <t>@严怡辰</t>
          </r>
        </is>
      </c>
      <c r="P361" s="83" t="str">
        <v>否 - 未在AI可控原子能力清单匹配</v>
      </c>
    </row>
    <row r="362" spans="3:16">
      <c r="C362" s="83" t="str">
        <v>5.18 车道安全辅助</v>
      </c>
      <c r="D362" s="83" t="str">
        <v>智驾_LKA状态</v>
      </c>
      <c r="E362" s="83" t="str">
        <v>0=未激活, 1=左纠偏, 2=右纠偏, 3=双向纠偏, 4=故障</v>
      </c>
      <c r="M362" s="84" t="inlineStr">
        <is>
          <r>
            <t>@严怡辰</t>
          </r>
        </is>
      </c>
      <c r="P362" s="83" t="str">
        <v>否 - 未在AI可控原子能力清单匹配</v>
      </c>
    </row>
    <row r="363" spans="3:16">
      <c r="C363" s="83" t="str">
        <v>5.18 车道安全辅助</v>
      </c>
      <c r="D363" s="83" t="str">
        <v>智驾_ELKA状态</v>
      </c>
      <c r="E363" s="83" t="str">
        <v>0=未激活, 1=紧急左纠偏, 2=紧急右纠偏, 3=故障</v>
      </c>
      <c r="M363" s="84" t="inlineStr">
        <is>
          <r>
            <t>@严怡辰</t>
          </r>
        </is>
      </c>
      <c r="P363" s="83" t="str">
        <v>否 - 未在AI可控原子能力清单匹配</v>
      </c>
    </row>
    <row r="364" spans="3:16">
      <c r="C364" s="83" t="str">
        <v>5.19 侧向与盲区安全辅助</v>
      </c>
      <c r="D364" s="83" t="str">
        <v>智驾_BSD状态</v>
      </c>
      <c r="E364" s="83" t="str">
        <v>0=未激活, 1=左侧预警, 2=右侧预警, 3=双侧预警, 4=故障</v>
      </c>
      <c r="M364" s="84" t="inlineStr">
        <is>
          <r>
            <t>@严怡辰</t>
          </r>
        </is>
      </c>
      <c r="P364" s="83" t="str">
        <v>否 - 未在AI可控原子能力清单匹配</v>
      </c>
    </row>
    <row r="365" spans="3:16">
      <c r="C365" s="83" t="str">
        <v>5.19 侧向与盲区安全辅助</v>
      </c>
      <c r="D365" s="83" t="str">
        <v>智驾_DOW状态</v>
      </c>
      <c r="E365" s="83" t="str">
        <v>0=未激活, 1=左后预警, 2=右后预警, 3=双侧预警, 4=故障</v>
      </c>
      <c r="M365" s="84" t="inlineStr">
        <is>
          <r>
            <t>@严怡辰</t>
          </r>
        </is>
      </c>
      <c r="P365" s="83" t="str">
        <v>否 - 未在AI可控原子能力清单匹配</v>
      </c>
    </row>
    <row r="366" spans="3:16">
      <c r="C366" s="83" t="str">
        <v>5.19 侧向与盲区安全辅助</v>
      </c>
      <c r="D366" s="83" t="str">
        <v>智驾_LOCP状态</v>
      </c>
      <c r="E366" s="83" t="str">
        <v>0=未激活, 1=左侧防碰撞激活, 2=右侧防碰撞激活, 3=故障</v>
      </c>
      <c r="M366" s="84" t="inlineStr">
        <is>
          <r>
            <t>@严怡辰</t>
          </r>
        </is>
      </c>
      <c r="P366" s="83" t="str">
        <v>否 - 未在AI可控原子能力清单匹配</v>
      </c>
    </row>
    <row r="367" spans="3:16">
      <c r="C367" s="83" t="str">
        <v>5.20 转向辅助</v>
      </c>
      <c r="D367" s="83" t="str">
        <v>智驾_ESA状态</v>
      </c>
      <c r="E367" s="83" t="str">
        <v>0=未激活, 1=辅助转向中, 2=故障</v>
      </c>
      <c r="M367" s="84" t="inlineStr">
        <is>
          <r>
            <t>@严怡辰</t>
          </r>
        </is>
      </c>
      <c r="P367" s="83" t="str">
        <v>否 - 未在AI可控原子能力清单匹配</v>
      </c>
    </row>
    <row r="368" spans="3:16">
      <c r="C368" s="83" t="str">
        <v>5.20 转向辅助</v>
      </c>
      <c r="D368" s="83" t="str">
        <v>智驾_eAES状态</v>
      </c>
      <c r="E368" s="83" t="str">
        <v>0=未激活, 1=紧急转向激活, 2=故障</v>
      </c>
      <c r="M368" s="84" t="inlineStr">
        <is>
          <r>
            <t>@严怡辰</t>
          </r>
        </is>
      </c>
      <c r="P368" s="83" t="str">
        <v>否 - 未在AI可控原子能力清单匹配</v>
      </c>
    </row>
    <row r="369" spans="3:16">
      <c r="C369" s="12" t="str">
        <v>5.20 转向辅助</v>
      </c>
      <c r="D369" s="12" t="str">
        <v>智驾_防误踩状态</v>
      </c>
      <c r="E369" s="12" t="str">
        <v>0=未激活, 1=防误踩激活(已阻止加速), 2=故障</v>
      </c>
      <c r="I369" s="65" t="str">
        <v>V1.0</v>
      </c>
      <c r="M369" s="14" t="inlineStr">
        <is>
          <r>
            <t>@严怡辰</t>
          </r>
        </is>
      </c>
      <c r="P369" s="12" t="str">
        <v>是 - 匹配：原子能力清单-车设@各垂域：辅助驾驶功能控制/油门防误踩设置</v>
      </c>
    </row>
    <row r="370" spans="3:16">
      <c r="C370" s="83" t="str">
        <v>5.21 交通识别与超速告警</v>
      </c>
      <c r="D370" s="83" t="str">
        <v>智驾_TLR状态</v>
      </c>
      <c r="E370" s="83" t="str">
        <v>0=未识别, 1=红灯, 2=绿灯, 3=黄灯, 4=识别异常</v>
      </c>
      <c r="M370" s="84" t="inlineStr">
        <is>
          <r>
            <t>@严怡辰</t>
          </r>
        </is>
      </c>
      <c r="P370" s="83" t="str">
        <v>否 - 未在AI可控原子能力清单匹配</v>
      </c>
    </row>
    <row r="371" spans="3:16">
      <c r="C371" s="83" t="str">
        <v>5.21 交通识别与超速告警</v>
      </c>
      <c r="D371" s="83" t="str">
        <v>智驾_TSA状态</v>
      </c>
      <c r="E371" s="83" t="str">
        <v>0=未激活, 1=超速告警激活, 2=超速告警解除, 3=故障</v>
      </c>
      <c r="M371" s="84" t="inlineStr">
        <is>
          <r>
            <t>@严怡辰</t>
          </r>
        </is>
      </c>
      <c r="P371" s="83" t="str">
        <v>否 - 未在AI可控原子能力清单匹配</v>
      </c>
    </row>
    <row r="372" spans="3:16">
      <c r="C372" s="83" t="str">
        <v>5.21 交通识别与超速告警</v>
      </c>
      <c r="D372" s="83" t="str">
        <v>智驾_HMA状态</v>
      </c>
      <c r="E372" s="83" t="str">
        <v>0=关闭, 1=近光自动, 2=远光自动, 3=故障</v>
      </c>
      <c r="M372" s="84" t="inlineStr">
        <is>
          <r>
            <t>@严怡辰</t>
          </r>
        </is>
      </c>
      <c r="P372" s="83" t="str">
        <v>否 - 未在AI可控原子能力清单匹配</v>
      </c>
    </row>
    <row r="373" spans="3:16">
      <c r="C373" s="83" t="str">
        <v>5.22 巡航辅助状态机</v>
      </c>
      <c r="D373" s="83" t="str">
        <v>智驾_Highway_LCC状态</v>
      </c>
      <c r="E373" s="83" t="str">
        <v>0=未激活, 1=已激活, 2=激活失败</v>
      </c>
      <c r="M373" s="84" t="inlineStr">
        <is>
          <r>
            <t>@严怡辰</t>
          </r>
        </is>
      </c>
      <c r="P373" s="83" t="str">
        <v>否 - 未在AI可控原子能力清单匹配</v>
      </c>
    </row>
    <row r="374" spans="3:16">
      <c r="C374" s="83" t="str">
        <v>5.22 巡航辅助状态机</v>
      </c>
      <c r="D374" s="83" t="str">
        <v>智驾_Highway_NCA状态</v>
      </c>
      <c r="E374" s="83" t="str">
        <v>0=未激活, 1=已激活, 2=激活失败</v>
      </c>
      <c r="M374" s="84" t="inlineStr">
        <is>
          <r>
            <t>@严怡辰</t>
          </r>
        </is>
      </c>
      <c r="P374" s="83" t="str">
        <v>否 - 未在AI可控原子能力清单匹配</v>
      </c>
    </row>
    <row r="375" spans="3:16">
      <c r="C375" s="83" t="str">
        <v>5.22 巡航辅助状态机</v>
      </c>
      <c r="D375" s="83" t="str">
        <v>智驾_City_LCC状态</v>
      </c>
      <c r="E375" s="83" t="str">
        <v>0=未激活, 1=已激活, 2=激活失败</v>
      </c>
      <c r="M375" s="84" t="inlineStr">
        <is>
          <r>
            <t>@严怡辰</t>
          </r>
        </is>
      </c>
      <c r="P375" s="83" t="str">
        <v>否 - 未在AI可控原子能力清单匹配</v>
      </c>
    </row>
    <row r="376" spans="3:16">
      <c r="C376" s="83" t="str">
        <v>5.22 巡航辅助状态机</v>
      </c>
      <c r="D376" s="83" t="str">
        <v>智驾_City_LCC_Plus状态</v>
      </c>
      <c r="E376" s="83" t="str">
        <v>0=未激活, 1=已激活, 2=激活失败</v>
      </c>
      <c r="M376" s="84" t="inlineStr">
        <is>
          <r>
            <t>@严怡辰</t>
          </r>
        </is>
      </c>
      <c r="P376" s="83" t="str">
        <v>否 - 未在AI可控原子能力清单匹配</v>
      </c>
    </row>
    <row r="377" spans="3:16">
      <c r="C377" s="83" t="str">
        <v>5.22 巡航辅助状态机</v>
      </c>
      <c r="D377" s="83" t="str">
        <v>智驾_City_NCA状态</v>
      </c>
      <c r="E377" s="83" t="str">
        <v>0=未激活, 1=已激活, 2=激活失败</v>
      </c>
      <c r="M377" s="84" t="inlineStr">
        <is>
          <r>
            <t>@严怡辰</t>
          </r>
        </is>
      </c>
      <c r="P377" s="83" t="str">
        <v>否 - 未在AI可控原子能力清单匹配</v>
      </c>
    </row>
    <row r="378" spans="3:16">
      <c r="C378" s="83" t="str">
        <v>5.23 特殊领航与失能辅助</v>
      </c>
      <c r="D378" s="83" t="str">
        <v>智驾_车位到车位状态</v>
      </c>
      <c r="E378" s="83" t="str">
        <v>0=未激活, 1=已激活, 2=激活失败</v>
      </c>
      <c r="M378" s="84" t="inlineStr">
        <is>
          <r>
            <t>@严怡辰</t>
          </r>
        </is>
      </c>
      <c r="P378" s="83" t="str">
        <v>否 - 未在AI可控原子能力清单匹配</v>
      </c>
    </row>
    <row r="379" spans="3:16">
      <c r="C379" s="12" t="str">
        <v>5.23 特殊领航与失能辅助</v>
      </c>
      <c r="D379" s="12" t="str">
        <v>智驾_驾驶员失能辅助状态</v>
      </c>
      <c r="E379" s="12" t="str">
        <v>0=未激活, 1=检测中, 2=失能确认-接管请求, 3=失能确认-靠边停车, 4=故障</v>
      </c>
      <c r="I379" s="65" t="str">
        <v>V1.0</v>
      </c>
      <c r="M379" s="14" t="inlineStr">
        <is>
          <r>
            <t>@严怡辰</t>
          </r>
        </is>
      </c>
      <c r="P379" s="12" t="str">
        <v>是 - 匹配：原子能力清单-车设@各垂域：辅助驾驶功能控制/驾驶员失能辅助设置</v>
      </c>
    </row>
    <row r="380" spans="3:16">
      <c r="C380" s="12" t="str">
        <v>5.24 泊车辅助</v>
      </c>
      <c r="D380" s="12" t="str">
        <v>智驾_AVM状态</v>
      </c>
      <c r="E380" s="12" t="str">
        <v>0=关闭, 1=2D全景, 2=3D全景, 3=故障</v>
      </c>
      <c r="I380" s="65" t="str">
        <v>V1.0</v>
      </c>
      <c r="M380" s="14" t="inlineStr">
        <is>
          <r>
            <t>@严怡辰</t>
          </r>
        </is>
      </c>
      <c r="P380" s="12" t="str">
        <v>是 - 匹配：原子能力清单-车控@樊鹏宇：AVM/模式选择</v>
      </c>
    </row>
    <row r="381" spans="3:16">
      <c r="C381" s="12" t="str">
        <v>5.24 泊车辅助</v>
      </c>
      <c r="D381" s="12" t="str">
        <v>智驾_透明底盘状态</v>
      </c>
      <c r="E381" s="12" t="str">
        <v>0=关闭, 1=开启</v>
      </c>
      <c r="I381" s="65" t="str">
        <v>V1.0</v>
      </c>
      <c r="M381" s="14" t="inlineStr">
        <is>
          <r>
            <t>@严怡辰</t>
          </r>
        </is>
      </c>
      <c r="P381" s="12" t="str">
        <v>是 - 匹配：原子能力清单-车控@樊鹏宇：AVM/透明底盘</v>
      </c>
    </row>
    <row r="382" spans="3:9">
      <c r="C382" s="12" t="str">
        <v>5.24泊车辅助</v>
      </c>
      <c r="D382" s="12" t="str">
        <v>泊车是否使能状态中</v>
      </c>
      <c r="E382" s="12" t="str">
        <v>0=关闭, 1=开启</v>
      </c>
      <c r="F382" s="13" t="str">
        <v>陈精桂</v>
      </c>
      <c r="G382" s="81">
        <v>46206</v>
      </c>
      <c r="H382" s="13" t="str">
        <v>智驾老司机</v>
      </c>
      <c r="I382" s="65" t="str">
        <v>v1.2</v>
      </c>
    </row>
    <row r="383" spans="3:9">
      <c r="C383" s="12" t="str">
        <v>智驾信号灯</v>
      </c>
      <c r="D383" s="12" t="str">
        <v>智驾信号灯设置项</v>
      </c>
      <c r="E383" s="12" t="str">
        <v>0=关闭, 1=开启</v>
      </c>
      <c r="F383" s="13" t="str">
        <v>陈精桂</v>
      </c>
      <c r="G383" s="81">
        <v>46206</v>
      </c>
      <c r="H383" s="13" t="str">
        <v>智驾老司机</v>
      </c>
      <c r="I383" s="65" t="str">
        <v>v1.2</v>
      </c>
    </row>
    <row r="384" spans="3:16">
      <c r="C384" s="83" t="str">
        <v>5.24 泊车辅助</v>
      </c>
      <c r="D384" s="83" t="str">
        <v>智驾_APA状态</v>
      </c>
      <c r="E384" s="83" t="str">
        <v>0=未激活, 1=泊车搜索中, 2=泊车规划中, 3=泊入中, 4=泊出中, 5=泊车完成, 6=泊车中止, 7=故障</v>
      </c>
      <c r="M384" s="84" t="inlineStr">
        <is>
          <r>
            <t>@严怡辰</t>
          </r>
        </is>
      </c>
      <c r="P384" s="83" t="str">
        <v>否 - 未在AI可控原子能力清单匹配</v>
      </c>
    </row>
    <row r="385" spans="3:16">
      <c r="C385" s="83" t="str">
        <v>5.24 泊车辅助</v>
      </c>
      <c r="D385" s="83" t="str">
        <v>智驾_RPA状态</v>
      </c>
      <c r="E385" s="83" t="str">
        <v>0=未激活, 1=遥控泊入中, 2=遥控泊出中, 3=泊车完成, 4=泊车中止, 5=故障</v>
      </c>
      <c r="M385" s="84" t="inlineStr">
        <is>
          <r>
            <t>@严怡辰</t>
          </r>
        </is>
      </c>
      <c r="P385" s="83" t="str">
        <v>否 - 未在AI可控原子能力清单匹配</v>
      </c>
    </row>
    <row r="386" spans="3:16">
      <c r="C386" s="83" t="str">
        <v>5.24 泊车辅助</v>
      </c>
      <c r="D386" s="83" t="str">
        <v>智驾_RA状态</v>
      </c>
      <c r="E386" s="83" t="str">
        <v>0=未激活, 1=倒车循迹中, 2=倒车完成, 3=倒车中止, 4=故障</v>
      </c>
      <c r="M386" s="84" t="inlineStr">
        <is>
          <r>
            <t>@严怡辰</t>
          </r>
        </is>
      </c>
      <c r="P386" s="83" t="str">
        <v>否 - 未在AI可控原子能力清单匹配</v>
      </c>
    </row>
    <row r="387" spans="3:16">
      <c r="C387" s="83" t="str">
        <v>5.24 泊车辅助</v>
      </c>
      <c r="D387" s="83" t="str">
        <v>智驾_机械车位泊车状态</v>
      </c>
      <c r="E387" s="83" t="str">
        <v>0=未激活, 1=泊车搜索中, 2=泊入中, 3=泊车完成, 4=泊车中止, 5=故障</v>
      </c>
      <c r="M387" s="84" t="inlineStr">
        <is>
          <r>
            <t>@严怡辰</t>
          </r>
        </is>
      </c>
      <c r="P387" s="83" t="str">
        <v>否 - 未在AI可控原子能力清单匹配</v>
      </c>
    </row>
    <row r="388" spans="3:16">
      <c r="C388" s="83" t="str">
        <v>5.25 智驾功能指示灯</v>
      </c>
      <c r="D388" s="83" t="str">
        <v>仪表_FCW指示灯</v>
      </c>
      <c r="E388" s="83" t="str">
        <v>0=熄灭, 1=常亮黄(预警激活), 2=闪烁(紧急预警)</v>
      </c>
      <c r="M388" s="84" t="inlineStr">
        <is>
          <r>
            <t>@严怡辰</t>
          </r>
        </is>
      </c>
      <c r="P388" s="83" t="str">
        <v>否 - 未在AI可控原子能力清单匹配</v>
      </c>
    </row>
    <row r="389" spans="3:16">
      <c r="C389" s="83" t="str">
        <v>5.25 智驾功能指示灯</v>
      </c>
      <c r="D389" s="83" t="str">
        <v>仪表_AEB指示灯</v>
      </c>
      <c r="E389" s="83" t="str">
        <v>0=熄灭, 1=常亮红(制动激活), 2=常亮灰(功能关闭), 3=闪烁(故障)</v>
      </c>
      <c r="M389" s="84" t="inlineStr">
        <is>
          <r>
            <t>@严怡辰</t>
          </r>
        </is>
      </c>
      <c r="P389" s="83" t="str">
        <v>否 - 未在AI可控原子能力清单匹配</v>
      </c>
    </row>
    <row r="390" spans="3:16">
      <c r="C390" s="83" t="str">
        <v>5.25 智驾功能指示灯</v>
      </c>
      <c r="D390" s="83" t="str">
        <v>仪表_LDW指示灯</v>
      </c>
      <c r="E390" s="83" t="str">
        <v>0=熄灭, 1=常亮黄(偏离预警), 2=闪烁(故障)</v>
      </c>
      <c r="M390" s="84" t="inlineStr">
        <is>
          <r>
            <t>@严怡辰</t>
          </r>
        </is>
      </c>
      <c r="P390" s="83" t="str">
        <v>否 - 未在AI可控原子能力清单匹配</v>
      </c>
    </row>
    <row r="391" spans="3:16">
      <c r="C391" s="83" t="str">
        <v>5.25 智驾功能指示灯</v>
      </c>
      <c r="D391" s="83" t="str">
        <v>仪表_LKA指示灯</v>
      </c>
      <c r="E391" s="83" t="str">
        <v>0=熄灭, 1=常亮绿(辅助激活), 2=常亮灰(未激活), 3=闪烁(故障)</v>
      </c>
      <c r="M391" s="84" t="inlineStr">
        <is>
          <r>
            <t>@严怡辰</t>
          </r>
        </is>
      </c>
      <c r="P391" s="83" t="str">
        <v>否 - 未在AI可控原子能力清单匹配</v>
      </c>
    </row>
    <row r="392" spans="3:16">
      <c r="C392" s="83" t="str">
        <v>5.25 智驾功能指示灯</v>
      </c>
      <c r="D392" s="83" t="str">
        <v>仪表_BSD指示灯</v>
      </c>
      <c r="E392" s="83" t="str">
        <v>0=熄灭, 1=常亮黄(盲区预警), 2=闪烁(故障)</v>
      </c>
      <c r="M392" s="84" t="inlineStr">
        <is>
          <r>
            <t>@严怡辰</t>
          </r>
        </is>
      </c>
      <c r="P392" s="83" t="str">
        <v>否 - 未在AI可控原子能力清单匹配</v>
      </c>
    </row>
    <row r="393" spans="3:16">
      <c r="C393" s="83" t="str">
        <v>5.25 智驾功能指示灯</v>
      </c>
      <c r="D393" s="83" t="str">
        <v>仪表_DOW指示灯</v>
      </c>
      <c r="E393" s="83" t="str">
        <v>0=熄灭, 1=常亮红(开门预警), 2=闪烁(故障)</v>
      </c>
      <c r="M393" s="84" t="inlineStr">
        <is>
          <r>
            <t>@严怡辰</t>
          </r>
        </is>
      </c>
      <c r="P393" s="83" t="str">
        <v>否 - 未在AI可控原子能力清单匹配</v>
      </c>
    </row>
    <row r="394" spans="3:16">
      <c r="C394" s="83" t="str">
        <v>5.25 智驾功能指示灯</v>
      </c>
      <c r="D394" s="83" t="str">
        <v>仪表_ESA指示灯</v>
      </c>
      <c r="E394" s="83" t="str">
        <v>0=熄灭, 1=常亮绿(转向辅助中), 2=闪烁(故障)</v>
      </c>
      <c r="M394" s="84" t="inlineStr">
        <is>
          <r>
            <t>@严怡辰</t>
          </r>
        </is>
      </c>
      <c r="P394" s="83" t="str">
        <v>否 - 未在AI可控原子能力清单匹配</v>
      </c>
    </row>
    <row r="395" spans="3:16">
      <c r="C395" s="83" t="str">
        <v>5.25 智驾功能指示灯</v>
      </c>
      <c r="D395" s="83" t="str">
        <v>仪表_HMA指示灯</v>
      </c>
      <c r="E395" s="83" t="str">
        <v>0=熄灭, 1=常亮绿(自动远光激活), 2=常亮灰(未激活)</v>
      </c>
      <c r="M395" s="84" t="inlineStr">
        <is>
          <r>
            <t>@严怡辰</t>
          </r>
        </is>
      </c>
      <c r="P395" s="83" t="str">
        <v>否 - 未在AI可控原子能力清单匹配</v>
      </c>
    </row>
    <row r="396" spans="3:16">
      <c r="C396" s="83" t="str">
        <v>5.25 智驾功能指示灯</v>
      </c>
      <c r="D396" s="83" t="str">
        <v>仪表_APA指示灯</v>
      </c>
      <c r="E396" s="83" t="str">
        <v>0=熄灭, 1=常亮绿(泊车辅助激活), 2=常亮灰(未激活), 3=闪烁(故障)</v>
      </c>
      <c r="M396" s="84" t="inlineStr">
        <is>
          <r>
            <t>@严怡辰</t>
          </r>
        </is>
      </c>
      <c r="P396" s="83" t="str">
        <v>否 - 未在AI可控原子能力清单匹配</v>
      </c>
    </row>
    <row r="397" spans="3:16">
      <c r="C397" s="83" t="str">
        <v>5.25 智驾功能指示灯</v>
      </c>
      <c r="D397" s="83" t="str">
        <v>仪表_RPA指示灯</v>
      </c>
      <c r="E397" s="83" t="str">
        <v>0=熄灭, 1=常亮绿(遥控泊车中), 2=闪烁(故障)</v>
      </c>
      <c r="M397" s="84" t="inlineStr">
        <is>
          <r>
            <t>@严怡辰</t>
          </r>
        </is>
      </c>
      <c r="P397" s="83" t="str">
        <v>否 - 未在AI可控原子能力清单匹配</v>
      </c>
    </row>
    <row r="398" spans="3:16">
      <c r="C398" s="83" t="str">
        <v>3.36 遥控泊车上下电状态</v>
      </c>
      <c r="D398" s="83" t="str">
        <v>车身_遥控泊车上下电状态</v>
      </c>
      <c r="E398" s="83" t="str">
        <v>供电: 0=下电状态~3=下电中; 控制: 0=未激活~3=泊入中; 故障: 0=无故障~3=下电失败</v>
      </c>
      <c r="M398" s="84" t="inlineStr">
        <is>
          <r>
            <t>@严怡辰</t>
          </r>
        </is>
      </c>
      <c r="P398" s="83" t="str">
        <v>否 - 未在AI可控原子能力清单匹配</v>
      </c>
    </row>
    <row r="399" spans="3:16">
      <c r="C399" s="83" t="str">
        <v>3.37 寻车状态</v>
      </c>
      <c r="D399" s="83" t="str">
        <v>车身_寻车状态</v>
      </c>
      <c r="E399" s="83" t="str">
        <v>状态: 0=未激活~2=寻车执行中; 灯光: 0=灯未动作, 1=灯光闪烁中; 喇叭: 0=喇叭未动作, 1=喇叭鸣叫中</v>
      </c>
      <c r="M399" s="84" t="inlineStr">
        <is>
          <r>
            <t>@严怡辰</t>
          </r>
        </is>
      </c>
      <c r="P399" s="83" t="str">
        <v>否 - 未在AI可控原子能力清单匹配</v>
      </c>
    </row>
    <row r="400" spans="1:16">
      <c r="A400" s="12" t="str">
        <v>六、网联域</v>
      </c>
      <c r="C400" s="12" t="str">
        <v>6.1 网络连接状态</v>
      </c>
      <c r="D400" s="12" t="str">
        <v>网联_WiFi连接状态</v>
      </c>
      <c r="E400" s="12" t="str">
        <v>0=未连接, 1=连接中, 2=已连接(无网络), 3=已连接(有网络), 4=认证中, 5=AP模式</v>
      </c>
      <c r="I400" s="65" t="str">
        <v>V1.0</v>
      </c>
      <c r="M400" s="14" t="inlineStr">
        <is>
          <r>
            <t>@王月伟</t>
          </r>
        </is>
      </c>
      <c r="P400" s="12" t="str">
        <v>否 - 非控件/功能状态类信号</v>
      </c>
    </row>
    <row r="401" spans="4:16">
      <c r="D401" s="12" t="str">
        <v>网联_蓝牙连接状态</v>
      </c>
      <c r="E401" s="12" t="str">
        <v>0=关闭, 1=可发现, 2=配对中, 3=已连接HFP, 4=已连接A2DP, 5=已连接HFP+A2DP, 6=SPP已连接</v>
      </c>
      <c r="I401" s="65" t="str">
        <v>V1.0</v>
      </c>
      <c r="M401" s="14" t="inlineStr">
        <is>
          <r>
            <t>@王月伟</t>
          </r>
        </is>
      </c>
      <c r="P401" s="12" t="str">
        <v>否 - 非控件/功能状态类信号</v>
      </c>
    </row>
    <row r="402" spans="4:16">
      <c r="D402" s="12" t="str">
        <v>网联_热点开关状态</v>
      </c>
      <c r="E402" s="12" t="str">
        <v>0=关闭, 1=开启(无客户端), 2=开启(有客户端), 3=开启(满客户端), 4=错误</v>
      </c>
      <c r="I402" s="65" t="str">
        <v>V1.0</v>
      </c>
      <c r="M402" s="14" t="inlineStr">
        <is>
          <r>
            <t>@王月伟</t>
          </r>
        </is>
      </c>
      <c r="P402" s="12" t="str">
        <v>是 - 匹配：原子能力清单-系统网联服务@张景波：网络连接@王月伟/热点开关</v>
      </c>
    </row>
    <row r="403" spans="4:16">
      <c r="D403" s="12" t="str">
        <v>蜂窝网信号强度</v>
      </c>
      <c r="E403" s="25" t="str">
        <v>网络信号强度（0~5）</v>
      </c>
      <c r="I403" s="65" t="str">
        <v>V1.0</v>
      </c>
      <c r="O403" s="25" t="str">
        <v>张子羽</v>
      </c>
      <c r="P403" s="25" t="str">
        <v>否 - 非控件/功能状态类信号</v>
      </c>
    </row>
    <row r="404" spans="4:16">
      <c r="D404" s="12" t="str">
        <v>蜂窝网服务状态</v>
      </c>
      <c r="E404" s="12" t="str">
        <v>可用/不可用</v>
      </c>
      <c r="I404" s="65" t="str">
        <v>V1.0</v>
      </c>
      <c r="P404" s="12" t="str">
        <v>否 - 未在AI可控原子能力清单匹配</v>
      </c>
    </row>
    <row r="405" spans="4:16">
      <c r="D405" s="12" t="str">
        <v>UTC时间</v>
      </c>
      <c r="E405" s="12" t="str">
        <v>车辆系统时间戳/当前时间与日期</v>
      </c>
      <c r="I405" s="65" t="str">
        <v>V1.0</v>
      </c>
      <c r="M405" s="14" t="inlineStr">
        <is>
          <r>
            <t>@王月伟</t>
          </r>
        </is>
      </c>
      <c r="O405" s="12" t="str">
        <v>张子羽</v>
      </c>
      <c r="P405" s="12" t="str">
        <v>否 - 非控件/功能状态类信号</v>
      </c>
    </row>
    <row r="406" spans="3:16">
      <c r="C406" s="12" t="str">
        <v>云端天气数据</v>
      </c>
      <c r="D406" s="12" t="str">
        <v>空气温度</v>
      </c>
      <c r="E406" s="12" t="str">
        <v>℃</v>
      </c>
      <c r="I406" s="65" t="str">
        <v>V1.0</v>
      </c>
      <c r="P406" s="12" t="str">
        <v>否 - 未在AI可控原子能力清单匹配</v>
      </c>
    </row>
    <row r="407" spans="4:16">
      <c r="D407" s="12" t="str">
        <v>空气湿度</v>
      </c>
      <c r="E407" s="12" t="str">
        <v>0~100 %RH</v>
      </c>
      <c r="I407" s="65" t="str">
        <v>V1.0</v>
      </c>
      <c r="P407" s="12" t="str">
        <v>否 - 非控件/功能状态类信号</v>
      </c>
    </row>
    <row r="408" spans="4:16">
      <c r="D408" s="12" t="str">
        <v>气候</v>
      </c>
      <c r="E408" s="12" t="str">
        <v>晴/雨/阴/雪/雾等</v>
      </c>
      <c r="I408" s="65" t="str">
        <v>V1.0</v>
      </c>
      <c r="O408" s="12" t="str">
        <v>陈杰</v>
      </c>
      <c r="P408" s="12" t="str">
        <v>否 - 非控件/功能状态类信号</v>
      </c>
    </row>
    <row r="409" spans="4:16">
      <c r="D409" s="12" t="str">
        <v>极端天气预警信息</v>
      </c>
      <c r="E409" s="12" t="str">
        <v>高温/霜冻/暴雨等</v>
      </c>
      <c r="I409" s="65" t="str">
        <v>V1.0</v>
      </c>
      <c r="O409" s="12" t="str">
        <v>陈杰</v>
      </c>
      <c r="P409" s="12" t="str">
        <v>否 - 非控件/功能状态类信号</v>
      </c>
    </row>
    <row r="410" spans="3:16">
      <c r="C410" s="83" t="str">
        <v>6.2 GNSS状态</v>
      </c>
      <c r="D410" s="83" t="str">
        <v>网联_GNSS数据信息</v>
      </c>
      <c r="E410" s="83" t="str">
        <v>Struct: 纬度(-90~+90 deg), 经度(-180~+180 deg), 高程, 速度(0~511 km/h), 航向(0~359.99 deg), 卫星数(0~64), HDOP(0~50), 定位状态(0~5)</v>
      </c>
      <c r="P410" s="83" t="str">
        <v>否 - 非控件/功能状态类信号</v>
      </c>
    </row>
    <row r="411" spans="4:16">
      <c r="D411" s="83" t="str">
        <v>海拔</v>
      </c>
      <c r="E411" s="83" t="str">
        <v>海拔</v>
      </c>
      <c r="P411" s="83" t="str">
        <v>否 - 非控件/功能状态类信号</v>
      </c>
    </row>
    <row r="412" spans="3:16">
      <c r="C412" s="12" t="str">
        <v>tsp</v>
      </c>
      <c r="D412" s="12" t="str">
        <v>预计用车时间</v>
      </c>
      <c r="E412" s="12" t="str">
        <v>min</v>
      </c>
      <c r="I412" s="65" t="str">
        <v>V1.0</v>
      </c>
      <c r="O412" s="12" t="str">
        <v>陈杰</v>
      </c>
      <c r="P412" s="12" t="str">
        <v>否 - 非控件/功能状态类信号</v>
      </c>
    </row>
    <row r="413" spans="4:16">
      <c r="D413" s="61" t="str">
        <v>日程内容</v>
      </c>
      <c r="E413" s="61" t="str">
        <v>用户输入的具体日程内容</v>
      </c>
      <c r="M413" s="49" t="inlineStr">
        <is>
          <r>
            <t>@王月伟</t>
          </r>
        </is>
      </c>
      <c r="P413" s="61" t="str">
        <v>否 - 非控件/功能状态类信号</v>
      </c>
    </row>
    <row r="414" spans="4:16">
      <c r="D414" s="61" t="str">
        <v>日程日期时间</v>
      </c>
      <c r="E414" s="61" t="str">
        <v>日程内容对应的日期时间</v>
      </c>
      <c r="M414" s="49" t="inlineStr">
        <is>
          <r>
            <t>@王月伟</t>
          </r>
        </is>
      </c>
      <c r="P414" s="61" t="str">
        <v>否 - 非控件/功能状态类信号</v>
      </c>
    </row>
    <row r="415" spans="3:16">
      <c r="C415" s="61" t="str">
        <v>6.6 SIM卡管理状态</v>
      </c>
      <c r="D415" s="61" t="str">
        <v>网联_多卡切换状态</v>
      </c>
      <c r="E415" s="61" t="str">
        <v>0=SIM1激活, 1=SIM2激活, 2=切换中, 3=切换失败, 4=无SIM卡, 5=双卡同时激活(DSDS)</v>
      </c>
      <c r="M415" s="49" t="inlineStr">
        <is>
          <r>
            <t>@王月伟</t>
          </r>
        </is>
      </c>
      <c r="P415" s="61" t="str">
        <v>否 - 未在AI可控原子能力清单匹配</v>
      </c>
    </row>
    <row r="416" spans="3:16">
      <c r="C416" s="12" t="str">
        <v>6.7 XCALL状态</v>
      </c>
      <c r="D416" s="12" t="str">
        <v>网联_XCALL功能状态</v>
      </c>
      <c r="E416" s="12" t="str">
        <v>0=空闲, 1=ECALL激活, 2=BCALL激活, 3=ICALL激活, 4=ECALL注册中, 5=BCALL注册中, 7=通话建立, 8=通话结束, 9=麦克风静音, 10=通话中，0xF=系统故障</v>
      </c>
      <c r="F416" s="13" t="str">
        <v>赵益乐</v>
      </c>
      <c r="G416" s="81">
        <v>46203</v>
      </c>
      <c r="H416" s="13" t="str">
        <v>新增10=通话中，此条件下无法唤醒车外语音</v>
      </c>
      <c r="I416" s="65" t="str">
        <v>V1.0</v>
      </c>
      <c r="P416" s="12" t="str">
        <v>是 - 匹配：原子能力清单-系统网联服务@张景波：XCALL/紧急救援呼叫</v>
      </c>
    </row>
    <row r="417" spans="3:16">
      <c r="C417" s="83" t="str">
        <v>6.8 Ecall状态</v>
      </c>
      <c r="D417" s="83" t="str">
        <v>网联_Ecall辅助信息</v>
      </c>
      <c r="E417" s="83" t="str">
        <v>Struct: ECall类型(0~2=测试), 触发源(0~7=气囊展开), 车辆状态(0~3=翻滚), GPS有效(0/1), VIN有效(0/1), 通话时长(0~65535 s), MSD发送状态(0~5=ACK收到), 重拨次数(0~15)</v>
      </c>
      <c r="P417" s="83" t="str">
        <v>否 - 未在AI可控原子能力清单匹配</v>
      </c>
    </row>
    <row r="418" spans="3:15">
      <c r="C418" s="12" t="str">
        <v>6.9 蓝牙钥匙和UWB钥匙离实车距离</v>
      </c>
      <c r="E418" s="12" t="str">
        <v>0=实车未识别到蓝牙钥匙及UWB钥匙；1=蓝牙钥匙及UWB钥匙距离实车3米以内；2=蓝牙钥匙及UWB钥匙距离实车3米外10米内；3=蓝牙钥匙及UWB钥匙距离实车10米外</v>
      </c>
      <c r="I418" s="65" t="str">
        <v>V1.0</v>
      </c>
      <c r="O418" s="12" t="str">
        <v>赵益乐，车外语音需求</v>
      </c>
    </row>
    <row r="419" spans="3:16">
      <c r="C419" s="12" t="str">
        <v>6.10 蓝牙及UWB钥匙和实车匹配成功（10米）</v>
      </c>
      <c r="D419" s="13" t="str">
        <v>蓝牙及UWB钥匙和实车匹配状态</v>
      </c>
      <c r="E419" s="12" t="str">
        <v>0=未匹配成功
1=匹配成功
2=空</v>
      </c>
      <c r="I419" s="65" t="str">
        <v>v1.2</v>
      </c>
      <c r="O419" s="12" t="str">
        <v>赵益乐，车外语音需求</v>
      </c>
      <c r="P419" s="12" t="str">
        <v>否</v>
      </c>
    </row>
    <row r="420" spans="1:16">
      <c r="A420" s="12" t="str">
        <v>七、座舱域</v>
      </c>
      <c r="C420" s="12" t="str">
        <v>7.3 HUD状态</v>
      </c>
      <c r="D420" s="12" t="str">
        <v>座舱_HUD工作状态</v>
      </c>
      <c r="E420" s="12" t="str">
        <v>0=关闭, 1=待机, 2=正常, 3=亮度调节中, 4=故障, 5=升级中</v>
      </c>
      <c r="I420" s="65" t="str">
        <v>V1.0</v>
      </c>
      <c r="M420" s="14" t="inlineStr">
        <is>
          <r>
            <t>@刘嘉毅</t>
          </r>
        </is>
      </c>
      <c r="P420" s="12" t="str">
        <v>是 - 匹配：原子能力清单-车设@各垂域：显示页面/PHUD显示编辑设置页</v>
      </c>
    </row>
    <row r="421" spans="3:16">
      <c r="C421" s="12" t="str">
        <v>7.5 中控屏/吸顶屏状态</v>
      </c>
      <c r="D421" s="12" t="str">
        <v>座舱_中控屏状态</v>
      </c>
      <c r="E421" s="12" t="str">
        <v>0=关闭, 1=开启, 2=待机, 3=升级中, 4=故障</v>
      </c>
      <c r="I421" s="65" t="str">
        <v>V1.0</v>
      </c>
      <c r="M421" s="14" t="inlineStr">
        <is>
          <r>
            <t>@刘嘉毅</t>
          </r>
        </is>
      </c>
      <c r="P421" s="12" t="str">
        <v>是 - 匹配：原子能力清单-车设@各垂域：显示功能控制/中控屏亮度</v>
      </c>
    </row>
    <row r="422" spans="4:16">
      <c r="D422" s="12" t="str">
        <v>座舱_吸顶屏状态</v>
      </c>
      <c r="E422" s="12" t="str">
        <v>0=关闭, 1=开启, 2=待机, 3=升级中, 4=故障</v>
      </c>
      <c r="I422" s="65" t="str">
        <v>V1.0</v>
      </c>
      <c r="M422" s="14" t="inlineStr">
        <is>
          <r>
            <t>@刘嘉毅</t>
          </r>
        </is>
      </c>
      <c r="P422" s="12" t="str">
        <v>否 - 未在AI可控原子能力清单匹配</v>
      </c>
    </row>
    <row r="423" spans="3:16">
      <c r="C423" s="12" t="str">
        <v>7.6 AI交互屏状态</v>
      </c>
      <c r="D423" s="12" t="str">
        <v>座舱_AI交互屏状态</v>
      </c>
      <c r="E423" s="82" t="inlineStr">
        <is>
          <r>
            <rPr>
              <sz val="11"/>
              <color rgb="FF1F2329"/>
              <rFont val="Arial"/>
            </rPr>
            <t>0=关闭, 1=开启,</t>
          </r>
          <r>
            <rPr>
              <strike/>
              <sz val="11"/>
              <color rgb="FF1F2329"/>
              <rFont val="Arial"/>
            </rPr>
            <t xml:space="preserve"> 2=待机, 3=交互激活, </t>
          </r>
          <r>
            <rPr>
              <sz val="11"/>
              <color rgb="FF1F2329"/>
              <rFont val="Arial"/>
            </rPr>
            <t>4=故障</t>
          </r>
        </is>
      </c>
      <c r="I423" s="65" t="str">
        <v>V1.0</v>
      </c>
      <c r="M423" s="14" t="inlineStr">
        <is>
          <r>
            <t>@朱婧雯</t>
          </r>
        </is>
      </c>
      <c r="P423" s="82" t="str">
        <v>否 - 未在AI可控原子能力清单匹配</v>
      </c>
    </row>
    <row r="424" spans="4:16">
      <c r="D424" s="61" t="str">
        <v>座舱_全时免唤醒状态</v>
      </c>
      <c r="E424" s="61" t="str">
        <v>0=关闭, 1=开启</v>
      </c>
      <c r="M424" s="48" t="inlineStr">
        <is>
          <r>
            <t>@朱婧雯</t>
          </r>
        </is>
      </c>
      <c r="N424" s="48" t="str">
        <v>是</v>
      </c>
      <c r="P424" s="61" t="str">
        <v>是 - 匹配：原子能力清单-车设@各垂域：AI设置功能控制/全时免唤醒</v>
      </c>
    </row>
    <row r="425" spans="4:16">
      <c r="D425" s="61" t="str">
        <v>座舱_声纹状态</v>
      </c>
      <c r="E425" s="61" t="str">
        <v>0=无, 1=已录制, 2=录制中</v>
      </c>
      <c r="M425" s="48" t="inlineStr">
        <is>
          <r>
            <t>@朱婧雯</t>
          </r>
        </is>
      </c>
      <c r="N425" s="48" t="str">
        <v>是</v>
      </c>
      <c r="P425" s="61" t="str">
        <v>否 - 未在AI可控原子能力清单匹配</v>
      </c>
    </row>
    <row r="426" spans="4:16">
      <c r="D426" s="12" t="str">
        <v>座舱_Always_on状态</v>
      </c>
      <c r="E426" s="12" t="str">
        <v>0=关闭, 1=开启</v>
      </c>
      <c r="I426" s="65" t="str">
        <v>V1.0</v>
      </c>
      <c r="M426" s="14" t="inlineStr">
        <is>
          <r>
            <t>@朱婧雯</t>
          </r>
        </is>
      </c>
      <c r="N426" s="14" t="str">
        <v>是</v>
      </c>
      <c r="P426" s="12" t="str">
        <v>是 - 匹配：原子能力清单-车设@各垂域：AI设置功能控制/Alwayson</v>
      </c>
    </row>
    <row r="427" spans="3:16">
      <c r="C427" s="12" t="str">
        <v>7.8 导航状态</v>
      </c>
      <c r="D427" s="12" t="str">
        <v>导航活跃状态</v>
      </c>
      <c r="E427" s="12" t="str">
        <v>0=未激活, 1=激活</v>
      </c>
      <c r="I427" s="65" t="str">
        <v>V1.0</v>
      </c>
      <c r="M427" s="14" t="inlineStr">
        <is>
          <r>
            <t>@项阳</t>
          </r>
          <r>
            <t>@宋章仪</t>
          </r>
        </is>
      </c>
      <c r="N427" s="14" t="str">
        <v>是</v>
      </c>
      <c r="O427" s="12" t="str">
        <v>刘多、张子羽</v>
      </c>
      <c r="P427" s="12" t="str">
        <v>否 - 未在AI可控原子能力清单匹配</v>
      </c>
    </row>
    <row r="428" spans="3:16">
      <c r="C428" s="12" t="str">
        <v>7.8a 目的地信息</v>
      </c>
      <c r="D428" s="12" t="str">
        <v>导航目的地名称</v>
      </c>
      <c r="E428" s="12" t="str">
        <v>String, 最长64字符 (UTF-8)</v>
      </c>
      <c r="I428" s="65" t="str">
        <v>V1.0</v>
      </c>
      <c r="M428" s="14" t="inlineStr">
        <is>
          <r>
            <t>@项阳</t>
          </r>
          <r>
            <t>@宋章仪</t>
          </r>
        </is>
      </c>
      <c r="N428" s="14" t="str">
        <v>是</v>
      </c>
      <c r="O428" s="12" t="str">
        <v>刘多、张子羽</v>
      </c>
      <c r="P428" s="12" t="str">
        <v>否 - 非控件/功能状态类信号</v>
      </c>
    </row>
    <row r="429" spans="4:16">
      <c r="D429" s="12" t="str">
        <v>导航目的地地址</v>
      </c>
      <c r="E429" s="12" t="str">
        <v>String, 最长128字符 (UTF-8)</v>
      </c>
      <c r="I429" s="65" t="str">
        <v>V1.0</v>
      </c>
      <c r="M429" s="14" t="inlineStr">
        <is>
          <r>
            <t>@项阳</t>
          </r>
          <r>
            <t>@宋章仪</t>
          </r>
        </is>
      </c>
      <c r="N429" s="14" t="str">
        <v>是</v>
      </c>
      <c r="P429" s="12" t="str">
        <v>否 - 非控件/功能状态类信号</v>
      </c>
    </row>
    <row r="430" spans="4:16">
      <c r="D430" s="12" t="str">
        <v>导航目的地坐标</v>
      </c>
      <c r="E430" s="12" t="str">
        <v>经度-180~180 deg, 纬度-90~90 deg</v>
      </c>
      <c r="I430" s="65" t="str">
        <v>V1.0</v>
      </c>
      <c r="M430" s="14" t="inlineStr">
        <is>
          <r>
            <t>@项阳</t>
          </r>
          <r>
            <t>@宋章仪</t>
          </r>
        </is>
      </c>
      <c r="N430" s="14" t="str">
        <v>是</v>
      </c>
      <c r="P430" s="12" t="str">
        <v>否 - 非控件/功能状态类信号</v>
      </c>
    </row>
    <row r="431" spans="4:16">
      <c r="D431" s="12" t="str">
        <v>导航目的地POI类型</v>
      </c>
      <c r="E431" s="12" t="str">
        <v>0=其他, 1=餐饮, 2=充电站, 3=加油站, 4=停车场, 5=酒店, 6=景点, 7=商超, 8=服务区, 9=收费站</v>
      </c>
      <c r="I431" s="65" t="str">
        <v>V1.0</v>
      </c>
      <c r="M431" s="14" t="inlineStr">
        <is>
          <r>
            <t>@项阳</t>
          </r>
          <r>
            <t>@宋章仪</t>
          </r>
        </is>
      </c>
      <c r="N431" s="14" t="str">
        <v>是</v>
      </c>
      <c r="P431" s="12" t="str">
        <v>否 - 非控件/功能状态类信号</v>
      </c>
    </row>
    <row r="432" spans="4:15">
      <c r="D432" s="63" t="str">
        <v>导航目的地POI详细标签</v>
      </c>
      <c r="E432" s="12" t="str">
        <v>文字标签,多个标签用"|"分割,例如,咖啡店|餐厅</v>
      </c>
      <c r="I432" s="65" t="str">
        <v>待导入</v>
      </c>
      <c r="O432" s="12" t="str">
        <v>冯艺玮</v>
      </c>
    </row>
    <row r="433" spans="4:9">
      <c r="D433" s="63" t="str">
        <v>目的地匹配常用地址/收藏点</v>
      </c>
      <c r="E433" s="12" t="str">
        <v>0-未匹配收藏点,1-匹配配公司,2-匹配家,3-匹配普通收藏点</v>
      </c>
      <c r="I433" s="65" t="str">
        <v>待导入</v>
      </c>
    </row>
    <row r="434" spans="4:16">
      <c r="D434" s="12" t="str">
        <v>导航剩余距离值</v>
      </c>
      <c r="E434" s="12" t="str">
        <v>0~999999 m, 步长1 m</v>
      </c>
      <c r="I434" s="65" t="str">
        <v>V1.0</v>
      </c>
      <c r="M434" s="14" t="inlineStr">
        <is>
          <r>
            <t>@项阳</t>
          </r>
        </is>
      </c>
      <c r="N434" s="14" t="str">
        <v>是</v>
      </c>
      <c r="O434" s="12" t="str">
        <v>刘多</v>
      </c>
      <c r="P434" s="12" t="str">
        <v>否 - 非控件/功能状态类信号</v>
      </c>
    </row>
    <row r="435" spans="4:16">
      <c r="D435" s="12" t="str">
        <v>导航剩余时间值</v>
      </c>
      <c r="E435" s="12" t="str">
        <v>0~65535 min, 步长1 min</v>
      </c>
      <c r="I435" s="65" t="str">
        <v>V1.0</v>
      </c>
      <c r="M435" s="14" t="inlineStr">
        <is>
          <r>
            <t>@项阳</t>
          </r>
        </is>
      </c>
      <c r="N435" s="14" t="str">
        <v>是</v>
      </c>
      <c r="O435" s="12" t="str">
        <v>刘多</v>
      </c>
      <c r="P435" s="12" t="str">
        <v>否 - 非控件/功能状态类信号</v>
      </c>
    </row>
    <row r="436" spans="4:16">
      <c r="D436" s="12" t="str">
        <v>导航到达目的地预估SOC值</v>
      </c>
      <c r="E436" s="12" t="str">
        <v>0~100%, 步长0.5%</v>
      </c>
      <c r="I436" s="65" t="str">
        <v>V1.0</v>
      </c>
      <c r="M436" s="14" t="inlineStr">
        <is>
          <r>
            <t>@项阳</t>
          </r>
        </is>
      </c>
      <c r="N436" s="14" t="str">
        <v>是</v>
      </c>
      <c r="P436" s="12" t="str">
        <v>否 - 非控件/功能状态类信号</v>
      </c>
    </row>
    <row r="437" spans="4:16">
      <c r="D437" s="12" t="str">
        <v>导航电量可达目的地状态</v>
      </c>
      <c r="E437" s="12" t="str">
        <v>0=可达, 1=不可达</v>
      </c>
      <c r="I437" s="65" t="str">
        <v>V1.0</v>
      </c>
      <c r="M437" s="14" t="inlineStr">
        <is>
          <r>
            <t>@项阳</t>
          </r>
        </is>
      </c>
      <c r="N437" s="14" t="str">
        <v>是</v>
      </c>
      <c r="P437" s="12" t="str">
        <v>否 - 未在AI可控原子能力清单匹配</v>
      </c>
    </row>
    <row r="438" spans="3:16">
      <c r="C438" s="12" t="str">
        <v>7.8b 路线信息</v>
      </c>
      <c r="D438" s="12" t="str">
        <v>导航路线偏好</v>
      </c>
      <c r="E438" s="12" t="str">
        <v>0=综合推荐, 1=时间最短, 2=少收费, 3=躲避拥堵, 4=避开高速, 5=大路优先, 6=高速优先，7=高速优先，7=AI兜风推荐</v>
      </c>
      <c r="I438" s="65" t="str">
        <v>V1.0</v>
      </c>
      <c r="M438" s="14" t="inlineStr">
        <is>
          <r>
            <t>@项阳</t>
          </r>
        </is>
      </c>
      <c r="N438" s="14" t="str">
        <v>是</v>
      </c>
      <c r="P438" s="12" t="str">
        <v>否 - 非控件/功能状态类信号</v>
      </c>
    </row>
    <row r="439" spans="4:16">
      <c r="D439" s="12" t="str">
        <v>导航路线总距离值</v>
      </c>
      <c r="E439" s="12" t="str">
        <v>0~999999999 m</v>
      </c>
      <c r="I439" s="65" t="str">
        <v>V1.0</v>
      </c>
      <c r="M439" s="14" t="inlineStr">
        <is>
          <r>
            <t>@项阳</t>
          </r>
        </is>
      </c>
      <c r="N439" s="14" t="str">
        <v>是</v>
      </c>
      <c r="P439" s="12" t="str">
        <v>否 - 非控件/功能状态类信号</v>
      </c>
    </row>
    <row r="440" spans="4:16">
      <c r="D440" s="12" t="str">
        <v>导航路线总时长值</v>
      </c>
      <c r="E440" s="12" t="str">
        <v>0~6553599 min</v>
      </c>
      <c r="I440" s="65" t="str">
        <v>V1.0</v>
      </c>
      <c r="M440" s="14" t="inlineStr">
        <is>
          <r>
            <t>@项阳</t>
          </r>
        </is>
      </c>
      <c r="N440" s="14" t="str">
        <v>是</v>
      </c>
      <c r="P440" s="12" t="str">
        <v>否 - 非控件/功能状态类信号</v>
      </c>
    </row>
    <row r="441" spans="4:16">
      <c r="D441" s="12" t="str">
        <v>导航剩余红绿灯数量</v>
      </c>
      <c r="E441" s="12" t="str">
        <v>0~65535个</v>
      </c>
      <c r="I441" s="65" t="str">
        <v>V1.0</v>
      </c>
      <c r="M441" s="14" t="inlineStr">
        <is>
          <r>
            <t>@项阳</t>
          </r>
        </is>
      </c>
      <c r="N441" s="14" t="str">
        <v>是</v>
      </c>
      <c r="P441" s="12" t="str">
        <v>否 - 非控件/功能状态类信号</v>
      </c>
    </row>
    <row r="442" spans="4:14">
      <c r="D442" s="12" t="str">
        <v>导航路口红灯剩余时长</v>
      </c>
      <c r="E442" s="12" t="str">
        <v>多少s</v>
      </c>
      <c r="I442" s="65" t="str">
        <v>V1.0</v>
      </c>
      <c r="M442" s="14" t="inlineStr">
        <is>
          <r>
            <t>@项阳</t>
          </r>
        </is>
      </c>
      <c r="N442" s="14" t="str">
        <v>是</v>
      </c>
    </row>
    <row r="443" spans="4:14">
      <c r="D443" s="12" t="str">
        <v>拥堵程度</v>
      </c>
      <c r="E443" s="12" t="str">
        <v>红 黄 绿</v>
      </c>
      <c r="I443" s="65" t="str">
        <v>V1.0</v>
      </c>
      <c r="M443" s="14" t="inlineStr">
        <is>
          <r>
            <t>@项阳</t>
          </r>
        </is>
      </c>
      <c r="N443" s="14" t="str">
        <v>是</v>
      </c>
    </row>
    <row r="444" spans="4:14">
      <c r="D444" s="12" t="str">
        <v>拥堵时间</v>
      </c>
      <c r="E444" s="12" t="str">
        <v>多少min</v>
      </c>
      <c r="I444" s="65" t="str">
        <v>V1.0</v>
      </c>
      <c r="M444" s="14" t="inlineStr">
        <is>
          <r>
            <t>@项阳</t>
          </r>
        </is>
      </c>
      <c r="N444" s="14" t="str">
        <v>是</v>
      </c>
    </row>
    <row r="445" spans="4:14">
      <c r="D445" s="12" t="str">
        <v>拥堵距离</v>
      </c>
      <c r="E445" s="12" t="str">
        <v>多少m</v>
      </c>
      <c r="I445" s="65" t="str">
        <v>V1.0</v>
      </c>
      <c r="M445" s="14" t="inlineStr">
        <is>
          <r>
            <t>@项阳</t>
          </r>
        </is>
      </c>
      <c r="N445" s="14" t="str">
        <v>是</v>
      </c>
    </row>
    <row r="446" spans="4:14">
      <c r="D446" s="12" t="str">
        <v>当前位置离拥堵点距离</v>
      </c>
      <c r="E446" s="12" t="str">
        <v>多少m</v>
      </c>
      <c r="I446" s="65" t="str">
        <v>V1.0</v>
      </c>
      <c r="M446" s="14" t="inlineStr">
        <is>
          <r>
            <t>@项阳</t>
          </r>
        </is>
      </c>
      <c r="N446" s="14" t="str">
        <v>是</v>
      </c>
    </row>
    <row r="447" spans="4:16">
      <c r="D447" s="12" t="str">
        <v>导航高速下一出口距离值</v>
      </c>
      <c r="E447" s="12" t="str">
        <v>0~999999 m</v>
      </c>
      <c r="I447" s="65" t="str">
        <v>V1.0</v>
      </c>
      <c r="M447" s="14" t="inlineStr">
        <is>
          <r>
            <t>@项阳</t>
          </r>
        </is>
      </c>
      <c r="N447" s="14" t="str">
        <v>是</v>
      </c>
      <c r="P447" s="12" t="str">
        <v>否 - 非控件/功能状态类信号</v>
      </c>
    </row>
    <row r="448" spans="4:16">
      <c r="D448" s="12" t="str">
        <v>导航高速下一出口时长值</v>
      </c>
      <c r="E448" s="12" t="str">
        <v>0~65535 min</v>
      </c>
      <c r="I448" s="65" t="str">
        <v>V1.0</v>
      </c>
      <c r="M448" s="14" t="inlineStr">
        <is>
          <r>
            <t>@项阳</t>
          </r>
        </is>
      </c>
      <c r="N448" s="14" t="str">
        <v>是</v>
      </c>
      <c r="P448" s="12" t="str">
        <v>否 - 非控件/功能状态类信号</v>
      </c>
    </row>
    <row r="449" spans="4:16">
      <c r="D449" s="12" t="str">
        <v>导航下一收费站距离值</v>
      </c>
      <c r="E449" s="12" t="str">
        <v>0~999999 m</v>
      </c>
      <c r="I449" s="65" t="str">
        <v>V1.0</v>
      </c>
      <c r="M449" s="14" t="inlineStr">
        <is>
          <r>
            <t>@项阳</t>
          </r>
        </is>
      </c>
      <c r="N449" s="14" t="str">
        <v>是</v>
      </c>
      <c r="P449" s="12" t="str">
        <v>否 - 非控件/功能状态类信号</v>
      </c>
    </row>
    <row r="450" spans="3:16">
      <c r="C450" s="12" t="str">
        <v>7.8c 途经点信息</v>
      </c>
      <c r="D450" s="12" t="str">
        <v>导航途经点数量</v>
      </c>
      <c r="E450" s="12" t="str">
        <v>0~5 (上限待研发确认)</v>
      </c>
      <c r="I450" s="65" t="str">
        <v>V1.0</v>
      </c>
      <c r="M450" s="14" t="inlineStr">
        <is>
          <r>
            <t>@项阳</t>
          </r>
        </is>
      </c>
      <c r="N450" s="14" t="str">
        <v>是</v>
      </c>
      <c r="O450" s="12" t="str">
        <v>冯艺玮</v>
      </c>
      <c r="P450" s="12" t="str">
        <v>否 - 非控件/功能状态类信号</v>
      </c>
    </row>
    <row r="451" spans="4:16">
      <c r="D451" s="12" t="str">
        <v>导航途经点1名称</v>
      </c>
      <c r="E451" s="12" t="str">
        <v>String, 最长64字符 (UTF-8)</v>
      </c>
      <c r="I451" s="65" t="str">
        <v>V1.0</v>
      </c>
      <c r="M451" s="14" t="inlineStr">
        <is>
          <r>
            <t>@项阳</t>
          </r>
        </is>
      </c>
      <c r="N451" s="14" t="str">
        <v>是</v>
      </c>
      <c r="O451" s="12" t="str">
        <v>冯艺玮</v>
      </c>
      <c r="P451" s="12" t="str">
        <v>否 - 非控件/功能状态类信号</v>
      </c>
    </row>
    <row r="452" spans="4:16">
      <c r="D452" s="12" t="str">
        <v>导航到途经点1距离值</v>
      </c>
      <c r="E452" s="12" t="str">
        <v>0~999999 m</v>
      </c>
      <c r="I452" s="65" t="str">
        <v>V1.0</v>
      </c>
      <c r="M452" s="14" t="inlineStr">
        <is>
          <r>
            <t>@项阳</t>
          </r>
        </is>
      </c>
      <c r="N452" s="14" t="str">
        <v>是</v>
      </c>
      <c r="P452" s="12" t="str">
        <v>否 - 非控件/功能状态类信号</v>
      </c>
    </row>
    <row r="453" spans="4:16">
      <c r="D453" s="12" t="str">
        <v>导航到途经点1时长值</v>
      </c>
      <c r="E453" s="12" t="str">
        <v>0~65535 min</v>
      </c>
      <c r="I453" s="65" t="str">
        <v>V1.0</v>
      </c>
      <c r="M453" s="14" t="inlineStr">
        <is>
          <r>
            <t>@项阳</t>
          </r>
        </is>
      </c>
      <c r="N453" s="14" t="str">
        <v>是</v>
      </c>
      <c r="P453" s="12" t="str">
        <v>否 - 非控件/功能状态类信号</v>
      </c>
    </row>
    <row r="454" spans="4:16">
      <c r="D454" s="12" t="str">
        <v>导航到途经点1预估SOC值</v>
      </c>
      <c r="E454" s="12" t="str">
        <v>0~100%, 步长0.5%</v>
      </c>
      <c r="I454" s="65" t="str">
        <v>V1.0</v>
      </c>
      <c r="M454" s="14" t="inlineStr">
        <is>
          <r>
            <t>@项阳</t>
          </r>
        </is>
      </c>
      <c r="N454" s="14" t="str">
        <v>是</v>
      </c>
      <c r="P454" s="12" t="str">
        <v>否 - 非控件/功能状态类信号</v>
      </c>
    </row>
    <row r="455" spans="4:16">
      <c r="D455" s="12" t="str">
        <v>导航途经点2名称</v>
      </c>
      <c r="E455" s="12" t="str">
        <v>String, 最长64字符 (UTF-8)</v>
      </c>
      <c r="I455" s="65" t="str">
        <v>V1.0</v>
      </c>
      <c r="O455" s="12" t="str">
        <v>冯艺玮</v>
      </c>
      <c r="P455" s="12" t="str">
        <v>否 - 非控件/功能状态类信号</v>
      </c>
    </row>
    <row r="456" spans="4:16">
      <c r="D456" s="12" t="str">
        <v>导航到途经点2距离值</v>
      </c>
      <c r="E456" s="12" t="str">
        <v>0~999999 m</v>
      </c>
      <c r="I456" s="65" t="str">
        <v>V1.0</v>
      </c>
      <c r="P456" s="12" t="str">
        <v>否 - 非控件/功能状态类信号</v>
      </c>
    </row>
    <row r="457" spans="4:16">
      <c r="D457" s="12" t="str">
        <v>导航到途经点2时长值</v>
      </c>
      <c r="E457" s="12" t="str">
        <v>0~65535 min</v>
      </c>
      <c r="I457" s="65" t="str">
        <v>V1.0</v>
      </c>
      <c r="P457" s="12" t="str">
        <v>否 - 非控件/功能状态类信号</v>
      </c>
    </row>
    <row r="458" spans="4:16">
      <c r="D458" s="12" t="str">
        <v>导航到途经点2预估SOC值</v>
      </c>
      <c r="E458" s="12" t="str">
        <v>0~100%, 步长0.5%</v>
      </c>
      <c r="I458" s="65" t="str">
        <v>V1.0</v>
      </c>
      <c r="P458" s="12" t="str">
        <v>否 - 非控件/功能状态类信号</v>
      </c>
    </row>
    <row r="459" spans="4:16">
      <c r="D459" s="12" t="str">
        <v>导航途经点3名称</v>
      </c>
      <c r="E459" s="12" t="str">
        <v>String, 最长64字符 (UTF-8)</v>
      </c>
      <c r="I459" s="65" t="str">
        <v>V1.0</v>
      </c>
      <c r="O459" s="12" t="str">
        <v>冯艺玮</v>
      </c>
      <c r="P459" s="12" t="str">
        <v>否 - 非控件/功能状态类信号</v>
      </c>
    </row>
    <row r="460" spans="4:16">
      <c r="D460" s="12" t="str">
        <v>导航到途经点3距离值</v>
      </c>
      <c r="E460" s="12" t="str">
        <v>0~999999 m</v>
      </c>
      <c r="I460" s="65" t="str">
        <v>V1.0</v>
      </c>
      <c r="P460" s="12" t="str">
        <v>否 - 非控件/功能状态类信号</v>
      </c>
    </row>
    <row r="461" spans="4:16">
      <c r="D461" s="12" t="str">
        <v>导航到途经点3时长值</v>
      </c>
      <c r="E461" s="12" t="str">
        <v>0~65535 min</v>
      </c>
      <c r="I461" s="65" t="str">
        <v>V1.0</v>
      </c>
      <c r="P461" s="12" t="str">
        <v>否 - 非控件/功能状态类信号</v>
      </c>
    </row>
    <row r="462" spans="4:16">
      <c r="D462" s="12" t="str">
        <v>导航到途经点3预估SOC值</v>
      </c>
      <c r="E462" s="12" t="str">
        <v>0~100%, 步长0.5%</v>
      </c>
      <c r="I462" s="65" t="str">
        <v>V1.0</v>
      </c>
      <c r="P462" s="12" t="str">
        <v>否 - 非控件/功能状态类信号</v>
      </c>
    </row>
    <row r="463" spans="4:16">
      <c r="D463" s="12" t="str">
        <v>导航途经点4名称</v>
      </c>
      <c r="E463" s="12" t="str">
        <v>String, 最长64字符 (UTF-8)</v>
      </c>
      <c r="I463" s="65" t="str">
        <v>V1.0</v>
      </c>
      <c r="O463" s="12" t="str">
        <v>冯艺玮</v>
      </c>
      <c r="P463" s="12" t="str">
        <v>否 - 非控件/功能状态类信号</v>
      </c>
    </row>
    <row r="464" spans="4:16">
      <c r="D464" s="12" t="str">
        <v>导航到途经点4距离值</v>
      </c>
      <c r="E464" s="12" t="str">
        <v>0~999999 m</v>
      </c>
      <c r="I464" s="65" t="str">
        <v>V1.0</v>
      </c>
      <c r="P464" s="12" t="str">
        <v>否 - 非控件/功能状态类信号</v>
      </c>
    </row>
    <row r="465" spans="4:16">
      <c r="D465" s="12" t="str">
        <v>导航到途经点4时长值</v>
      </c>
      <c r="E465" s="12" t="str">
        <v>0~65535 min</v>
      </c>
      <c r="I465" s="65" t="str">
        <v>V1.0</v>
      </c>
      <c r="P465" s="12" t="str">
        <v>否 - 非控件/功能状态类信号</v>
      </c>
    </row>
    <row r="466" spans="4:16">
      <c r="D466" s="12" t="str">
        <v>导航到途经点4预估SOC值</v>
      </c>
      <c r="E466" s="12" t="str">
        <v>0~100%, 步长0.5%</v>
      </c>
      <c r="I466" s="65" t="str">
        <v>V1.0</v>
      </c>
      <c r="P466" s="12" t="str">
        <v>否 - 非控件/功能状态类信号</v>
      </c>
    </row>
    <row r="467" spans="4:9">
      <c r="D467" s="12" t="str">
        <v>导航途径的充电站信息</v>
      </c>
      <c r="E467" s="12" t="str">
        <v>数量: 0~99; 空闲: 0~99; 功率: 0~500 kW; 状态: 0=无, 1=快充, 2=慢充, 3=超充</v>
      </c>
      <c r="F467" s="13" t="str">
        <v>刘多</v>
      </c>
      <c r="G467" s="81">
        <v>46205</v>
      </c>
      <c r="H467" s="13" t="str">
        <v>充电管家，无桩可用时，提醒替换</v>
      </c>
      <c r="I467" s="65" t="str">
        <v>v1.2</v>
      </c>
    </row>
    <row r="468" spans="4:9">
      <c r="D468" s="56" t="str">
        <v>导航途径点POI类型</v>
      </c>
      <c r="E468" s="25" t="str">
        <v>0=其他, 1=餐饮, 2=充电站, 3=加油站, 4=停车场, 5=酒店, 6=景点, 7=商超, 8=服务区, 9=收费站</v>
      </c>
      <c r="I468" s="65" t="str">
        <v>待导入</v>
      </c>
    </row>
    <row r="469" spans="4:9">
      <c r="D469" s="56" t="str">
        <v>导航途径点POI详细标签</v>
      </c>
      <c r="E469" s="25" t="str">
        <v>文字标签,多个标签用“|”分割，例如咖啡店|餐厅</v>
      </c>
      <c r="I469" s="65" t="str">
        <v>待导入</v>
      </c>
    </row>
    <row r="470" spans="4:9">
      <c r="D470" s="56" t="str">
        <v>途径点匹配常用地址/收藏点</v>
      </c>
      <c r="E470" s="25" t="str">
        <v>0-未匹配收藏点，1-匹配配公司，2-匹配家，3-匹配普通收藏点</v>
      </c>
      <c r="I470" s="65" t="str">
        <v>待导入</v>
      </c>
    </row>
    <row r="471" spans="3:16">
      <c r="C471" s="12" t="str">
        <v>7.8d 服务区信息</v>
      </c>
      <c r="D471" s="12" t="str">
        <v>导航前方服务区名称</v>
      </c>
      <c r="E471" s="12" t="str">
        <v>String, 最长64字符 (UTF-8)</v>
      </c>
      <c r="I471" s="65" t="str">
        <v>V1.0</v>
      </c>
      <c r="M471" s="14" t="inlineStr">
        <is>
          <r>
            <t>@项阳</t>
          </r>
        </is>
      </c>
      <c r="N471" s="14" t="str">
        <v>是</v>
      </c>
      <c r="P471" s="12" t="str">
        <v>否 - 非控件/功能状态类信号</v>
      </c>
    </row>
    <row r="472" spans="4:16">
      <c r="D472" s="12" t="str">
        <v>导航到前方服务区距离值</v>
      </c>
      <c r="E472" s="12" t="str">
        <v>0~999999 m</v>
      </c>
      <c r="I472" s="65" t="str">
        <v>V1.0</v>
      </c>
      <c r="M472" s="14" t="inlineStr">
        <is>
          <r>
            <t>@项阳</t>
          </r>
        </is>
      </c>
      <c r="N472" s="14" t="str">
        <v>是</v>
      </c>
      <c r="P472" s="12" t="str">
        <v>否 - 非控件/功能状态类信号</v>
      </c>
    </row>
    <row r="473" spans="4:16">
      <c r="D473" s="12" t="str">
        <v>导航到前方服务区时长值</v>
      </c>
      <c r="E473" s="12" t="str">
        <v>0~65535 min</v>
      </c>
      <c r="I473" s="65" t="str">
        <v>V1.0</v>
      </c>
      <c r="M473" s="14" t="inlineStr">
        <is>
          <r>
            <t>@项阳</t>
          </r>
        </is>
      </c>
      <c r="N473" s="14" t="str">
        <v>是</v>
      </c>
      <c r="P473" s="12" t="str">
        <v>否 - 非控件/功能状态类信号</v>
      </c>
    </row>
    <row r="474" spans="4:16">
      <c r="D474" s="12" t="str">
        <v>导航到前方服务区预估SOC值</v>
      </c>
      <c r="E474" s="12" t="str">
        <v>0~100%, 步长0.5%</v>
      </c>
      <c r="I474" s="65" t="str">
        <v>V1.0</v>
      </c>
      <c r="M474" s="14" t="inlineStr">
        <is>
          <r>
            <t>@项阳</t>
          </r>
        </is>
      </c>
      <c r="N474" s="14" t="str">
        <v>是</v>
      </c>
      <c r="P474" s="12" t="str">
        <v>否 - 非控件/功能状态类信号</v>
      </c>
    </row>
    <row r="475" spans="4:16">
      <c r="D475" s="12" t="str">
        <v>导航服务区充电桩信息</v>
      </c>
      <c r="E475" s="12" t="str">
        <v>数量: 0~99; 空闲: 0~99; 功率: 0~500 kW; 状态: 0=无, 1=快充, 2=慢充, 3=超充</v>
      </c>
      <c r="I475" s="65" t="str">
        <v>V1.0</v>
      </c>
      <c r="M475" s="14" t="inlineStr">
        <is>
          <r>
            <t>@项阳</t>
          </r>
        </is>
      </c>
      <c r="N475" s="14" t="str">
        <v>是</v>
      </c>
      <c r="P475" s="12" t="str">
        <v>否 - 非控件/功能状态类信号</v>
      </c>
    </row>
    <row r="476" spans="4:16">
      <c r="D476" s="12" t="str">
        <v>导航服务区充电电价值</v>
      </c>
      <c r="E476" s="12" t="str">
        <v>0~99.99 元/kWh, 步长0.01</v>
      </c>
      <c r="I476" s="65" t="str">
        <v>V1.0</v>
      </c>
      <c r="M476" s="14" t="inlineStr">
        <is>
          <r>
            <t>@项阳</t>
          </r>
        </is>
      </c>
      <c r="N476" s="14" t="str">
        <v>是</v>
      </c>
      <c r="P476" s="12" t="str">
        <v>否 - 非控件/功能状态类信号</v>
      </c>
    </row>
    <row r="477" spans="4:16">
      <c r="D477" s="12" t="str">
        <v>导航服务区设施类型</v>
      </c>
      <c r="E477" s="12" t="str">
        <v>Bitmask: Bit0=充电桩, Bit1=加油站, Bit2=餐饮, Bit3=卫生间, Bit4=汽修, Bit5=购物, Bit6=住宿</v>
      </c>
      <c r="I477" s="65" t="str">
        <v>V1.0</v>
      </c>
      <c r="M477" s="14" t="inlineStr">
        <is>
          <r>
            <t>@项阳</t>
          </r>
        </is>
      </c>
      <c r="N477" s="14" t="str">
        <v>是</v>
      </c>
      <c r="P477" s="12" t="str">
        <v>否 - 非控件/功能状态类信号</v>
      </c>
    </row>
    <row r="478" spans="4:16">
      <c r="D478" s="12" t="str">
        <v>导航沿途服务区数量</v>
      </c>
      <c r="E478" s="12" t="str">
        <v>0~99</v>
      </c>
      <c r="I478" s="65" t="str">
        <v>V1.0</v>
      </c>
      <c r="M478" s="14" t="inlineStr">
        <is>
          <r>
            <t>@项阳</t>
          </r>
        </is>
      </c>
      <c r="N478" s="14" t="str">
        <v>是</v>
      </c>
      <c r="P478" s="12" t="str">
        <v>否 - 非控件/功能状态类信号</v>
      </c>
    </row>
    <row r="479" spans="3:16">
      <c r="C479" s="12" t="str">
        <v>7.8f 导航设置</v>
      </c>
      <c r="D479" s="12" t="str">
        <v>导航播报风格状态</v>
      </c>
      <c r="E479" s="12" t="str">
        <v>0=AI播报, 1=详细播报, 2=极简播报, 3=简洁播报,</v>
      </c>
      <c r="I479" s="65" t="str">
        <v>V1.0</v>
      </c>
      <c r="M479" s="14" t="inlineStr">
        <is>
          <r>
            <t>@项阳</t>
          </r>
        </is>
      </c>
      <c r="N479" s="14" t="str">
        <v>是</v>
      </c>
      <c r="P479" s="12" t="str">
        <v>是 - 匹配：原子能力清单-车设@各垂域：辅助驾驶功能控制/播报风格</v>
      </c>
    </row>
    <row r="480" spans="4:16">
      <c r="D480" s="12" t="str">
        <v>导航静音状态</v>
      </c>
      <c r="E480" s="12" t="str">
        <v>0=关闭, 1=开启</v>
      </c>
      <c r="I480" s="65" t="str">
        <v>V1.0</v>
      </c>
      <c r="M480" s="14" t="inlineStr">
        <is>
          <r>
            <t>@项阳</t>
          </r>
        </is>
      </c>
      <c r="N480" s="14" t="str">
        <v>是</v>
      </c>
      <c r="P480" s="12" t="str">
        <v>是 - 匹配：原子能力清单-导航@巢红晖：地图设置内容控制/导航静音</v>
      </c>
    </row>
    <row r="481" spans="4:16">
      <c r="D481" s="61" t="str">
        <v>导航光柱图状态</v>
      </c>
      <c r="E481" s="61" t="str">
        <v>0=关闭, 1=开启</v>
      </c>
      <c r="M481" s="49" t="inlineStr">
        <is>
          <r>
            <t>@项阳</t>
          </r>
        </is>
      </c>
      <c r="N481" s="49" t="str">
        <v>是</v>
      </c>
      <c r="P481" s="61" t="str">
        <v>否 - 未在AI可控原子能力清单匹配</v>
      </c>
    </row>
    <row r="482" spans="4:16">
      <c r="D482" s="12" t="str">
        <v>导航实时路况状态</v>
      </c>
      <c r="E482" s="12" t="str">
        <v>0=关闭, 1=开启</v>
      </c>
      <c r="I482" s="65" t="str">
        <v>V1.0</v>
      </c>
      <c r="M482" s="14" t="inlineStr">
        <is>
          <r>
            <t>@项阳</t>
          </r>
        </is>
      </c>
      <c r="N482" s="14" t="str">
        <v>是</v>
      </c>
      <c r="P482" s="12" t="str">
        <v>是 - 匹配：原子能力清单-导航@巢红晖：地图设置内容控制/实时路况</v>
      </c>
    </row>
    <row r="483" spans="4:16">
      <c r="D483" s="12" t="str">
        <v>导航巡航播报状态</v>
      </c>
      <c r="E483" s="12" t="str">
        <v>0=关闭, 1=开启(=电子眼+安全提醒+实时路况)</v>
      </c>
      <c r="I483" s="65" t="str">
        <v>V1.0</v>
      </c>
      <c r="M483" s="14" t="inlineStr">
        <is>
          <r>
            <t>@项阳</t>
          </r>
        </is>
      </c>
      <c r="N483" s="14" t="str">
        <v>是</v>
      </c>
      <c r="P483" s="12" t="str">
        <v>是 - 匹配：原子能力清单-导航@巢红晖：地图设置内容控制/巡航播报</v>
      </c>
    </row>
    <row r="484" spans="4:16">
      <c r="D484" s="12" t="str">
        <v>导航避开限行状态</v>
      </c>
      <c r="E484" s="12" t="str">
        <v>0=关闭, 1=开启</v>
      </c>
      <c r="I484" s="65" t="str">
        <v>V1.0</v>
      </c>
      <c r="M484" s="14" t="inlineStr">
        <is>
          <r>
            <t>@项阳</t>
          </r>
        </is>
      </c>
      <c r="N484" s="14" t="str">
        <v>是</v>
      </c>
      <c r="P484" s="12" t="str">
        <v>是 - 匹配：原子能力清单-导航@巢红晖：地图设置内容控制/避开限行</v>
      </c>
    </row>
    <row r="485" spans="4:16">
      <c r="D485" s="61" t="str">
        <v>导航SR导航状态</v>
      </c>
      <c r="E485" s="61" t="str">
        <v>0=关闭, 1=开启</v>
      </c>
      <c r="M485" s="49" t="inlineStr">
        <is>
          <r>
            <t>@项阳</t>
          </r>
        </is>
      </c>
      <c r="P485" s="61" t="str">
        <v>是 - 匹配：原子能力清单-导航@巢红晖：地图全局界面控制/打开/关闭SR导航</v>
      </c>
    </row>
    <row r="486" spans="4:16">
      <c r="D486" s="12" t="str">
        <v>导航自动比例尺状态</v>
      </c>
      <c r="E486" s="12" t="str">
        <v>0=关闭, 1=开启</v>
      </c>
      <c r="I486" s="65" t="str">
        <v>V1.0</v>
      </c>
      <c r="M486" s="14" t="inlineStr">
        <is>
          <r>
            <t>@项阳</t>
          </r>
        </is>
      </c>
      <c r="N486" s="14" t="str">
        <v>是</v>
      </c>
      <c r="P486" s="12" t="str">
        <v>是 - 匹配：原子能力清单-导航@巢红晖：地图设置内容控制/导航自动比例尺</v>
      </c>
    </row>
    <row r="487" spans="4:9">
      <c r="D487" s="13" t="str">
        <v>导航低电量提醒阈值</v>
      </c>
      <c r="E487" s="12" t="str">
        <v>5-60%</v>
      </c>
      <c r="F487" s="13" t="str">
        <v>刘多</v>
      </c>
      <c r="G487" s="81">
        <v>46181</v>
      </c>
      <c r="H487" s="13" t="str">
        <v>豆包场景：推荐充电</v>
      </c>
      <c r="I487" s="65" t="str">
        <v>v1.2</v>
      </c>
    </row>
    <row r="488" spans="3:16">
      <c r="C488" s="12" t="str">
        <v>7.8g 常用地址</v>
      </c>
      <c r="D488" s="12" t="str">
        <v>导航家地址名称</v>
      </c>
      <c r="E488" s="12" t="str">
        <v>String, 最长64字符 (UTF-8)</v>
      </c>
      <c r="I488" s="65" t="str">
        <v>V1.0</v>
      </c>
      <c r="M488" s="14" t="inlineStr">
        <is>
          <r>
            <t>@项阳</t>
          </r>
          <r>
            <t>@宋章仪</t>
          </r>
        </is>
      </c>
      <c r="N488" s="14" t="str">
        <v>是</v>
      </c>
      <c r="P488" s="12" t="str">
        <v>否 - 非控件/功能状态类信号</v>
      </c>
    </row>
    <row r="489" spans="4:16">
      <c r="D489" s="12" t="str">
        <v>导航家地址坐标</v>
      </c>
      <c r="E489" s="12" t="str">
        <v>经度-180~180 deg, 纬度-90~90 deg</v>
      </c>
      <c r="I489" s="65" t="str">
        <v>V1.0</v>
      </c>
      <c r="M489" s="14" t="inlineStr">
        <is>
          <r>
            <t>@项阳</t>
          </r>
          <r>
            <t>@宋章仪</t>
          </r>
        </is>
      </c>
      <c r="N489" s="14" t="str">
        <v>是</v>
      </c>
      <c r="P489" s="12" t="str">
        <v>否 - 非控件/功能状态类信号</v>
      </c>
    </row>
    <row r="490" spans="4:16">
      <c r="D490" s="12" t="str">
        <v>导航家地址设置状态</v>
      </c>
      <c r="E490" s="12" t="str">
        <v>0=未设置, 1=已设置</v>
      </c>
      <c r="I490" s="65" t="str">
        <v>V1.0</v>
      </c>
      <c r="M490" s="14" t="inlineStr">
        <is>
          <r>
            <t>@项阳</t>
          </r>
        </is>
      </c>
      <c r="N490" s="14" t="str">
        <v>是</v>
      </c>
      <c r="P490" s="12" t="str">
        <v>否 - 未在AI可控原子能力清单匹配</v>
      </c>
    </row>
    <row r="491" spans="4:16">
      <c r="D491" s="12" t="str">
        <v>导航公司地址名称</v>
      </c>
      <c r="E491" s="12" t="str">
        <v>String, 最长64字符 (UTF-8)</v>
      </c>
      <c r="I491" s="65" t="str">
        <v>V1.0</v>
      </c>
      <c r="M491" s="14" t="inlineStr">
        <is>
          <r>
            <t>@项阳</t>
          </r>
          <r>
            <t>@宋章仪</t>
          </r>
        </is>
      </c>
      <c r="N491" s="14" t="str">
        <v>是</v>
      </c>
      <c r="P491" s="12" t="str">
        <v>否 - 非控件/功能状态类信号</v>
      </c>
    </row>
    <row r="492" spans="4:16">
      <c r="D492" s="12" t="str">
        <v>导航公司地址坐标</v>
      </c>
      <c r="E492" s="12" t="str">
        <v>经度-180~180 deg, 纬度-90~90 deg</v>
      </c>
      <c r="I492" s="65" t="str">
        <v>V1.0</v>
      </c>
      <c r="M492" s="14" t="inlineStr">
        <is>
          <r>
            <t>@项阳</t>
          </r>
          <r>
            <t>@宋章仪</t>
          </r>
        </is>
      </c>
      <c r="N492" s="14" t="str">
        <v>是</v>
      </c>
      <c r="P492" s="12" t="str">
        <v>否 - 非控件/功能状态类信号</v>
      </c>
    </row>
    <row r="493" spans="4:16">
      <c r="D493" s="12" t="str">
        <v>导航公司地址设置状态</v>
      </c>
      <c r="E493" s="12" t="str">
        <v>0=未设置, 1=已设置</v>
      </c>
      <c r="I493" s="65" t="str">
        <v>V1.0</v>
      </c>
      <c r="M493" s="14" t="inlineStr">
        <is>
          <r>
            <t>@项阳</t>
          </r>
        </is>
      </c>
      <c r="N493" s="14" t="str">
        <v>是</v>
      </c>
      <c r="P493" s="12" t="str">
        <v>否 - 未在AI可控原子能力清单匹配</v>
      </c>
    </row>
    <row r="494" spans="4:16">
      <c r="D494" s="12" t="str">
        <v>导航常用地址列表</v>
      </c>
      <c r="E494" s="12" t="str">
        <v>条目数: 0~20; 每条: 名称(String)+坐标+类型(0=家, 1=公司, 2=自定义)</v>
      </c>
      <c r="I494" s="65" t="str">
        <v>V1.0</v>
      </c>
      <c r="M494" s="14" t="inlineStr">
        <is>
          <r>
            <t>@项阳</t>
          </r>
        </is>
      </c>
      <c r="N494" s="14" t="str">
        <v>是</v>
      </c>
      <c r="P494" s="12" t="str">
        <v>否 - 非控件/功能状态类信号</v>
      </c>
    </row>
    <row r="495" spans="3:16">
      <c r="C495" s="12" t="str">
        <v>7.8h 收藏点</v>
      </c>
      <c r="D495" s="12" t="str">
        <v>导航收藏点数量</v>
      </c>
      <c r="E495" s="12" t="str">
        <v>0~100</v>
      </c>
      <c r="I495" s="65" t="str">
        <v>V1.0</v>
      </c>
      <c r="M495" s="14" t="inlineStr">
        <is>
          <r>
            <t>@项阳</t>
          </r>
        </is>
      </c>
      <c r="N495" s="14" t="str">
        <v>是</v>
      </c>
      <c r="P495" s="12" t="str">
        <v>否 - 非控件/功能状态类信号</v>
      </c>
    </row>
    <row r="496" spans="4:16">
      <c r="D496" s="12" t="str">
        <v>导航收藏点名称</v>
      </c>
      <c r="E496" s="12" t="str">
        <v>String, 最长64字符 (UTF-8); 支持按序号查询</v>
      </c>
      <c r="I496" s="65" t="str">
        <v>V1.0</v>
      </c>
      <c r="M496" s="14" t="inlineStr">
        <is>
          <r>
            <t>@项阳</t>
          </r>
        </is>
      </c>
      <c r="N496" s="14" t="str">
        <v>是</v>
      </c>
      <c r="P496" s="12" t="str">
        <v>否 - 非控件/功能状态类信号</v>
      </c>
    </row>
    <row r="497" spans="4:16">
      <c r="D497" s="12" t="str">
        <v>导航收藏点坐标</v>
      </c>
      <c r="E497" s="12" t="str">
        <v>经度-180~180 deg, 纬度-90~90 deg; 支持按序号查询</v>
      </c>
      <c r="I497" s="65" t="str">
        <v>V1.0</v>
      </c>
      <c r="M497" s="14" t="inlineStr">
        <is>
          <r>
            <t>@项阳</t>
          </r>
        </is>
      </c>
      <c r="N497" s="14" t="str">
        <v>是</v>
      </c>
      <c r="P497" s="12" t="str">
        <v>否 - 非控件/功能状态类信号</v>
      </c>
    </row>
    <row r="498" spans="4:16">
      <c r="D498" s="12" t="str">
        <v>导航收藏点分类标签</v>
      </c>
      <c r="E498" s="12" t="str">
        <v>0=其他, 1=餐饮, 2=充电站, 3=加油站, 4=停车场, 5=酒店, 6=景点, 7=商超, 8=服务区, 9=收费站</v>
      </c>
      <c r="I498" s="65" t="str">
        <v>V1.0</v>
      </c>
      <c r="M498" s="14" t="inlineStr">
        <is>
          <r>
            <t>@项阳</t>
          </r>
        </is>
      </c>
      <c r="N498" s="14" t="str">
        <v>是</v>
      </c>
      <c r="P498" s="12" t="str">
        <v>否 - 非控件/功能状态类信号</v>
      </c>
    </row>
    <row r="499" spans="3:16">
      <c r="C499" s="12" t="str">
        <v>7.9 多媒体状态</v>
      </c>
      <c r="D499" s="12" t="str">
        <v>座舱_静音状态</v>
      </c>
      <c r="E499" s="12" t="str">
        <v>0=未静音, 1=已静音</v>
      </c>
      <c r="I499" s="65" t="str">
        <v>V1.0</v>
      </c>
      <c r="M499" s="14" t="inlineStr">
        <is>
          <r>
            <t>@孙含玉</t>
          </r>
        </is>
      </c>
      <c r="N499" s="14" t="str">
        <v>是</v>
      </c>
      <c r="P499" s="12" t="str">
        <v>否 - 未在AI可控原子能力清单匹配</v>
      </c>
    </row>
    <row r="500" spans="3:16">
      <c r="C500" s="12" t="str">
        <v>7.9a 音乐状态</v>
      </c>
      <c r="D500" s="12" t="str">
        <v>座舱_音乐播放状态</v>
      </c>
      <c r="E500" s="12" t="str">
        <v>1=播放, 2=暂停</v>
      </c>
      <c r="I500" s="65" t="str">
        <v>V1.0</v>
      </c>
      <c r="L500" s="14" t="str">
        <v>以具体音源的名称定义为准</v>
      </c>
      <c r="M500" s="14" t="inlineStr">
        <is>
          <r>
            <t>@孙含玉</t>
          </r>
        </is>
      </c>
      <c r="N500" s="14" t="str">
        <v>是</v>
      </c>
      <c r="O500" s="12" t="str">
        <v>刘多</v>
      </c>
      <c r="P500" s="12" t="str">
        <v>是 - 匹配：原子能力清单-娱乐@孙含玉：在线音乐/音乐控制/播放模式</v>
      </c>
    </row>
    <row r="501" spans="4:9">
      <c r="D501" s="12" t="str">
        <v>座舱_音乐vip信息</v>
      </c>
      <c r="E501" s="12" t="str">
        <v>免费/VIP</v>
      </c>
      <c r="I501" s="65" t="str">
        <v>V1.0</v>
      </c>
    </row>
    <row r="502" spans="4:16">
      <c r="D502" s="12" t="str">
        <v>座舱_当前歌曲名称</v>
      </c>
      <c r="E502" s="12" t="str">
        <v>String</v>
      </c>
      <c r="I502" s="65" t="str">
        <v>V1.0</v>
      </c>
      <c r="M502" s="14" t="inlineStr">
        <is>
          <r>
            <t>@孙含玉</t>
          </r>
        </is>
      </c>
      <c r="N502" s="14" t="str">
        <v>是</v>
      </c>
      <c r="P502" s="12" t="str">
        <v>否 - 非控件/功能状态类信号</v>
      </c>
    </row>
    <row r="503" spans="4:16">
      <c r="D503" s="12" t="str">
        <v>座舱_当前歌手名称</v>
      </c>
      <c r="E503" s="12" t="str">
        <v>String</v>
      </c>
      <c r="I503" s="65" t="str">
        <v>V1.0</v>
      </c>
      <c r="M503" s="14" t="inlineStr">
        <is>
          <r>
            <t>@孙含玉</t>
          </r>
        </is>
      </c>
      <c r="N503" s="14" t="str">
        <v>是</v>
      </c>
      <c r="P503" s="12" t="str">
        <v>否 - 非控件/功能状态类信号</v>
      </c>
    </row>
    <row r="504" spans="4:16">
      <c r="D504" s="12" t="str">
        <v>座舱_当前专辑名称</v>
      </c>
      <c r="E504" s="12" t="str">
        <v>String</v>
      </c>
      <c r="I504" s="65" t="str">
        <v>V1.0</v>
      </c>
      <c r="M504" s="14" t="inlineStr">
        <is>
          <r>
            <t>@孙含玉</t>
          </r>
        </is>
      </c>
      <c r="N504" s="14" t="str">
        <v>是</v>
      </c>
      <c r="P504" s="12" t="str">
        <v>否 - 非控件/功能状态类信号</v>
      </c>
    </row>
    <row r="505" spans="4:16">
      <c r="D505" s="12" t="str">
        <v>座舱_播放进度值</v>
      </c>
      <c r="E505" s="12" t="str">
        <v>0~86400000 ms, 步长1000 ms</v>
      </c>
      <c r="I505" s="65" t="str">
        <v>V1.0</v>
      </c>
      <c r="M505" s="14" t="inlineStr">
        <is>
          <r>
            <t>@孙含玉</t>
          </r>
        </is>
      </c>
      <c r="N505" s="14" t="str">
        <v>是</v>
      </c>
      <c r="P505" s="12" t="str">
        <v>否 - 非控件/功能状态类信号</v>
      </c>
    </row>
    <row r="506" spans="4:16">
      <c r="D506" s="12" t="str">
        <v>座舱_歌曲总时长值</v>
      </c>
      <c r="E506" s="12" t="str">
        <v>0~86400000 ms, 步长1000 ms</v>
      </c>
      <c r="I506" s="65" t="str">
        <v>V1.0</v>
      </c>
      <c r="M506" s="14" t="inlineStr">
        <is>
          <r>
            <t>@孙含玉</t>
          </r>
        </is>
      </c>
      <c r="N506" s="14" t="str">
        <v>是</v>
      </c>
      <c r="P506" s="12" t="str">
        <v>否 - 非控件/功能状态类信号</v>
      </c>
    </row>
    <row r="507" spans="4:16">
      <c r="D507" s="12" t="str">
        <v>座舱_播放模式</v>
      </c>
      <c r="E507" s="12" t="str">
        <v>0=顺序, 1=列表循环, 2=单曲循环, 3=随机</v>
      </c>
      <c r="I507" s="65" t="str">
        <v>V1.0</v>
      </c>
      <c r="L507" s="14" t="str">
        <v>以具体音源的名称定义为准</v>
      </c>
      <c r="M507" s="14" t="inlineStr">
        <is>
          <r>
            <t>@孙含玉</t>
          </r>
        </is>
      </c>
      <c r="N507" s="14" t="str">
        <v>是</v>
      </c>
      <c r="O507" s="12" t="str">
        <v>冯艺玮</v>
      </c>
      <c r="P507" s="12" t="str">
        <v>是 - 匹配：原子能力清单-娱乐@孙含玉：在线音乐/音乐控制/播放模式</v>
      </c>
    </row>
    <row r="508" spans="4:16">
      <c r="D508" s="12" t="str">
        <v>座舱_音乐音质状态</v>
      </c>
      <c r="E508" s="12" t="str">
        <v>0=标准, 1=高品质, 2=无损</v>
      </c>
      <c r="I508" s="65" t="str">
        <v>V1.0</v>
      </c>
      <c r="L508" s="14" t="str">
        <v>以具体音源的名称定义为准</v>
      </c>
      <c r="M508" s="14" t="inlineStr">
        <is>
          <r>
            <t>@孙含玉</t>
          </r>
        </is>
      </c>
      <c r="N508" s="14" t="str">
        <v>是</v>
      </c>
      <c r="P508" s="12" t="str">
        <v>否 - 未在AI可控原子能力清单匹配</v>
      </c>
    </row>
    <row r="509" spans="4:16">
      <c r="D509" s="12" t="str">
        <v>座舱_音乐音效状态</v>
      </c>
      <c r="E509" s="12" t="str">
        <v>0=默认, 1=流行, 2=摇滚, 3=古典</v>
      </c>
      <c r="I509" s="65" t="str">
        <v>V1.0</v>
      </c>
      <c r="L509" s="14" t="str">
        <v>以具体音源的名称定义为准</v>
      </c>
      <c r="M509" s="14" t="inlineStr">
        <is>
          <r>
            <t>@孙含玉</t>
          </r>
        </is>
      </c>
      <c r="N509" s="14" t="str">
        <v>是</v>
      </c>
      <c r="P509" s="12" t="str">
        <v>否 - 未在AI可控原子能力清单匹配</v>
      </c>
    </row>
    <row r="510" spans="4:16">
      <c r="D510" s="12" t="str">
        <v>座舱_歌词显示状态</v>
      </c>
      <c r="E510" s="12" t="str">
        <v>0=关闭, 1=开启</v>
      </c>
      <c r="I510" s="65" t="str">
        <v>V1.0</v>
      </c>
      <c r="L510" s="14" t="str">
        <v>以具体音源的名称定义为准</v>
      </c>
      <c r="M510" s="14" t="inlineStr">
        <is>
          <r>
            <t>@孙含玉</t>
          </r>
        </is>
      </c>
      <c r="N510" s="14" t="str">
        <v>是</v>
      </c>
      <c r="P510" s="12" t="str">
        <v>是 - 匹配：原子能力清单-娱乐@孙含玉：在线音乐/音乐控制/歌词显示</v>
      </c>
    </row>
    <row r="511" spans="4:16">
      <c r="D511" s="12" t="str">
        <v>音源媒介</v>
      </c>
      <c r="E511" s="12" t="str">
        <v>QQ音源/网易云音乐/汽水音乐/蓝牙音乐/U盘音乐</v>
      </c>
      <c r="I511" s="65" t="str">
        <v>V1.0</v>
      </c>
      <c r="M511" s="14" t="inlineStr">
        <is>
          <r>
            <t>@孙含玉</t>
          </r>
        </is>
      </c>
      <c r="N511" s="14" t="str">
        <v>是</v>
      </c>
      <c r="P511" s="12" t="str">
        <v>否 - 非控件/功能状态类信号</v>
      </c>
    </row>
    <row r="512" spans="4:16">
      <c r="D512" s="12" t="str">
        <v>音乐歌单信息</v>
      </c>
      <c r="E512" s="12" t="str">
        <v>String</v>
      </c>
      <c r="I512" s="65" t="str">
        <v>V1.0</v>
      </c>
      <c r="P512" s="12" t="str">
        <v>否 - 非控件/功能状态类信号</v>
      </c>
    </row>
    <row r="513" spans="4:16">
      <c r="D513" s="12" t="str">
        <v>音乐播放列表信息</v>
      </c>
      <c r="E513" s="12" t="str">
        <v>String</v>
      </c>
      <c r="I513" s="65" t="str">
        <v>V1.0</v>
      </c>
      <c r="O513" s="12" t="str">
        <v>刘多</v>
      </c>
      <c r="P513" s="12" t="str">
        <v>否 - 非控件/功能状态类信号</v>
      </c>
    </row>
    <row r="514" spans="3:16">
      <c r="C514" s="12" t="str">
        <v>7.9b 视频状态</v>
      </c>
      <c r="D514" s="12" t="str">
        <v>座舱_视频播放状态</v>
      </c>
      <c r="E514" s="12" t="str">
        <v>0=停止, 1=播放, 2=暂停, 3=缓冲, 4=加载</v>
      </c>
      <c r="I514" s="65" t="str">
        <v>V1.0</v>
      </c>
      <c r="M514" s="14" t="inlineStr">
        <is>
          <r>
            <t>@张子羽</t>
          </r>
        </is>
      </c>
      <c r="N514" s="14" t="str">
        <v>是</v>
      </c>
      <c r="O514" s="12" t="str">
        <v>冯艺玮</v>
      </c>
      <c r="P514" s="12" t="str">
        <v>否 - 未在AI可控原子能力清单匹配</v>
      </c>
    </row>
    <row r="515" spans="4:16">
      <c r="D515" s="12" t="str">
        <v>座舱_当前视频名称</v>
      </c>
      <c r="E515" s="12" t="str">
        <v>String, 最长128字符 (UTF-8)</v>
      </c>
      <c r="I515" s="65" t="str">
        <v>V1.0</v>
      </c>
      <c r="M515" s="14" t="inlineStr">
        <is>
          <r>
            <t>@张子羽</t>
          </r>
        </is>
      </c>
      <c r="N515" s="14" t="str">
        <v>是</v>
      </c>
      <c r="P515" s="12" t="str">
        <v>否 - 非控件/功能状态类信号</v>
      </c>
    </row>
    <row r="516" spans="4:16">
      <c r="D516" s="12" t="str">
        <v>视频综合信息</v>
      </c>
      <c r="E516" s="14" t="str">
        <v>以官方视频流提供简介信息为准</v>
      </c>
      <c r="I516" s="65" t="str">
        <v>V1.0</v>
      </c>
      <c r="P516" s="14" t="str">
        <v>否 - 非控件/功能状态类信号</v>
      </c>
    </row>
    <row r="517" spans="4:16">
      <c r="D517" s="12" t="str">
        <v>座舱_当前视频集数</v>
      </c>
      <c r="E517" s="12" t="str">
        <v>0=非连续剧, 1~9999集</v>
      </c>
      <c r="I517" s="65" t="str">
        <v>V1.0</v>
      </c>
      <c r="M517" s="14" t="inlineStr">
        <is>
          <r>
            <t>@张子羽</t>
          </r>
        </is>
      </c>
      <c r="N517" s="14" t="str">
        <v>是</v>
      </c>
      <c r="P517" s="12" t="str">
        <v>否 - 非控件/功能状态类信号</v>
      </c>
    </row>
    <row r="518" spans="4:16">
      <c r="D518" s="12" t="str">
        <v>座舱_视频播放进度值</v>
      </c>
      <c r="E518" s="12" t="str">
        <v>0~86400000 ms, 步长1000 ms</v>
      </c>
      <c r="I518" s="65" t="str">
        <v>V1.0</v>
      </c>
      <c r="M518" s="14" t="inlineStr">
        <is>
          <r>
            <t>@张子羽</t>
          </r>
        </is>
      </c>
      <c r="N518" s="14" t="str">
        <v>是</v>
      </c>
      <c r="P518" s="12" t="str">
        <v>否 - 非控件/功能状态类信号</v>
      </c>
    </row>
    <row r="519" spans="4:16">
      <c r="D519" s="12" t="str">
        <v>座舱_视频总时长值</v>
      </c>
      <c r="E519" s="12" t="str">
        <v>0~86400000 ms, 步长1000 ms</v>
      </c>
      <c r="I519" s="65" t="str">
        <v>V1.0</v>
      </c>
      <c r="M519" s="14" t="inlineStr">
        <is>
          <r>
            <t>@张子羽</t>
          </r>
        </is>
      </c>
      <c r="N519" s="14" t="str">
        <v>是</v>
      </c>
      <c r="P519" s="12" t="str">
        <v>否 - 非控件/功能状态类信号</v>
      </c>
    </row>
    <row r="520" spans="4:16">
      <c r="D520" s="12" t="str">
        <v>座舱_视频倍速状态</v>
      </c>
      <c r="E520" s="12" t="str">
        <v>0=0.75x, 1=1.0x, 2=1.25x, 3=1.5x, 4=2.0x</v>
      </c>
      <c r="I520" s="65" t="str">
        <v>V1.0</v>
      </c>
      <c r="M520" s="14" t="inlineStr">
        <is>
          <r>
            <t>@张子羽</t>
          </r>
        </is>
      </c>
      <c r="N520" s="14" t="str">
        <v>是</v>
      </c>
      <c r="P520" s="12" t="str">
        <v>否 - 未在AI可控原子能力清单匹配</v>
      </c>
    </row>
    <row r="521" spans="4:16">
      <c r="D521" s="12" t="str">
        <v>座舱_视频分辨率状态</v>
      </c>
      <c r="E521" s="12" t="str">
        <v>0=流畅, 1=标清, 2=高清, 3=超清, 4=蓝光, 5=4K</v>
      </c>
      <c r="I521" s="65" t="str">
        <v>V1.0</v>
      </c>
      <c r="M521" s="14" t="inlineStr">
        <is>
          <r>
            <t>@张子羽</t>
          </r>
        </is>
      </c>
      <c r="N521" s="14" t="str">
        <v>是</v>
      </c>
      <c r="P521" s="12" t="str">
        <v>是 - 匹配：原子能力清单-娱乐@孙含玉：在线视频/视频控制/分辨率极值调节</v>
      </c>
    </row>
    <row r="522" spans="4:16">
      <c r="D522" s="12" t="str">
        <v>座舱_视频全屏状态</v>
      </c>
      <c r="E522" s="12" t="str">
        <v>0=窗口, 1=全屏</v>
      </c>
      <c r="I522" s="65" t="str">
        <v>V1.0</v>
      </c>
      <c r="M522" s="14" t="inlineStr">
        <is>
          <r>
            <t>@张子羽</t>
          </r>
        </is>
      </c>
      <c r="N522" s="14" t="str">
        <v>是</v>
      </c>
      <c r="P522" s="12" t="str">
        <v>是 - 匹配：原子能力清单-娱乐@孙含玉：在线视频/视频控制/全屏控制</v>
      </c>
    </row>
    <row r="523" spans="4:16">
      <c r="D523" s="12" t="str">
        <v>座舱_弹幕状态</v>
      </c>
      <c r="E523" s="12" t="str">
        <v>0=关闭, 1=开启</v>
      </c>
      <c r="I523" s="65" t="str">
        <v>V1.0</v>
      </c>
      <c r="M523" s="14" t="inlineStr">
        <is>
          <r>
            <t>@张子羽</t>
          </r>
        </is>
      </c>
      <c r="N523" s="14" t="str">
        <v>是</v>
      </c>
      <c r="P523" s="12" t="str">
        <v>否 - 未在AI可控原子能力清单匹配</v>
      </c>
    </row>
    <row r="524" spans="4:16">
      <c r="D524" s="12" t="str">
        <v>座舱_视频CP来源</v>
      </c>
      <c r="E524" s="12" t="str">
        <v>0=本地, 1=爱奇艺, 2=哔哩哔哩, 3=芒果TV, 4=腾讯视频, 5=车鱼视听</v>
      </c>
      <c r="I524" s="65" t="str">
        <v>V1.0</v>
      </c>
      <c r="M524" s="14" t="inlineStr">
        <is>
          <r>
            <t>@张子羽</t>
          </r>
        </is>
      </c>
      <c r="N524" s="14" t="str">
        <v>是</v>
      </c>
      <c r="P524" s="12" t="str">
        <v>否 - 非控件/功能状态类信号</v>
      </c>
    </row>
    <row r="525" spans="3:16">
      <c r="C525" s="12" t="str">
        <v>7.9c 有声/电台状态</v>
      </c>
      <c r="D525" s="12" t="str">
        <v>座舱_有声播放状态</v>
      </c>
      <c r="E525" s="12" t="str">
        <v>0=停止, 1=播放, 2=暂停, 3=缓冲</v>
      </c>
      <c r="I525" s="65" t="str">
        <v>V1.0</v>
      </c>
      <c r="M525" s="14" t="inlineStr">
        <is>
          <r>
            <t>@孙含玉</t>
          </r>
        </is>
      </c>
      <c r="O525" s="12" t="str">
        <v>冯艺玮</v>
      </c>
      <c r="P525" s="12" t="str">
        <v>否 - 未在AI可控原子能力清单匹配</v>
      </c>
    </row>
    <row r="526" spans="4:16">
      <c r="D526" s="12" t="str">
        <v>节目综合信息</v>
      </c>
      <c r="E526" s="14" t="str">
        <v>节目类型等综合信息</v>
      </c>
      <c r="I526" s="65" t="str">
        <v>V1.0</v>
      </c>
      <c r="L526" s="14" t="str">
        <v>小宇宙</v>
      </c>
      <c r="P526" s="14" t="str">
        <v>否 - 非控件/功能状态类信号</v>
      </c>
    </row>
    <row r="527" spans="4:16">
      <c r="D527" s="12" t="str">
        <v>座舱_当前有声节目名称</v>
      </c>
      <c r="E527" s="12" t="str">
        <v>String, 最长128字符 (UTF-8)</v>
      </c>
      <c r="I527" s="65" t="str">
        <v>V1.0</v>
      </c>
      <c r="M527" s="14" t="inlineStr">
        <is>
          <r>
            <t>@孙含玉</t>
          </r>
        </is>
      </c>
      <c r="N527" s="14" t="str">
        <v>是</v>
      </c>
      <c r="P527" s="12" t="str">
        <v>否 - 非控件/功能状态类信号</v>
      </c>
    </row>
    <row r="528" spans="4:16">
      <c r="D528" s="12" t="str">
        <v>座舱_当前有声集数</v>
      </c>
      <c r="E528" s="12" t="str">
        <v>0~9999集</v>
      </c>
      <c r="I528" s="65" t="str">
        <v>V1.0</v>
      </c>
      <c r="M528" s="14" t="inlineStr">
        <is>
          <r>
            <t>@孙含玉</t>
          </r>
        </is>
      </c>
      <c r="N528" s="14" t="str">
        <v>是</v>
      </c>
      <c r="P528" s="12" t="str">
        <v>否 - 非控件/功能状态类信号</v>
      </c>
    </row>
    <row r="529" spans="4:16">
      <c r="D529" s="12" t="str">
        <v>座舱_有声倍速状态</v>
      </c>
      <c r="E529" s="12" t="str">
        <v>0.5x, 0.75x, 1.0x, 1.25x, 1.5x, 2.0x</v>
      </c>
      <c r="I529" s="65" t="str">
        <v>V1.0</v>
      </c>
      <c r="M529" s="14" t="inlineStr">
        <is>
          <r>
            <t>@孙含玉</t>
          </r>
        </is>
      </c>
      <c r="N529" s="14" t="str">
        <v>是</v>
      </c>
      <c r="P529" s="12" t="str">
        <v>否 - 未在AI可控原子能力清单匹配</v>
      </c>
    </row>
    <row r="530" spans="4:16">
      <c r="D530" s="12" t="str">
        <v>座舱_FM频率值</v>
      </c>
      <c r="E530" s="12" t="str">
        <v>87.5~108.0 MHz, 步长0.1 MHz</v>
      </c>
      <c r="I530" s="65" t="str">
        <v>V1.0</v>
      </c>
      <c r="M530" s="14" t="inlineStr">
        <is>
          <r>
            <t>@孙含玉</t>
          </r>
        </is>
      </c>
      <c r="N530" s="14" t="str">
        <v>是</v>
      </c>
      <c r="P530" s="12" t="str">
        <v>否 - 非控件/功能状态类信号</v>
      </c>
    </row>
    <row r="531" spans="4:16">
      <c r="D531" s="12" t="str">
        <v>座舱_AM频率值</v>
      </c>
      <c r="E531" s="12" t="str">
        <v>531~1602 kHz, 步长9 kHz</v>
      </c>
      <c r="I531" s="65" t="str">
        <v>V1.0</v>
      </c>
      <c r="M531" s="14" t="inlineStr">
        <is>
          <r>
            <t>@孙含玉</t>
          </r>
        </is>
      </c>
      <c r="N531" s="14" t="str">
        <v>是</v>
      </c>
      <c r="P531" s="12" t="str">
        <v>否 - 非控件/功能状态类信号</v>
      </c>
    </row>
    <row r="532" spans="3:16">
      <c r="C532" s="12" t="str">
        <v>7.9d 音频通道状态</v>
      </c>
      <c r="D532" s="12" t="str">
        <v>座舱_媒体音量值</v>
      </c>
      <c r="E532" s="12" t="str">
        <v>0~100%, 步长1%</v>
      </c>
      <c r="I532" s="65" t="str">
        <v>V1.0</v>
      </c>
      <c r="M532" s="14" t="inlineStr">
        <is>
          <r>
            <t>@王竹月</t>
          </r>
        </is>
      </c>
      <c r="N532" s="14" t="str">
        <v>是</v>
      </c>
      <c r="P532" s="12" t="str">
        <v>是 - 匹配：原子能力清单-车设@各垂域：声音功能控制/媒体音量调节</v>
      </c>
    </row>
    <row r="533" spans="4:16">
      <c r="D533" s="12" t="str">
        <v>座舱_导航音量值</v>
      </c>
      <c r="E533" s="12" t="str">
        <v>0~100%, 步长1%</v>
      </c>
      <c r="I533" s="65" t="str">
        <v>V1.0</v>
      </c>
      <c r="M533" s="14" t="inlineStr">
        <is>
          <r>
            <t>@王竹月</t>
          </r>
        </is>
      </c>
      <c r="N533" s="14" t="str">
        <v>是</v>
      </c>
      <c r="P533" s="12" t="str">
        <v>否 - 非控件/功能状态类信号</v>
      </c>
    </row>
    <row r="534" spans="4:16">
      <c r="D534" s="12" t="str">
        <v>座舱_语音助手音量值</v>
      </c>
      <c r="E534" s="12" t="str">
        <v>0~100%, 步长1%</v>
      </c>
      <c r="I534" s="65" t="str">
        <v>V1.0</v>
      </c>
      <c r="M534" s="14" t="inlineStr">
        <is>
          <r>
            <t>@王竹月</t>
          </r>
        </is>
      </c>
      <c r="N534" s="14" t="str">
        <v>是</v>
      </c>
      <c r="P534" s="12" t="str">
        <v>否 - 非控件/功能状态类信号</v>
      </c>
    </row>
    <row r="535" spans="4:16">
      <c r="D535" s="12" t="str">
        <v>座舱_电话音量值</v>
      </c>
      <c r="E535" s="12" t="str">
        <v>0~100%, 步长1%</v>
      </c>
      <c r="I535" s="65" t="str">
        <v>V1.0</v>
      </c>
      <c r="M535" s="14" t="inlineStr">
        <is>
          <r>
            <t>@王竹月</t>
          </r>
        </is>
      </c>
      <c r="N535" s="14" t="str">
        <v>是</v>
      </c>
      <c r="P535" s="12" t="str">
        <v>否 - 非控件/功能状态类信号</v>
      </c>
    </row>
    <row r="536" spans="4:16">
      <c r="D536" s="12" t="str">
        <v>座舱_操作提示音音量值</v>
      </c>
      <c r="E536" s="12" t="str">
        <v>0~100%, 步长1%</v>
      </c>
      <c r="I536" s="65" t="str">
        <v>V1.0</v>
      </c>
      <c r="M536" s="14" t="inlineStr">
        <is>
          <r>
            <t>@王竹月</t>
          </r>
        </is>
      </c>
      <c r="N536" s="14" t="str">
        <v>是</v>
      </c>
      <c r="P536" s="12" t="str">
        <v>否 - 非控件/功能状态类信号</v>
      </c>
    </row>
    <row r="537" spans="4:16">
      <c r="D537" s="12" t="str">
        <v>座舱_当前活跃音频通道</v>
      </c>
      <c r="E537" s="12" t="str">
        <v>0=无, 1=Chime0, 2=Chime1, 3=Chime2, 4=Chime3, 5=E-CALL, 6=EMERGENCY, 7=ANNOUNCEMENT, 8=Alarm, 9=CALL, 10=Ringtone, 11=
Assistant, 12=Navigation, 13=Notification, 14=
操作提示类, 15=Game, 16=Music</v>
      </c>
      <c r="I537" s="65" t="str">
        <v>V1.0</v>
      </c>
      <c r="M537" s="14" t="inlineStr">
        <is>
          <r>
            <t>@王竹月</t>
          </r>
        </is>
      </c>
      <c r="N537" s="14" t="str">
        <v>是</v>
      </c>
      <c r="P537" s="12" t="str">
        <v>否 - 非控件/功能状态类信号</v>
      </c>
    </row>
    <row r="538" spans="4:16">
      <c r="D538" s="12" t="str">
        <v>座舱_音频焦点持有者</v>
      </c>
      <c r="E538" s="12" t="str">
        <v>0=无, 1=Chime0, 2=Chime1, 3=Chime2, 4=Chime3, 5=E-CALL, 6=EMERGENCY, 7=ANNOUNCEMENT, 8=Alarm, 9=CALL, 10=Ringtone, 11=
Assistant, 12=Navigation, 13=Notification, 14=
操作提示类, 15=Game, 16=Music</v>
      </c>
      <c r="I538" s="65" t="str">
        <v>V1.0</v>
      </c>
      <c r="L538" s="14" t="str">
        <v>待确认</v>
      </c>
      <c r="M538" s="14" t="inlineStr">
        <is>
          <r>
            <t>@王竹月</t>
          </r>
        </is>
      </c>
      <c r="N538" s="14" t="str">
        <v>是</v>
      </c>
      <c r="P538" s="12" t="str">
        <v>否 - 非控件/功能状态类信号</v>
      </c>
    </row>
    <row r="539" spans="4:16">
      <c r="D539" s="12" t="str">
        <v>座舱_声场类型状态</v>
      </c>
      <c r="E539" s="12" t="str">
        <v>0=全车, 1=主驾, 2=前排, 3=后排</v>
      </c>
      <c r="I539" s="65" t="str">
        <v>V1.0</v>
      </c>
      <c r="M539" s="14" t="inlineStr">
        <is>
          <r>
            <t>@王竹月</t>
          </r>
        </is>
      </c>
      <c r="N539" s="14" t="str">
        <v>是</v>
      </c>
      <c r="P539" s="12" t="str">
        <v>否 - 未在AI可控原子能力清单匹配</v>
      </c>
    </row>
    <row r="540" spans="4:16">
      <c r="D540" s="12" t="str">
        <v>座舱_头枕音响开关状态</v>
      </c>
      <c r="E540" s="12" t="str">
        <v>0=关闭, 1=开启</v>
      </c>
      <c r="I540" s="65" t="str">
        <v>V1.0</v>
      </c>
      <c r="M540" s="14" t="inlineStr">
        <is>
          <r>
            <t>@王竹月</t>
          </r>
        </is>
      </c>
      <c r="N540" s="14" t="str">
        <v>是</v>
      </c>
      <c r="P540" s="12" t="str">
        <v>是 - 匹配：原子能力清单-车设@各垂域：声音功能控制/头枕音响</v>
      </c>
    </row>
    <row r="541" spans="4:16">
      <c r="D541" s="12" t="str">
        <v>座舱_车外喊话开关状态</v>
      </c>
      <c r="E541" s="12" t="str">
        <v>0=关闭, 1=开启</v>
      </c>
      <c r="I541" s="65" t="str">
        <v>V1.0</v>
      </c>
      <c r="M541" s="14" t="inlineStr">
        <is>
          <r>
            <t>@王竹月</t>
          </r>
        </is>
      </c>
      <c r="N541" s="14" t="str">
        <v>是</v>
      </c>
      <c r="P541" s="12" t="str">
        <v>否 - 未在AI可控原子能力清单匹配</v>
      </c>
    </row>
    <row r="542" spans="3:16">
      <c r="C542" s="12" t="str">
        <v>7.10 电话状态</v>
      </c>
      <c r="D542" s="12" t="str">
        <v>座舱_电话通话状态</v>
      </c>
      <c r="E542" s="12" t="str">
        <v>0=空闲, 1=来电响铃, 2=外拨中, 3=通话中, 4=保持, 5=会议</v>
      </c>
      <c r="I542" s="65" t="str">
        <v>V1.0</v>
      </c>
      <c r="M542" s="14" t="inlineStr">
        <is>
          <r>
            <t>@王月伟</t>
          </r>
        </is>
      </c>
      <c r="O542" s="12" t="str">
        <v>刘多</v>
      </c>
      <c r="P542" s="12" t="str">
        <v>否 - 未在AI可控原子能力清单匹配</v>
      </c>
    </row>
    <row r="543" spans="4:16">
      <c r="D543" s="12" t="str">
        <v>座舱_来电号码</v>
      </c>
      <c r="E543" s="12" t="str">
        <v>String, 最长20字符, E.164格式</v>
      </c>
      <c r="I543" s="65" t="str">
        <v>V1.0</v>
      </c>
      <c r="M543" s="14" t="inlineStr">
        <is>
          <r>
            <t>@王月伟</t>
          </r>
        </is>
      </c>
      <c r="P543" s="12" t="str">
        <v>否 - 非控件/功能状态类信号</v>
      </c>
    </row>
    <row r="544" spans="4:16">
      <c r="D544" s="12" t="str">
        <v>座舱_来电联系人</v>
      </c>
      <c r="E544" s="12" t="str">
        <v>String, 最长64字符 (UTF-8)</v>
      </c>
      <c r="I544" s="65" t="str">
        <v>V1.0</v>
      </c>
      <c r="M544" s="14" t="inlineStr">
        <is>
          <r>
            <t>@王月伟</t>
          </r>
        </is>
      </c>
      <c r="P544" s="12" t="str">
        <v>否 - 非控件/功能状态类信号</v>
      </c>
    </row>
    <row r="545" spans="4:16">
      <c r="D545" s="12" t="str">
        <v>座舱_通话时长值</v>
      </c>
      <c r="E545" s="12" t="str">
        <v>0~65535 s, 步长1 s</v>
      </c>
      <c r="I545" s="65" t="str">
        <v>V1.0</v>
      </c>
      <c r="M545" s="14" t="inlineStr">
        <is>
          <r>
            <t>@王月伟</t>
          </r>
        </is>
      </c>
      <c r="P545" s="12" t="str">
        <v>否 - 非控件/功能状态类信号</v>
      </c>
    </row>
    <row r="546" spans="4:16">
      <c r="D546" s="12" t="str">
        <v>座舱_蓝牙电话连接状态</v>
      </c>
      <c r="E546" s="12" t="str">
        <v>0=未连接, 1=已连接, 2=配对中, 3=连接失败</v>
      </c>
      <c r="I546" s="65" t="str">
        <v>V1.0</v>
      </c>
      <c r="M546" s="14" t="inlineStr">
        <is>
          <r>
            <t>@王月伟</t>
          </r>
        </is>
      </c>
      <c r="P546" s="12" t="str">
        <v>否 - 非控件/功能状态类信号</v>
      </c>
    </row>
    <row r="547" spans="4:16">
      <c r="D547" s="12" t="str">
        <v>座舱_通话信号强度值</v>
      </c>
      <c r="E547" s="12" t="str">
        <v>0~5, 步长1 (0=无信号, 5=满格)</v>
      </c>
      <c r="I547" s="65" t="str">
        <v>V1.0</v>
      </c>
      <c r="M547" s="14" t="inlineStr">
        <is>
          <r>
            <t>@王月伟</t>
          </r>
        </is>
      </c>
      <c r="P547" s="12" t="str">
        <v>否 - 非控件/功能状态类信号</v>
      </c>
    </row>
    <row r="548" spans="3:16">
      <c r="C548" s="83" t="str">
        <v>7.11 账号状态</v>
      </c>
      <c r="D548" s="83" t="str">
        <v>座舱_账号登录状态</v>
      </c>
      <c r="E548" s="83" t="str">
        <v>0=未登录, 1=已登录, 2=登录中, 3=登录失败, 4=令牌过期</v>
      </c>
      <c r="L548" s="84" t="str">
        <v>实际可能不需要上报</v>
      </c>
      <c r="M548" s="84" t="inlineStr">
        <is>
          <r>
            <t>@张景波</t>
          </r>
          <r>
            <t>@杨操</t>
          </r>
        </is>
      </c>
      <c r="P548" s="83" t="str">
        <v>否 - 未在AI可控原子能力清单匹配</v>
      </c>
    </row>
    <row r="549" spans="4:16">
      <c r="D549" s="83" t="str">
        <v>座舱_当前登录账号ID</v>
      </c>
      <c r="E549" s="83" t="str">
        <v>String, 最长64字符 (UUID或用户ID)</v>
      </c>
      <c r="M549" s="84" t="inlineStr">
        <is>
          <r>
            <t>@张景波</t>
          </r>
          <r>
            <t>@杨操</t>
          </r>
        </is>
      </c>
      <c r="P549" s="83" t="str">
        <v>否 - 非控件/功能状态类信号</v>
      </c>
    </row>
    <row r="550" spans="4:16">
      <c r="D550" s="83" t="str">
        <v>座舱_当前登录账号昵称</v>
      </c>
      <c r="E550" s="83" t="str">
        <v>String, 最长64字符 (UTF-8)</v>
      </c>
      <c r="M550" s="84" t="inlineStr">
        <is>
          <r>
            <t>@张景波</t>
          </r>
          <r>
            <t>@杨操</t>
          </r>
        </is>
      </c>
      <c r="P550" s="83" t="str">
        <v>否 - 非控件/功能状态类信号</v>
      </c>
    </row>
    <row r="551" spans="4:16">
      <c r="D551" s="83" t="str">
        <v>座舱_账号类型</v>
      </c>
      <c r="E551" s="83" t="str">
        <v>0=无, 1=车主, 2=家庭成员, 3=访客, 4=管理员, 5=服务</v>
      </c>
      <c r="M551" s="84" t="inlineStr">
        <is>
          <r>
            <t>@张景波</t>
          </r>
          <r>
            <t>@杨操</t>
          </r>
        </is>
      </c>
      <c r="P551" s="83" t="str">
        <v>否 - 非控件/功能状态类信号</v>
      </c>
    </row>
    <row r="552" spans="4:16">
      <c r="D552" s="83" t="str">
        <v>座舱_多账号切换状态</v>
      </c>
      <c r="E552" s="83" t="str">
        <v>0=无切换, 1=切换中, 2=切换成功, 3=切换失败</v>
      </c>
      <c r="M552" s="84" t="inlineStr">
        <is>
          <r>
            <t>@张景波</t>
          </r>
          <r>
            <t>@杨操</t>
          </r>
        </is>
      </c>
      <c r="P552" s="83" t="str">
        <v>否 - 未在AI可控原子能力清单匹配</v>
      </c>
    </row>
    <row r="553" spans="4:13">
      <c r="D553" s="83" t="str">
        <v>座舱_触发创建乘客打招呼</v>
      </c>
      <c r="E553" s="83" t="str">
        <v>1=触发</v>
      </c>
      <c r="L553" s="84" t="str">
        <v>新增</v>
      </c>
      <c r="M553" s="84" t="inlineStr">
        <is>
          <r>
            <t>@张景波</t>
          </r>
          <r>
            <t>@杨操</t>
          </r>
        </is>
      </c>
    </row>
    <row r="554" spans="4:13">
      <c r="D554" s="83" t="str">
        <v>座舱_创建乘客的状态</v>
      </c>
      <c r="E554" s="83" t="str">
        <v>1=成功</v>
      </c>
      <c r="L554" s="84" t="str">
        <v>新增</v>
      </c>
      <c r="M554" s="84" t="inlineStr">
        <is>
          <r>
            <t>@张景波</t>
          </r>
          <r>
            <t>@杨操</t>
          </r>
        </is>
      </c>
    </row>
    <row r="555" spans="4:13">
      <c r="D555" s="83" t="str">
        <v>座舱_创建乘客的称呼</v>
      </c>
      <c r="E555" s="83" t="str">
        <v>String, 最长64字符 (UTF-8)</v>
      </c>
      <c r="L555" s="84" t="str">
        <v>新增</v>
      </c>
      <c r="M555" s="84" t="inlineStr">
        <is>
          <r>
            <t>@张景波</t>
          </r>
          <r>
            <t>@杨操</t>
          </r>
        </is>
      </c>
    </row>
    <row r="556" spans="4:13">
      <c r="D556" s="12" t="str">
        <v>座舱_oobe欢迎页面</v>
      </c>
      <c r="E556" s="12" t="str">
        <v>0=开始，1=结束</v>
      </c>
      <c r="F556" s="13" t="str">
        <v>杨操</v>
      </c>
      <c r="G556" s="81">
        <v>46233</v>
      </c>
      <c r="H556" s="13" t="str">
        <v>豆包屏表情</v>
      </c>
      <c r="I556" s="65" t="str">
        <v>待导入</v>
      </c>
      <c r="L556" s="85" t="str">
        <v>新增（非灵魂灌入）</v>
      </c>
      <c r="M556" s="14" t="inlineStr">
        <is>
          <r>
            <t>@杨操</t>
          </r>
        </is>
      </c>
    </row>
    <row r="557" spans="4:13">
      <c r="D557" s="12" t="str">
        <v>座舱_录入账号人脸</v>
      </c>
      <c r="E557" s="12" t="str">
        <v>0=开始录入，1=结束录入</v>
      </c>
      <c r="F557" s="13" t="str">
        <v>杨操</v>
      </c>
      <c r="G557" s="81">
        <v>46231</v>
      </c>
      <c r="H557" s="13" t="str">
        <v>豆包屏表情</v>
      </c>
      <c r="I557" s="65" t="str">
        <v>待导入</v>
      </c>
      <c r="L557" s="14" t="str">
        <v>新增（非乘客录入）</v>
      </c>
      <c r="M557" s="14" t="inlineStr">
        <is>
          <r>
            <t>@杨操</t>
          </r>
        </is>
      </c>
    </row>
    <row r="558" spans="3:16">
      <c r="C558" s="12" t="str">
        <v>7.11a 媒体账号状态</v>
      </c>
      <c r="D558" s="12" t="str">
        <v>座舱_QQ音乐登录状态</v>
      </c>
      <c r="E558" s="12" t="str">
        <v>0=未登录, 1=已登录, 2=VIP会员, 3=令牌过期</v>
      </c>
      <c r="I558" s="65" t="str">
        <v>V1.0</v>
      </c>
      <c r="M558" s="14" t="inlineStr">
        <is>
          <r>
            <t>@孙含玉</t>
          </r>
        </is>
      </c>
      <c r="P558" s="12" t="str">
        <v>是 - 匹配：原子能力清单-生态@各垂域：打开/关闭APP/QQ音乐</v>
      </c>
    </row>
    <row r="559" spans="4:16">
      <c r="D559" s="12" t="str">
        <v>座舱_网易云音乐登录状态</v>
      </c>
      <c r="E559" s="12" t="str">
        <v>0=未登录, 1=已登录, 2=大会员, 3=令牌过期</v>
      </c>
      <c r="I559" s="65" t="str">
        <v>V1.0</v>
      </c>
      <c r="M559" s="14" t="inlineStr">
        <is>
          <r>
            <t>@孙含玉</t>
          </r>
        </is>
      </c>
      <c r="P559" s="12" t="str">
        <v>是 - 匹配：原子能力清单-生态@各垂域：打开/关闭APP/网易云音乐</v>
      </c>
    </row>
    <row r="560" spans="4:16">
      <c r="D560" s="12" t="str">
        <v>座舱_汽水音乐登录状态</v>
      </c>
      <c r="E560" s="12" t="str">
        <v>0=未登录, 1=已登录, 2=VIP会员, 3=令牌过期</v>
      </c>
      <c r="I560" s="65" t="str">
        <v>V1.0</v>
      </c>
      <c r="M560" s="14" t="inlineStr">
        <is>
          <r>
            <t>@孙含玉</t>
          </r>
        </is>
      </c>
      <c r="P560" s="12" t="str">
        <v>是 - 匹配：原子能力清单-生态@各垂域：打开/关闭APP/汽水音乐</v>
      </c>
    </row>
    <row r="561" spans="4:16">
      <c r="D561" s="61" t="str">
        <v>座舱_爱奇艺登录状态</v>
      </c>
      <c r="E561" s="61" t="str">
        <v>0=未登录, 1=已登录</v>
      </c>
      <c r="M561" s="48" t="inlineStr">
        <is>
          <r>
            <t>@张子羽</t>
          </r>
        </is>
      </c>
      <c r="P561" s="61" t="str">
        <v>是 - 匹配：原子能力清单-生态@各垂域：打开/关闭APP/爱奇艺</v>
      </c>
    </row>
    <row r="562" spans="4:16">
      <c r="D562" s="12" t="str">
        <v>座舱_哔哩哔哩登录状态</v>
      </c>
      <c r="E562" s="12" t="str">
        <v>0=未登录, 1=已登录, 2=VIP会员, 3=令牌过期</v>
      </c>
      <c r="I562" s="65" t="str">
        <v>V1.0</v>
      </c>
      <c r="M562" s="14" t="inlineStr">
        <is>
          <r>
            <t>@张子羽</t>
          </r>
        </is>
      </c>
      <c r="N562" s="14" t="str">
        <v>是</v>
      </c>
      <c r="P562" s="12" t="str">
        <v>是 - 匹配：原子能力清单-生态@各垂域：打开/关闭APP/哔哩哔哩</v>
      </c>
    </row>
    <row r="563" spans="4:16">
      <c r="D563" s="12" t="str">
        <v>座舱_腾讯视频登录状态</v>
      </c>
      <c r="E563" s="12" t="str">
        <v>0=未登录, 1=已登录, 2=VIP会员, 3=令牌过期</v>
      </c>
      <c r="I563" s="65" t="str">
        <v>V1.0</v>
      </c>
      <c r="M563" s="14" t="inlineStr">
        <is>
          <r>
            <t>@张子羽</t>
          </r>
        </is>
      </c>
      <c r="N563" s="14" t="str">
        <v>是</v>
      </c>
      <c r="P563" s="12" t="str">
        <v>是 - 匹配：原子能力清单-生态@各垂域：打开/关闭APP/腾讯视频</v>
      </c>
    </row>
    <row r="564" spans="4:16">
      <c r="D564" s="61" t="str">
        <v>座舱_芒果TV登录状态</v>
      </c>
      <c r="E564" s="61" t="str">
        <v>0=未登录, 1=已登录, </v>
      </c>
      <c r="M564" s="48" t="inlineStr">
        <is>
          <r>
            <t>@张子羽</t>
          </r>
        </is>
      </c>
      <c r="P564" s="61" t="str">
        <v>是 - 匹配：原子能力清单-生态@各垂域：打开/关闭APP/芒果TV</v>
      </c>
    </row>
    <row r="565" spans="4:16">
      <c r="D565" s="12" t="str">
        <v>座舱_车鱼视听登录状态</v>
      </c>
      <c r="E565" s="12" t="str">
        <v>0=未登录, 1=已登录</v>
      </c>
      <c r="I565" s="65" t="str">
        <v>V1.0</v>
      </c>
      <c r="M565" s="14" t="inlineStr">
        <is>
          <r>
            <t>@张子羽</t>
          </r>
        </is>
      </c>
      <c r="N565" s="14" t="str">
        <v>是</v>
      </c>
      <c r="P565" s="12" t="str">
        <v>是 - 匹配：原子能力清单-生态@各垂域：打开/关闭APP/车鱼视听</v>
      </c>
    </row>
    <row r="566" spans="4:16">
      <c r="D566" s="12" t="str">
        <v>座舱_喜马拉雅登录状态</v>
      </c>
      <c r="E566" s="12" t="str">
        <v>0=未登录, 1=已登录, 2=VIP会员, 3=令牌过期</v>
      </c>
      <c r="I566" s="65" t="str">
        <v>V1.0</v>
      </c>
      <c r="M566" s="14" t="inlineStr">
        <is>
          <r>
            <t>@孙含玉</t>
          </r>
        </is>
      </c>
      <c r="P566" s="12" t="str">
        <v>是 - 匹配：原子能力清单-生态@各垂域：下载/卸载/更新第三方App/喜马拉雅</v>
      </c>
    </row>
    <row r="567" spans="4:13">
      <c r="D567" s="82" t="str">
        <v>座舱_美团登录状态</v>
      </c>
      <c r="E567" s="82" t="str">
        <v>true=已登陆，false=未登录</v>
      </c>
      <c r="I567" s="76" t="str">
        <v>V1.0</v>
      </c>
      <c r="M567" s="35" t="inlineStr">
        <is>
          <r>
            <t>@潘伟俊</t>
          </r>
        </is>
      </c>
    </row>
    <row r="568" spans="4:13">
      <c r="D568" s="62" t="str">
        <v>座舱_支付宝车载助手登录状态</v>
      </c>
      <c r="E568" s="12" t="str">
        <v>true=已登陆，false=未登录</v>
      </c>
      <c r="I568" s="65" t="str">
        <v>V1.0</v>
      </c>
      <c r="M568" s="14" t="str">
        <v>@潘伟俊</v>
      </c>
    </row>
    <row r="569" spans="3:16">
      <c r="C569" s="50" t="str">
        <v>7.11b 媒体影片推荐</v>
      </c>
      <c r="D569" s="61" t="str">
        <v>爱奇艺媒资状态</v>
      </c>
      <c r="E569" s="61" t="str">
        <v>0:不可用 / 1:媒资连接(支持全量数据/实时热度上报)</v>
      </c>
      <c r="M569" s="48" t="inlineStr">
        <is>
          <r>
            <t>@张子羽</t>
          </r>
        </is>
      </c>
      <c r="P569" s="61" t="str">
        <v>是 - 匹配：原子能力清单-生态@各垂域：打开/关闭APP/爱奇艺</v>
      </c>
    </row>
    <row r="570" spans="4:16">
      <c r="D570" s="61" t="str">
        <v>哔哩哔哩媒资状态</v>
      </c>
      <c r="E570" s="61" t="str">
        <v>0:不可用 / 1:媒资连接(支持部分媒资)</v>
      </c>
      <c r="L570" s="48" t="str">
        <v>待确认</v>
      </c>
      <c r="M570" s="48" t="inlineStr">
        <is>
          <r>
            <t>@张子羽</t>
          </r>
        </is>
      </c>
      <c r="N570" s="48" t="str">
        <v>是</v>
      </c>
      <c r="P570" s="61" t="str">
        <v>是 - 匹配：原子能力清单-生态@各垂域：打开/关闭APP/哔哩哔哩</v>
      </c>
    </row>
    <row r="571" spans="4:16">
      <c r="D571" s="61" t="str">
        <v>腾讯视频媒资状态</v>
      </c>
      <c r="E571" s="61" t="str">
        <v>0:不可用 / 1:媒资连接(支持部分媒资)</v>
      </c>
      <c r="M571" s="48" t="inlineStr">
        <is>
          <r>
            <t>@张子羽</t>
          </r>
        </is>
      </c>
      <c r="N571" s="48" t="str">
        <v>是</v>
      </c>
      <c r="P571" s="61" t="str">
        <v>是 - 匹配：原子能力清单-生态@各垂域：打开/关闭APP/腾讯视频</v>
      </c>
    </row>
    <row r="572" spans="4:16">
      <c r="D572" s="61" t="str">
        <v>车鱼视听媒资状态</v>
      </c>
      <c r="E572" s="61" t="str">
        <v>0:不可用 / 1:媒资连接(支持部分媒资)</v>
      </c>
      <c r="M572" s="48" t="inlineStr">
        <is>
          <r>
            <t>@张子羽</t>
          </r>
        </is>
      </c>
      <c r="N572" s="48" t="str">
        <v>是</v>
      </c>
      <c r="P572" s="61" t="str">
        <v>是 - 匹配：原子能力清单-生态@各垂域：打开/关闭APP/车鱼视听</v>
      </c>
    </row>
    <row r="573" spans="4:16">
      <c r="D573" s="61" t="str">
        <v>芒果TV媒资状态</v>
      </c>
      <c r="E573" s="61" t="str">
        <v>0:不可用 / 1:媒资连接(云端全量媒资)</v>
      </c>
      <c r="M573" s="48" t="inlineStr">
        <is>
          <r>
            <t>@张子羽</t>
          </r>
        </is>
      </c>
      <c r="P573" s="61" t="str">
        <v>是 - 匹配：原子能力清单-生态@各垂域：打开/关闭APP/芒果TV</v>
      </c>
    </row>
    <row r="574" spans="4:16">
      <c r="D574" s="61" t="str">
        <v>视频付费属性状态</v>
      </c>
      <c r="E574" s="61" t="str">
        <v>0:全网免费 / 1:VIP会员专享 / 2:用券/单片点播付费</v>
      </c>
      <c r="M574" s="48" t="inlineStr">
        <is>
          <r>
            <t>@张子羽</t>
          </r>
        </is>
      </c>
      <c r="P574" s="61" t="str">
        <v>否 - 未在AI可控原子能力清单匹配</v>
      </c>
    </row>
    <row r="575" spans="3:16">
      <c r="C575" s="12" t="str">
        <v>7.12 IOT外设状态</v>
      </c>
      <c r="D575" s="12" t="str">
        <v>座舱_IOT设备连接状态</v>
      </c>
      <c r="E575" s="12" t="str">
        <v>0=未连接, 1=已连接</v>
      </c>
      <c r="I575" s="65" t="str">
        <v>V1.0</v>
      </c>
      <c r="M575" s="14" t="inlineStr">
        <is>
          <r>
            <t>@宋凯</t>
          </r>
        </is>
      </c>
      <c r="N575" s="14" t="str">
        <v>是</v>
      </c>
      <c r="P575" s="12" t="str">
        <v>否 - 非控件/功能状态类信号</v>
      </c>
    </row>
    <row r="576" spans="4:16">
      <c r="D576" s="12" t="str">
        <v>座舱_IOT设备类型</v>
      </c>
      <c r="E576" s="12" t="str">
        <v>0=未知, 1=香氛，2=儿童座椅，3=磁吸按键，4=车载麦克风，5=底盘氛围灯，6=车载手环，7=车载XR设备，8=车载机器狗，9=预留</v>
      </c>
      <c r="I576" s="65" t="str">
        <v>V1.0</v>
      </c>
      <c r="M576" s="14" t="inlineStr">
        <is>
          <r>
            <t>@宋凯</t>
          </r>
        </is>
      </c>
      <c r="N576" s="14" t="str">
        <v>是</v>
      </c>
      <c r="O576" s="12" t="str">
        <v>宋凯</v>
      </c>
      <c r="P576" s="12" t="str">
        <v>否 - 非控件/功能状态类信号</v>
      </c>
    </row>
    <row r="577" spans="4:16">
      <c r="D577" s="12" t="str">
        <v>座舱_IOT设备名称</v>
      </c>
      <c r="E577" s="12" t="str">
        <v>String, 最长23字符 (UTF-8)</v>
      </c>
      <c r="I577" s="65" t="str">
        <v>V1.0</v>
      </c>
      <c r="M577" s="14" t="inlineStr">
        <is>
          <r>
            <t>@宋凯</t>
          </r>
        </is>
      </c>
      <c r="N577" s="14" t="str">
        <v>是</v>
      </c>
      <c r="P577" s="12" t="str">
        <v>否 - 非控件/功能状态类信号</v>
      </c>
    </row>
    <row r="578" spans="4:16">
      <c r="D578" s="12" t="str">
        <v>座舱_IOT设备电量值</v>
      </c>
      <c r="E578" s="12" t="str">
        <v>0~100%, 步长1%</v>
      </c>
      <c r="I578" s="65" t="str">
        <v>V1.0</v>
      </c>
      <c r="M578" s="14" t="inlineStr">
        <is>
          <r>
            <t>@宋凯</t>
          </r>
        </is>
      </c>
      <c r="N578" s="14" t="str">
        <v>是</v>
      </c>
      <c r="P578" s="12" t="str">
        <v>否 - 非控件/功能状态类信号</v>
      </c>
    </row>
    <row r="579" spans="4:16">
      <c r="D579" s="61" t="str">
        <v>座舱_IOT设备信号强度值</v>
      </c>
      <c r="E579" s="61" t="str">
        <v>0~5, 步长1 (0=无信号, 5=满格)</v>
      </c>
      <c r="M579" s="48" t="inlineStr">
        <is>
          <r>
            <t>@宋凯</t>
          </r>
        </is>
      </c>
      <c r="P579" s="61" t="str">
        <v>否 - 非控件/功能状态类信号</v>
      </c>
    </row>
    <row r="580" spans="4:16">
      <c r="D580" s="12" t="str">
        <v>座舱_IOT设备固件版本</v>
      </c>
      <c r="E580" s="12" t="str">
        <v>String, 1字节大版本，1字节小版本（如1.1）</v>
      </c>
      <c r="I580" s="65" t="str">
        <v>V1.0</v>
      </c>
      <c r="M580" s="14" t="inlineStr">
        <is>
          <r>
            <t>@宋凯</t>
          </r>
        </is>
      </c>
      <c r="N580" s="14" t="str">
        <v>是</v>
      </c>
      <c r="P580" s="12" t="str">
        <v>否 - 非控件/功能状态类信号</v>
      </c>
    </row>
    <row r="581" spans="4:16">
      <c r="D581" s="12" t="str">
        <v>座舱_已连接IOT设备数量值</v>
      </c>
      <c r="E581" s="12" t="str">
        <v>0~9, 步长1</v>
      </c>
      <c r="I581" s="65" t="str">
        <v>V1.0</v>
      </c>
      <c r="M581" s="14" t="inlineStr">
        <is>
          <r>
            <t>@宋凯</t>
          </r>
        </is>
      </c>
      <c r="N581" s="14" t="str">
        <v>是</v>
      </c>
      <c r="P581" s="12" t="str">
        <v>否 - 非控件/功能状态类信号</v>
      </c>
    </row>
    <row r="582" spans="3:16">
      <c r="C582" s="12" t="str">
        <v>3.28a 香氛机状态</v>
      </c>
      <c r="D582" s="12" t="str">
        <v>车身_香氛机连接状态</v>
      </c>
      <c r="E582" s="12" t="str">
        <v>0=断连, 1=连接</v>
      </c>
      <c r="I582" s="65" t="str">
        <v>V1.0</v>
      </c>
      <c r="M582" s="14" t="inlineStr">
        <is>
          <r>
            <t>@陈杰</t>
          </r>
        </is>
      </c>
      <c r="N582" s="14" t="str">
        <v>是</v>
      </c>
      <c r="P582" s="12" t="str">
        <v>否 - 非控件/功能状态类信号</v>
      </c>
    </row>
    <row r="583" spans="4:16">
      <c r="D583" s="12" t="str">
        <v>车身_香氛机开关状态</v>
      </c>
      <c r="E583" s="12" t="str">
        <v>0=关闭, 1=开启</v>
      </c>
      <c r="I583" s="65" t="str">
        <v>V1.0</v>
      </c>
      <c r="M583" s="14" t="inlineStr">
        <is>
          <r>
            <t>@陈杰</t>
          </r>
        </is>
      </c>
      <c r="N583" s="14" t="str">
        <v>是</v>
      </c>
      <c r="P583" s="12" t="str">
        <v>是 - 匹配：原子能力清单-车控@樊鹏宇：香氛机/定时</v>
      </c>
    </row>
    <row r="584" spans="4:16">
      <c r="D584" s="12" t="str">
        <v>车身_香氛机香型状态</v>
      </c>
      <c r="E584" s="12" t="str">
        <v>TBD (待定)</v>
      </c>
      <c r="I584" s="65" t="str">
        <v>V1.0</v>
      </c>
      <c r="M584" s="14" t="inlineStr">
        <is>
          <r>
            <t>@陈杰</t>
          </r>
        </is>
      </c>
      <c r="N584" s="14" t="str">
        <v>是</v>
      </c>
      <c r="P584" s="12" t="str">
        <v>是 - 匹配：原子能力清单-车控@樊鹏宇：香氛机/定时</v>
      </c>
    </row>
    <row r="585" spans="4:16">
      <c r="D585" s="12" t="str">
        <v>车身_香氛机浓度值</v>
      </c>
      <c r="E585" s="12" t="str">
        <v>1~5档</v>
      </c>
      <c r="I585" s="65" t="str">
        <v>V1.0</v>
      </c>
      <c r="M585" s="14" t="inlineStr">
        <is>
          <r>
            <t>@陈杰</t>
          </r>
        </is>
      </c>
      <c r="N585" s="14" t="str">
        <v>是</v>
      </c>
      <c r="P585" s="12" t="str">
        <v>是 - 匹配：原子能力清单-车控@樊鹏宇：香氛机/定时</v>
      </c>
    </row>
    <row r="586" spans="4:16">
      <c r="D586" s="12" t="str">
        <v>车身_香氛机香型余量值</v>
      </c>
      <c r="E586" s="12" t="str">
        <v>0~100%</v>
      </c>
      <c r="I586" s="65" t="str">
        <v>V1.0</v>
      </c>
      <c r="M586" s="14" t="inlineStr">
        <is>
          <r>
            <t>@陈杰</t>
          </r>
        </is>
      </c>
      <c r="N586" s="14" t="str">
        <v>是</v>
      </c>
      <c r="P586" s="12" t="str">
        <v>否 - 非控件/功能状态类信号</v>
      </c>
    </row>
    <row r="587" spans="3:16">
      <c r="C587" s="12" t="str">
        <v>3.28b 智能儿童座椅状态</v>
      </c>
      <c r="D587" s="12" t="str">
        <v>车身_儿童座椅连接状态</v>
      </c>
      <c r="E587" s="12" t="str">
        <v>0=断连, 1=连接</v>
      </c>
      <c r="I587" s="65" t="str">
        <v>V1.0</v>
      </c>
      <c r="M587" s="14" t="inlineStr">
        <is>
          <r>
            <t>@宋凯</t>
          </r>
          <r>
            <t>@宋章仪</t>
          </r>
        </is>
      </c>
      <c r="N587" s="14" t="str">
        <v>是</v>
      </c>
      <c r="O587" s="12" t="str">
        <v>宋凯</v>
      </c>
      <c r="P587" s="12" t="str">
        <v>否 - 非控件/功能状态类信号</v>
      </c>
    </row>
    <row r="588" spans="4:16">
      <c r="D588" s="12" t="str">
        <v>车身_儿童座椅电量值</v>
      </c>
      <c r="E588" s="12" t="str">
        <v>0~100%</v>
      </c>
      <c r="I588" s="65" t="str">
        <v>V1.0</v>
      </c>
      <c r="M588" s="14" t="inlineStr">
        <is>
          <r>
            <t>@宋凯</t>
          </r>
        </is>
      </c>
      <c r="N588" s="14" t="str">
        <v>是</v>
      </c>
      <c r="O588" s="12" t="str">
        <v>宋凯</v>
      </c>
      <c r="P588" s="12" t="str">
        <v>是 - 匹配：原子能力清单-车控@樊鹏宇：座椅调节/前排座椅前后位置调节-相对值调节</v>
      </c>
    </row>
    <row r="589" spans="4:16">
      <c r="D589" s="12" t="str">
        <v>车身_儿童座椅充电状态</v>
      </c>
      <c r="E589" s="12" t="str">
        <v>0=未充电，1=充电中</v>
      </c>
      <c r="I589" s="65" t="str">
        <v>V1.0</v>
      </c>
      <c r="M589" s="14" t="inlineStr">
        <is>
          <r>
            <t>@宋凯</t>
          </r>
        </is>
      </c>
      <c r="N589" s="14" t="str">
        <v>是</v>
      </c>
      <c r="O589" s="12" t="str">
        <v>宋凯</v>
      </c>
      <c r="P589" s="12" t="str">
        <v>是 - 匹配：原子能力清单-车控@樊鹏宇：座椅调节/前排座椅前后位置调节-相对值调节</v>
      </c>
    </row>
    <row r="590" spans="4:16">
      <c r="D590" s="12" t="str">
        <v>车身_儿童座椅乘坐状态</v>
      </c>
      <c r="E590" s="12" t="str">
        <v>0=未乘坐, 1=正在乘坐</v>
      </c>
      <c r="I590" s="65" t="str">
        <v>V1.0</v>
      </c>
      <c r="M590" s="14" t="inlineStr">
        <is>
          <r>
            <t>@宋凯</t>
          </r>
        </is>
      </c>
      <c r="N590" s="14" t="str">
        <v>是</v>
      </c>
      <c r="P590" s="12" t="str">
        <v>是 - 匹配：原子能力清单-车控@樊鹏宇：座椅调节/前排座椅前后位置调节-相对值调节</v>
      </c>
    </row>
    <row r="591" spans="4:16">
      <c r="D591" s="12" t="str">
        <v>车身_儿童座椅安全带状态</v>
      </c>
      <c r="E591" s="12" t="str">
        <v>0=未系安全带，1=已系安全带</v>
      </c>
      <c r="I591" s="65" t="str">
        <v>V1.0</v>
      </c>
      <c r="M591" s="14" t="inlineStr">
        <is>
          <r>
            <t>@宋凯</t>
          </r>
        </is>
      </c>
      <c r="N591" s="14" t="str">
        <v>是</v>
      </c>
      <c r="P591" s="12" t="str">
        <v>是 - 匹配：原子能力清单-车控@樊鹏宇：座椅调节/前排座椅前后位置调节-相对值调节</v>
      </c>
    </row>
    <row r="592" spans="4:16">
      <c r="D592" s="86" t="str">
        <v>车身_儿童座椅ISOFIX检测</v>
      </c>
      <c r="E592" s="86" t="str">
        <v>0=异常,1=正常</v>
      </c>
      <c r="F592" s="13" t="str">
        <v>宋凯</v>
      </c>
      <c r="G592" s="81">
        <v>46182</v>
      </c>
      <c r="H592" s="13" t="str">
        <v>IoT App-儿童座椅</v>
      </c>
      <c r="I592" s="65" t="str">
        <v>V1.1</v>
      </c>
      <c r="M592" s="14" t="inlineStr">
        <is>
          <r>
            <t>@宋凯</t>
          </r>
        </is>
      </c>
      <c r="N592" s="14" t="str">
        <v>是</v>
      </c>
      <c r="P592" s="12" t="str">
        <v>是 - 匹配：原子能力清单-车控@樊鹏宇：座椅调节/前排座椅前后位置调节-相对值调节</v>
      </c>
    </row>
    <row r="593" spans="4:13">
      <c r="D593" s="86" t="str">
        <v>车身_儿童座椅安装位置</v>
      </c>
      <c r="E593" s="86" t="str">
        <v>0=未选,1=后排左侧,2=后排右侧</v>
      </c>
      <c r="F593" s="13" t="str">
        <v>宋凯</v>
      </c>
      <c r="G593" s="81">
        <v>46182</v>
      </c>
      <c r="H593" s="13" t="str">
        <v>IoT App-儿童座椅</v>
      </c>
      <c r="I593" s="65" t="str">
        <v>V1.1</v>
      </c>
      <c r="M593" s="14" t="inlineStr">
        <is>
          <r>
            <t>@宋凯</t>
          </r>
        </is>
      </c>
    </row>
    <row r="594" spans="3:16">
      <c r="C594" s="12" t="str">
        <v>3.28c 底盘氛围灯状态</v>
      </c>
      <c r="D594" s="12" t="str">
        <v>车身_底盘氛围灯点亮模式</v>
      </c>
      <c r="E594" s="12" t="str">
        <v>0=不点亮, 1=驻车点亮-限时, 2=驻车点亮-持续, 3=跟随近光灯</v>
      </c>
      <c r="I594" s="65" t="str">
        <v>V1.0</v>
      </c>
      <c r="M594" s="14" t="inlineStr">
        <is>
          <r>
            <t>@吴家鑫</t>
          </r>
        </is>
      </c>
      <c r="N594" s="14" t="str">
        <v>是</v>
      </c>
      <c r="P594" s="12" t="str">
        <v>是 - 匹配：原子能力清单-车控@樊鹏宇：底盘氛围灯/点亮模式</v>
      </c>
    </row>
    <row r="595" spans="4:16">
      <c r="D595" s="12" t="str">
        <v>车身_底盘氛围灯连接状态</v>
      </c>
      <c r="E595" s="12" t="str">
        <v>0=断连, 1=连接</v>
      </c>
      <c r="I595" s="65" t="str">
        <v>V1.0</v>
      </c>
      <c r="M595" s="14" t="inlineStr">
        <is>
          <r>
            <t>@吴家鑫</t>
          </r>
        </is>
      </c>
      <c r="N595" s="14" t="str">
        <v>是</v>
      </c>
      <c r="P595" s="12" t="str">
        <v>否 - 非控件/功能状态类信号</v>
      </c>
    </row>
    <row r="596" spans="4:16">
      <c r="D596" s="12" t="str">
        <v>车身_底盘氛围灯颜色值</v>
      </c>
      <c r="E596" s="12" t="str">
        <v>0~6 (7种预设颜色)</v>
      </c>
      <c r="I596" s="65" t="str">
        <v>V1.0</v>
      </c>
      <c r="M596" s="14" t="inlineStr">
        <is>
          <r>
            <t>@吴家鑫</t>
          </r>
        </is>
      </c>
      <c r="N596" s="14" t="str">
        <v>是</v>
      </c>
      <c r="P596" s="12" t="str">
        <v>是 - 匹配：原子能力清单-车控@樊鹏宇：底盘氛围灯/点亮模式</v>
      </c>
    </row>
    <row r="597" spans="4:16">
      <c r="D597" s="12" t="str">
        <v>车身_底盘氛围灯效果状态</v>
      </c>
      <c r="E597" s="12" t="str">
        <v>0=常亮, 1=呼吸, 2=流水, 3=流星, 4=星闪</v>
      </c>
      <c r="I597" s="65" t="str">
        <v>V1.0</v>
      </c>
      <c r="M597" s="14" t="inlineStr">
        <is>
          <r>
            <t>@吴家鑫</t>
          </r>
        </is>
      </c>
      <c r="N597" s="14" t="str">
        <v>是</v>
      </c>
      <c r="P597" s="12" t="str">
        <v>是 - 匹配：原子能力清单-车控@樊鹏宇：底盘氛围灯/点亮模式</v>
      </c>
    </row>
    <row r="598" spans="3:16">
      <c r="C598" s="83" t="str">
        <v>3.28d 麦克风状态</v>
      </c>
      <c r="D598" s="83" t="str">
        <v>车身_麦克风连接状态</v>
      </c>
      <c r="E598" s="83" t="str">
        <v>0=断连, 1=连接</v>
      </c>
      <c r="M598" s="84" t="inlineStr">
        <is>
          <r>
            <t>@王竹月</t>
          </r>
        </is>
      </c>
      <c r="N598" s="84" t="str">
        <v>是</v>
      </c>
      <c r="P598" s="83" t="str">
        <v>否 - 非控件/功能状态类信号</v>
      </c>
    </row>
    <row r="599" spans="4:16">
      <c r="D599" s="83" t="str">
        <v>车身_麦克风电量值</v>
      </c>
      <c r="E599" s="83" t="str">
        <v>0~100%</v>
      </c>
      <c r="M599" s="84" t="inlineStr">
        <is>
          <r>
            <t>@王竹月</t>
          </r>
        </is>
      </c>
      <c r="N599" s="84" t="str">
        <v>是</v>
      </c>
      <c r="P599" s="83" t="str">
        <v>否 - 非控件/功能状态类信号</v>
      </c>
    </row>
    <row r="600" spans="4:16">
      <c r="D600" s="83" t="str">
        <v>车身_麦克风音效状态</v>
      </c>
      <c r="E600" s="83" t="str">
        <v>0=流行, 1=说唱, 2=电音, 3=爵士, 4=民谣, 5=摇滚</v>
      </c>
      <c r="M600" s="84" t="inlineStr">
        <is>
          <r>
            <t>@王竹月</t>
          </r>
        </is>
      </c>
      <c r="N600" s="84" t="str">
        <v>是</v>
      </c>
      <c r="P600" s="83" t="str">
        <v>否 - 未在AI可控原子能力清单匹配</v>
      </c>
    </row>
    <row r="601" spans="3:16">
      <c r="C601" s="12" t="str">
        <v>7.12a 智能手环状态</v>
      </c>
      <c r="D601" s="12" t="str">
        <v>座舱_手环压力等级</v>
      </c>
      <c r="E601" s="63" t="str">
        <v>区间：0=放松, 1=轻度, 2=中度, 3=重度  待确认</v>
      </c>
      <c r="I601" s="65" t="str">
        <v>V1.0</v>
      </c>
      <c r="M601" s="14" t="inlineStr">
        <is>
          <r>
            <t>@叶嘉恒</t>
          </r>
        </is>
      </c>
      <c r="N601" s="14" t="str">
        <v>是</v>
      </c>
      <c r="P601" s="12" t="str">
        <v>否 - 未在AI可控原子能力清单匹配</v>
      </c>
    </row>
    <row r="602" spans="4:5">
      <c r="D602" s="12" t="str">
        <v>座舱_手环夜间恢复度</v>
      </c>
      <c r="E602" s="12" t="str">
        <v>0=极差/1=差/2=不佳/3=一般/4=良好/5=极佳</v>
      </c>
    </row>
    <row r="603" spans="4:5">
      <c r="D603" s="12" t="str">
        <v>座舱_手环睡眠质量分数</v>
      </c>
      <c r="E603" s="63" t="str">
        <v>0=睡眠质量差，1=睡眠质量正常，2=睡眠质量好 待确认</v>
      </c>
    </row>
    <row r="604" spans="4:5">
      <c r="D604" s="12" t="str">
        <v>座舱_手环体温值</v>
      </c>
      <c r="E604" s="63" t="str">
        <v>通过皮肤温度值推导，区间：0=体温偏高，1=体温偏低，2=体温正常</v>
      </c>
    </row>
    <row r="605" spans="4:5">
      <c r="D605" s="12" t="str">
        <v>座舱_手环情绪识别</v>
      </c>
      <c r="E605" s="12" t="str">
        <v>情绪枚举， 愉悦/平静/不愉悦 </v>
      </c>
    </row>
    <row r="606" spans="4:5">
      <c r="D606" s="12" t="str">
        <v>座舱_手环精力值</v>
      </c>
      <c r="E606" s="63" t="str">
        <v>0=低，1=正常，2=高 待确认</v>
      </c>
    </row>
    <row r="607" spans="4:5">
      <c r="D607" s="12" t="str">
        <v>座舱_手环女性健康预测</v>
      </c>
      <c r="E607" s="12" t="str">
        <v>经期/排卵期/易孕期/安全期/非特殊期</v>
      </c>
    </row>
    <row r="608" spans="4:5">
      <c r="D608" s="12" t="str">
        <v>座舱_手环运动状态</v>
      </c>
      <c r="E608" s="63" t="str">
        <v>运动类型枚举，待补充</v>
      </c>
    </row>
    <row r="609" spans="3:16">
      <c r="C609" s="12" t="str">
        <v>7.13 应用状态</v>
      </c>
      <c r="D609" s="12" t="str">
        <v>座舱_当前前台应用名称</v>
      </c>
      <c r="E609" s="12" t="str">
        <v>String, 最长64字符 (UTF-8)</v>
      </c>
      <c r="I609" s="65" t="str">
        <v>V1.0</v>
      </c>
      <c r="M609" s="14" t="inlineStr">
        <is>
          <r>
            <t>@刘嘉毅</t>
          </r>
        </is>
      </c>
      <c r="P609" s="12" t="str">
        <v>否 - 未在AI可控原子能力清单匹配</v>
      </c>
    </row>
    <row r="610" spans="4:16">
      <c r="D610" s="12" t="str">
        <v>座舱_当前前台应用包名</v>
      </c>
      <c r="E610" s="12" t="str">
        <v>String, 最长128字符 (如 com.xxx.app)</v>
      </c>
      <c r="I610" s="65" t="str">
        <v>V1.0</v>
      </c>
      <c r="M610" s="14" t="inlineStr">
        <is>
          <r>
            <t>@刘嘉毅</t>
          </r>
        </is>
      </c>
      <c r="P610" s="12" t="str">
        <v>否 - 非控件/功能状态类信号</v>
      </c>
    </row>
    <row r="611" spans="4:16">
      <c r="D611" s="12" t="str">
        <v>座舱_应用运行状态</v>
      </c>
      <c r="E611" s="12" t="str">
        <v>0=未运行, 1=前台, 2=后台, 3=挂起, 4=崩溃</v>
      </c>
      <c r="I611" s="65" t="str">
        <v>V1.0</v>
      </c>
      <c r="M611" s="14" t="inlineStr">
        <is>
          <r>
            <t>@刘嘉毅</t>
          </r>
        </is>
      </c>
      <c r="O611" s="12" t="str">
        <v>樊鹏宇</v>
      </c>
      <c r="P611" s="12" t="str">
        <v>否 - 未在AI可控原子能力清单匹配</v>
      </c>
    </row>
    <row r="612" spans="4:16">
      <c r="D612" s="12" t="str">
        <v>座舱_应用打开列表</v>
      </c>
      <c r="E612" s="12" t="str">
        <v>String, 最长512字符 (JSON数组)</v>
      </c>
      <c r="I612" s="65" t="str">
        <v>V1.0</v>
      </c>
      <c r="M612" s="14" t="inlineStr">
        <is>
          <r>
            <t>@刘嘉毅</t>
          </r>
        </is>
      </c>
      <c r="O612" s="12" t="str">
        <v>樊鹏宇</v>
      </c>
      <c r="P612" s="12" t="str">
        <v>否 - 非控件/功能状态类信号</v>
      </c>
    </row>
    <row r="613" spans="4:16">
      <c r="D613" s="12" t="str">
        <v>座舱_最近使用应用</v>
      </c>
      <c r="E613" s="12" t="str">
        <v>String, 最长256字符 (JSON数组)</v>
      </c>
      <c r="I613" s="65" t="str">
        <v>V1.0</v>
      </c>
      <c r="M613" s="14" t="inlineStr">
        <is>
          <r>
            <t>@刘嘉毅</t>
          </r>
        </is>
      </c>
      <c r="O613" s="12" t="str">
        <v>樊鹏宇</v>
      </c>
      <c r="P613" s="12" t="str">
        <v>否 - 非控件/功能状态类信号</v>
      </c>
    </row>
    <row r="614" spans="4:15">
      <c r="D614" s="13" t="str">
        <v>座舱_可更新应用</v>
      </c>
      <c r="E614" s="12" t="str">
        <v>String, 最长256字符 (JSON数组)</v>
      </c>
      <c r="I614" s="65" t="str">
        <v>V1.0</v>
      </c>
      <c r="O614" s="12" t="str">
        <v>赵益乐-语音查询目前可更新的应用</v>
      </c>
    </row>
    <row r="615" spans="4:13">
      <c r="D615" s="13" t="str">
        <v>座舱_应用商店内应用状态</v>
      </c>
      <c r="E615" s="12" t="str">
        <v>0=已安装，1=下载中，2=安装中，3=卸载中，4=已卸载</v>
      </c>
      <c r="I615" s="65" t="str">
        <v>V1.0</v>
      </c>
      <c r="M615" s="14" t="inlineStr">
        <is>
          <r>
            <t>@宋凯</t>
          </r>
        </is>
      </c>
    </row>
    <row r="616" spans="4:13">
      <c r="D616" s="13" t="str">
        <v>座舱_应用商店内应用名称</v>
      </c>
      <c r="E616" s="12" t="str">
        <v>String, 最长64字符 (UTF-8)</v>
      </c>
      <c r="I616" s="65" t="str">
        <v>V1.0</v>
      </c>
      <c r="M616" s="14" t="inlineStr">
        <is>
          <r>
            <t>@宋凯</t>
          </r>
        </is>
      </c>
    </row>
    <row r="617" spans="4:13">
      <c r="D617" s="13" t="str">
        <v>座舱_应用商店内应用下载进度</v>
      </c>
      <c r="E617" s="12" t="str">
        <v>0-100%</v>
      </c>
      <c r="I617" s="65" t="str">
        <v>V1.0</v>
      </c>
      <c r="M617" s="14" t="inlineStr">
        <is>
          <r>
            <t>@宋凯</t>
          </r>
        </is>
      </c>
    </row>
    <row r="618" spans="4:13">
      <c r="D618" s="12" t="str">
        <v>座舱_手车互联类型</v>
      </c>
      <c r="E618" s="12" t="str">
        <v>0=未连接，1=carplay，2=hicar，3=carlink</v>
      </c>
      <c r="I618" s="65" t="str">
        <v>V1.0</v>
      </c>
      <c r="M618" s="14" t="inlineStr">
        <is>
          <r>
            <t>@宋凯</t>
          </r>
        </is>
      </c>
    </row>
    <row r="619" spans="4:13">
      <c r="D619" s="12" t="str">
        <v>座舱_手车互联连接状态</v>
      </c>
      <c r="E619" s="12" t="str">
        <v>0=未连接，1=已连接</v>
      </c>
      <c r="I619" s="65" t="str">
        <v>V1.0</v>
      </c>
      <c r="M619" s="14" t="inlineStr">
        <is>
          <r>
            <t>@宋凯</t>
          </r>
        </is>
      </c>
    </row>
    <row r="620" spans="4:13">
      <c r="D620" s="12" t="str">
        <v>座舱_手车互联后手机应用在车机显示名称（hicar/carlink）</v>
      </c>
      <c r="E620" s="12" t="str">
        <v>String, 最长64字符 (UTF-8)</v>
      </c>
      <c r="I620" s="65" t="str">
        <v>V1.0</v>
      </c>
      <c r="M620" s="14" t="inlineStr">
        <is>
          <r>
            <t>@宋凯</t>
          </r>
        </is>
      </c>
    </row>
    <row r="621" spans="4:13">
      <c r="D621" s="12" t="str">
        <v>座舱_手车互联后手机应用在车机运行状态（hicar/carlink）</v>
      </c>
      <c r="E621" s="12" t="str">
        <v>0=未运行, 1=前台, 2=后台</v>
      </c>
      <c r="I621" s="65" t="str">
        <v>V1.0</v>
      </c>
      <c r="M621" s="14" t="inlineStr">
        <is>
          <r>
            <t>@宋凯</t>
          </r>
        </is>
      </c>
    </row>
    <row r="622" spans="4:15">
      <c r="D622" s="13" t="str">
        <v>座舱_支付宝车载助手运营小程序列表</v>
      </c>
      <c r="E622" s="12" t="str">
        <v>JSON数组</v>
      </c>
      <c r="I622" s="65" t="str">
        <v>V1.0</v>
      </c>
      <c r="M622" s="14" t="inlineStr">
        <is>
          <r>
            <t>@潘伟俊</t>
          </r>
        </is>
      </c>
      <c r="O622" s="12" t="str">
        <v>潘伟俊</v>
      </c>
    </row>
    <row r="623" spans="3:16">
      <c r="C623" s="12" t="str">
        <v>7.14 投屏状态</v>
      </c>
      <c r="D623" s="13" t="str">
        <v>座舱_投屏连接状态</v>
      </c>
      <c r="E623" s="12" t="str">
        <v>0=未连接, 1=连接中, 2=已连接, 3=连接失败</v>
      </c>
      <c r="I623" s="65" t="str">
        <v>V1.0</v>
      </c>
      <c r="M623" s="14" t="inlineStr">
        <is>
          <r>
            <t>@樊鹏宇</t>
          </r>
        </is>
      </c>
      <c r="N623" s="14" t="str">
        <v>是</v>
      </c>
      <c r="O623" s="12" t="str">
        <v>樊鹏宇</v>
      </c>
      <c r="P623" s="12" t="str">
        <v>否 - 非控件/功能状态类信号</v>
      </c>
    </row>
    <row r="624" spans="4:16">
      <c r="D624" s="83" t="str">
        <v>座舱_投屏源设备类型</v>
      </c>
      <c r="E624" s="83" t="str">
        <v>0=未知, 1=iOS(CarPlay), 2=Android(Android Auto), 3=华为(HiCar), 4=MirrorLink, 5=AirPlay, 6=DLNA, 7=ICCOA</v>
      </c>
      <c r="M624" s="84" t="inlineStr">
        <is>
          <r>
            <t>@樊鹏宇</t>
          </r>
        </is>
      </c>
      <c r="N624" s="84" t="str">
        <v>是</v>
      </c>
      <c r="O624" s="83" t="str">
        <v>樊鹏宇</v>
      </c>
      <c r="P624" s="83" t="str">
        <v>否 - 非控件/功能状态类信号</v>
      </c>
    </row>
    <row r="625" spans="4:16">
      <c r="D625" s="83" t="str">
        <v>座舱_投屏协议类型</v>
      </c>
      <c r="E625" s="83" t="str">
        <v>0=未知~9=DLNA</v>
      </c>
      <c r="M625" s="84" t="inlineStr">
        <is>
          <r>
            <t>@樊鹏宇</t>
          </r>
        </is>
      </c>
      <c r="N625" s="84" t="str">
        <v>是</v>
      </c>
      <c r="O625" s="83" t="str">
        <v>樊鹏宇</v>
      </c>
      <c r="P625" s="83" t="str">
        <v>否 - 非控件/功能状态类信号</v>
      </c>
    </row>
    <row r="626" spans="4:16">
      <c r="D626" s="83" t="str">
        <v>座舱_投屏分辨率</v>
      </c>
      <c r="E626" s="83" t="str">
        <v>0=未知, 1=480p, 2=720p, 3=1080p, 4=2K, 5=4K</v>
      </c>
      <c r="M626" s="84" t="inlineStr">
        <is>
          <r>
            <t>@樊鹏宇</t>
          </r>
        </is>
      </c>
      <c r="N626" s="84" t="str">
        <v>是</v>
      </c>
      <c r="O626" s="83" t="str">
        <v>樊鹏宇</v>
      </c>
      <c r="P626" s="83" t="str">
        <v>否 - 非控件/功能状态类信号</v>
      </c>
    </row>
    <row r="627" spans="4:16">
      <c r="D627" s="83" t="str">
        <v>座舱_投屏帧率值</v>
      </c>
      <c r="E627" s="83" t="str">
        <v>0~120 fps, 步长1 fps; 0=未知</v>
      </c>
      <c r="M627" s="84" t="inlineStr">
        <is>
          <r>
            <t>@樊鹏宇</t>
          </r>
        </is>
      </c>
      <c r="N627" s="84" t="str">
        <v>是</v>
      </c>
      <c r="O627" s="83" t="str">
        <v>樊鹏宇</v>
      </c>
      <c r="P627" s="83" t="str">
        <v>否 - 非控件/功能状态类信号</v>
      </c>
    </row>
    <row r="628" spans="3:9">
      <c r="C628" s="12" t="str">
        <v>7.15 摄像头状态</v>
      </c>
      <c r="D628" s="13" t="str">
        <v>车内OMS</v>
      </c>
      <c r="E628" s="12" t="str">
        <v>0=关闭, 1=开启，2=异常</v>
      </c>
      <c r="I628" s="65" t="str">
        <v>V1.0</v>
      </c>
    </row>
    <row r="629" spans="4:9">
      <c r="D629" s="13" t="str">
        <v>车外前视（广角）</v>
      </c>
      <c r="E629" s="12" t="str">
        <v>0=关闭, 1=开启，2=异常</v>
      </c>
      <c r="I629" s="65" t="str">
        <v>V1.0</v>
      </c>
    </row>
    <row r="630" spans="4:9">
      <c r="D630" s="13" t="str">
        <v>车外后视</v>
      </c>
      <c r="E630" s="12" t="str">
        <v>0=关闭, 1=开启，2=异常</v>
      </c>
      <c r="I630" s="65" t="str">
        <v>V1.0</v>
      </c>
    </row>
    <row r="631" spans="4:9">
      <c r="D631" s="13" t="str">
        <v>车外左前</v>
      </c>
      <c r="E631" s="12" t="str">
        <v>0=关闭, 1=开启，2=异常</v>
      </c>
      <c r="I631" s="65" t="str">
        <v>V1.0</v>
      </c>
    </row>
    <row r="632" spans="4:9">
      <c r="D632" s="13" t="str">
        <v>车外左后</v>
      </c>
      <c r="E632" s="12" t="str">
        <v>0=关闭, 1=开启，2=异常</v>
      </c>
      <c r="I632" s="65" t="str">
        <v>V1.0</v>
      </c>
    </row>
    <row r="633" spans="4:9">
      <c r="D633" s="13" t="str">
        <v>车外右前</v>
      </c>
      <c r="E633" s="12" t="str">
        <v>0=关闭, 1=开启，2=异常</v>
      </c>
      <c r="I633" s="65" t="str">
        <v>V1.0</v>
      </c>
    </row>
    <row r="634" spans="4:9">
      <c r="D634" s="13" t="str">
        <v>车外右前</v>
      </c>
      <c r="E634" s="12" t="str">
        <v>0=关闭, 1=开启，2=异常</v>
      </c>
      <c r="I634" s="65" t="str">
        <v>V1.0</v>
      </c>
    </row>
    <row r="635" spans="3:9">
      <c r="C635" s="12" t="str">
        <v>7.16 录制状态</v>
      </c>
      <c r="D635" s="13" t="str">
        <v>拍照按钮</v>
      </c>
      <c r="E635" s="12" t="str">
        <v>0=拍照、1=未启动</v>
      </c>
      <c r="F635" s="13" t="str">
        <v>冯艺玮</v>
      </c>
      <c r="H635" s="13" t="str">
        <v>高光拍摄</v>
      </c>
      <c r="I635" s="65" t="str">
        <v>V1.1</v>
      </c>
    </row>
    <row r="636" spans="4:9">
      <c r="D636" s="13" t="str">
        <v>普通拍摄状态</v>
      </c>
      <c r="E636" s="12" t="str">
        <v>0=录制中、1=未启动</v>
      </c>
      <c r="F636" s="13" t="str">
        <v>冯艺玮</v>
      </c>
      <c r="H636" s="13" t="str">
        <v>高光拍摄</v>
      </c>
      <c r="I636" s="65" t="str">
        <v>V1.1</v>
      </c>
    </row>
    <row r="637" spans="4:9">
      <c r="D637" s="13" t="str">
        <v>高光拍摄状态</v>
      </c>
      <c r="E637" s="12" t="str">
        <v>0=录制中、1=未启动</v>
      </c>
      <c r="F637" s="13" t="str">
        <v>冯艺玮</v>
      </c>
      <c r="H637" s="13" t="str">
        <v>高光拍摄</v>
      </c>
      <c r="I637" s="65" t="str">
        <v>V1.1</v>
      </c>
    </row>
    <row r="638" spans="4:9">
      <c r="D638" s="13" t="str">
        <v>屏幕录制</v>
      </c>
      <c r="E638" s="13" t="str">
        <v>0=录制中、1=未启动</v>
      </c>
      <c r="F638" s="13" t="str">
        <v>杨操</v>
      </c>
      <c r="H638" s="13" t="str">
        <v>屏幕录制</v>
      </c>
      <c r="I638" s="65" t="str">
        <v>v1.2</v>
      </c>
    </row>
    <row r="639" spans="3:5">
      <c r="C639" s="83" t="str">
        <v>7.17 导航预约充电站</v>
      </c>
      <c r="D639" s="83" t="str">
        <v>预约状态</v>
      </c>
      <c r="E639" s="83" t="str">
        <v>0=已预约；1=未预约</v>
      </c>
    </row>
    <row r="640" spans="4:5">
      <c r="D640" s="83" t="str">
        <v>预约日期</v>
      </c>
      <c r="E640" s="83" t="str">
        <v>日期</v>
      </c>
    </row>
    <row r="641" spans="4:5">
      <c r="D641" s="83" t="str">
        <v>预约时段</v>
      </c>
      <c r="E641" s="83" t="str">
        <v>时间</v>
      </c>
    </row>
    <row r="642" spans="3:4">
      <c r="C642" s="83" t="str">
        <v>7.18车机流量</v>
      </c>
      <c r="D642" s="83" t="str">
        <v>查询剩余流量</v>
      </c>
    </row>
    <row r="643" spans="3:9">
      <c r="C643" s="13" t="str">
        <v>7.19充电报告</v>
      </c>
      <c r="D643" s="3" t="str">
        <v>当前周期</v>
      </c>
      <c r="E643" s="13" t="str">
        <v>1-12月</v>
      </c>
      <c r="F643" s="13" t="str">
        <v>刘多</v>
      </c>
      <c r="G643" s="81">
        <v>46199</v>
      </c>
      <c r="H643" s="13" t="str">
        <v>豆包场景：推荐充电</v>
      </c>
      <c r="I643" s="13" t="str">
        <v>v1.2</v>
      </c>
    </row>
    <row r="644" spans="4:9">
      <c r="D644" s="13" t="str">
        <v>平均开始soc</v>
      </c>
      <c r="E644" s="13" t="str">
        <v>0-100%</v>
      </c>
      <c r="F644" s="13" t="str">
        <v>刘多</v>
      </c>
      <c r="G644" s="81">
        <v>46199</v>
      </c>
      <c r="H644" s="13" t="str">
        <v>豆包场景：推荐充电</v>
      </c>
      <c r="I644" s="13" t="str">
        <v>v1.2</v>
      </c>
    </row>
    <row r="645" spans="4:9">
      <c r="D645" s="13" t="str">
        <v>平均结束soc</v>
      </c>
      <c r="E645" s="13" t="str">
        <v>0-100%</v>
      </c>
      <c r="F645" s="13" t="str">
        <v>刘多</v>
      </c>
      <c r="G645" s="81">
        <v>46199</v>
      </c>
      <c r="H645" s="13" t="str">
        <v>豆包场景：推荐充电</v>
      </c>
      <c r="I645" s="13" t="str">
        <v>v1.2</v>
      </c>
    </row>
    <row r="646" spans="4:9">
      <c r="D646" s="13" t="str">
        <v>总电量</v>
      </c>
      <c r="E646" s="13" t="str">
        <v>0-999度</v>
      </c>
      <c r="F646" s="13" t="str">
        <v>刘多</v>
      </c>
      <c r="G646" s="81">
        <v>46199</v>
      </c>
      <c r="H646" s="13" t="str">
        <v>豆包场景：推荐充电</v>
      </c>
      <c r="I646" s="13" t="str">
        <v>v1.2</v>
      </c>
    </row>
    <row r="647" spans="4:9">
      <c r="D647" s="13" t="str">
        <v>总次数</v>
      </c>
      <c r="E647" s="13" t="str">
        <v>0-999次</v>
      </c>
      <c r="F647" s="13" t="str">
        <v>刘多</v>
      </c>
      <c r="G647" s="81">
        <v>46199</v>
      </c>
      <c r="H647" s="13" t="str">
        <v>豆包场景：推荐充电</v>
      </c>
      <c r="I647" s="13" t="str">
        <v>v1.2</v>
      </c>
    </row>
    <row r="648" spans="4:9">
      <c r="D648" s="13" t="str">
        <v>总时长</v>
      </c>
      <c r="E648" s="13" t="str">
        <v>0-999小时</v>
      </c>
      <c r="F648" s="13" t="str">
        <v>刘多</v>
      </c>
      <c r="G648" s="81">
        <v>46199</v>
      </c>
      <c r="H648" s="13" t="str">
        <v>豆包场景：推荐充电</v>
      </c>
      <c r="I648" s="13" t="str">
        <v>v1.2</v>
      </c>
    </row>
    <row r="649" spans="3:9">
      <c r="C649" s="13" t="str">
        <v>7.20车辆模式</v>
      </c>
      <c r="D649" s="13" t="str">
        <v>车辆模式</v>
      </c>
      <c r="E649" s="13" t="str">
        <v>AI增程/纯电优先/强制纯电/燃油优先/强制发电</v>
      </c>
      <c r="F649" s="13" t="str">
        <v>刘多</v>
      </c>
      <c r="G649" s="81">
        <v>46199</v>
      </c>
      <c r="H649" s="13" t="str">
        <v>豆包场景：推荐补能</v>
      </c>
      <c r="I649" s="13" t="str">
        <v>v1.2</v>
      </c>
    </row>
    <row r="650" spans="3:9">
      <c r="C650" s="13" t="str">
        <v>7.21OTA</v>
      </c>
      <c r="D650" s="13" t="str">
        <v>OTA状态</v>
      </c>
      <c r="E650" s="13" t="str">
        <v>0=待OTA升级、1=OTA升级中、2=OTA升级完成</v>
      </c>
      <c r="F650" s="13" t="str">
        <v>赵益乐</v>
      </c>
      <c r="G650" s="81">
        <v>46218</v>
      </c>
      <c r="H650" s="13" t="str">
        <v>车外语音场景：需要在OTA升级中去屏蔽车外语音的唤醒</v>
      </c>
      <c r="I650" s="13" t="str">
        <v>待导入</v>
      </c>
    </row>
    <row r="651" spans="3:9">
      <c r="C651" s="13" t="str">
        <v>7.21导航-充电狗服务</v>
      </c>
      <c r="D651" s="13" t="str">
        <v>是否支持充电狗服务</v>
      </c>
      <c r="E651" s="13" t="str">
        <v>是/否</v>
      </c>
      <c r="F651" s="13" t="str">
        <v>刘多</v>
      </c>
      <c r="G651" s="81">
        <v>46231</v>
      </c>
      <c r="H651" s="13" t="str">
        <v>语音打开充电狗服务</v>
      </c>
      <c r="I651" s="13" t="str">
        <v>待导入</v>
      </c>
    </row>
    <row r="652" spans="1:16">
      <c r="A652" s="83" t="str">
        <v>八、车辆模式与场景域</v>
      </c>
      <c r="C652" s="83" t="str">
        <v>8.2 权限/隐私状态</v>
      </c>
      <c r="D652" s="83" t="str">
        <v>车辆模式_敏感权限使用状态</v>
      </c>
      <c r="E652" s="83" t="str">
        <v>Bitmask: Bit0=摄像头, Bit1=麦克风, Bit2=位置, Bit3=通讯录, Bit4=通话记录, Bit5=存储, Bit6=车辆数据</v>
      </c>
      <c r="M652" s="84" t="inlineStr">
        <is>
          <r>
            <t>@张景波</t>
          </r>
          <r>
            <t>@杨操</t>
          </r>
        </is>
      </c>
      <c r="P652" s="83" t="str">
        <v>否 - 未在AI可控原子能力清单匹配</v>
      </c>
    </row>
    <row r="653" spans="4:16">
      <c r="D653" s="83" t="str">
        <v>车辆模式_恢复出厂状态</v>
      </c>
      <c r="E653" s="83" t="str">
        <v>0=空闲, 1=恢复中, 2=恢复完成, 3=恢复失败</v>
      </c>
      <c r="M653" s="84" t="inlineStr">
        <is>
          <r>
            <t>@张景波</t>
          </r>
          <r>
            <t>@李军</t>
          </r>
        </is>
      </c>
      <c r="P653" s="83" t="str">
        <v>否 - 未在AI可控原子能力清单匹配</v>
      </c>
    </row>
    <row r="654" spans="4:16">
      <c r="D654" s="12" t="str">
        <v>车辆模式_一键除痕状态</v>
      </c>
      <c r="E654" s="12" t="str">
        <v>0=空闲, 1=执行中, 2=完成</v>
      </c>
      <c r="I654" s="65" t="str">
        <v>V1.0</v>
      </c>
      <c r="M654" s="14" t="inlineStr">
        <is>
          <r>
            <t>@张景波</t>
          </r>
          <r>
            <t>@杨操</t>
          </r>
        </is>
      </c>
      <c r="P654" s="12" t="str">
        <v>是 - 匹配：原子能力清单-车设@各垂域：一键除痕/操作一键无痕页面</v>
      </c>
    </row>
    <row r="655" spans="4:16">
      <c r="D655" s="12" t="str">
        <v>车辆模式_整车离线模式状态</v>
      </c>
      <c r="E655" s="12" t="str">
        <v>0=关闭, 1=开启</v>
      </c>
      <c r="I655" s="65" t="str">
        <v>V1.0</v>
      </c>
      <c r="M655" s="14" t="inlineStr">
        <is>
          <r>
            <t>@张景波</t>
          </r>
          <r>
            <t>@杨操</t>
          </r>
        </is>
      </c>
      <c r="P655" s="12" t="str">
        <v>是 - 匹配：原子能力清单-系统网联服务@张景波：整车离线模式@杨操/操作安全模式</v>
      </c>
    </row>
    <row r="656" spans="4:16">
      <c r="D656" s="12" t="str">
        <v>车内隐私模式</v>
      </c>
      <c r="E656" s="12" t="str">
        <v>0=关闭, 1=开启</v>
      </c>
      <c r="I656" s="65" t="str">
        <v>V1.0</v>
      </c>
      <c r="M656" s="14" t="inlineStr">
        <is>
          <r>
            <t>@张景波</t>
          </r>
          <r>
            <t>@杨操</t>
          </r>
        </is>
      </c>
      <c r="P656" s="12" t="str">
        <v>是 - 匹配：原子能力清单-系统网联服务@张景波：车内隐私保护@杨操/操作超级隐私模式</v>
      </c>
    </row>
    <row r="657" spans="3:16">
      <c r="C657" s="12" t="str">
        <v>8.3 场景模式状态</v>
      </c>
      <c r="D657" s="12" t="str">
        <v>车辆模式_极限续航模式状态</v>
      </c>
      <c r="E657" s="12" t="str">
        <v>0=未激活, 1=激活, 2=激活等待</v>
      </c>
      <c r="I657" s="65" t="str">
        <v>V1.0</v>
      </c>
      <c r="M657" s="14" t="inlineStr">
        <is>
          <r>
            <t>@张佳伟</t>
          </r>
        </is>
      </c>
      <c r="P657" s="12" t="str">
        <v>否 - 未在AI可控原子能力清单匹配</v>
      </c>
    </row>
    <row r="658" spans="4:16">
      <c r="D658" s="12" t="str">
        <v>车辆模式_拖车模式状态</v>
      </c>
      <c r="E658" s="12" t="str">
        <v>0=未激活, 1=激活</v>
      </c>
      <c r="I658" s="65" t="str">
        <v>V1.0</v>
      </c>
      <c r="M658" s="14" t="inlineStr">
        <is>
          <r>
            <t>@张佳伟</t>
          </r>
        </is>
      </c>
      <c r="N658" s="14" t="str">
        <v>是</v>
      </c>
      <c r="P658" s="12" t="str">
        <v>是 - 匹配：原子能力清单-车控@樊鹏宇：驾驶设置/拖车模式</v>
      </c>
    </row>
    <row r="659" spans="4:16">
      <c r="D659" s="12" t="str">
        <v>车辆模式_拖车模式故障</v>
      </c>
      <c r="E659" s="12" t="str">
        <v>0=无故障, 1=拖车未检测到, 2=拖车意外断开, 3=系统故障</v>
      </c>
      <c r="I659" s="65" t="str">
        <v>V1.0</v>
      </c>
      <c r="M659" s="14" t="inlineStr">
        <is>
          <r>
            <t>@张佳伟</t>
          </r>
        </is>
      </c>
      <c r="P659" s="12" t="str">
        <v>否 - 非控件/功能状态类信号</v>
      </c>
    </row>
    <row r="660" spans="4:16">
      <c r="D660" s="12" t="str">
        <v>车辆模式_露营模式状态</v>
      </c>
      <c r="E660" s="12" t="str">
        <v>0=未激活, 1=激活，2=对外放电进行中，3=睡眠模式进行中，4=睡眠空间进行中</v>
      </c>
      <c r="F660" s="13" t="str">
        <v>赵益乐</v>
      </c>
      <c r="G660" s="81">
        <v>46203</v>
      </c>
      <c r="H660" s="13" t="str">
        <v>车外语音场景</v>
      </c>
      <c r="I660" s="65" t="str">
        <v>V1.0</v>
      </c>
      <c r="M660" s="14" t="inlineStr">
        <is>
          <r>
            <t>@张佳伟</t>
          </r>
        </is>
      </c>
      <c r="N660" s="14" t="str">
        <v>是</v>
      </c>
      <c r="P660" s="12" t="str">
        <v>是 - 匹配：原子能力清单-车设@各垂域：情景模式/露营模式</v>
      </c>
    </row>
    <row r="661" spans="4:16">
      <c r="D661" s="12" t="str">
        <v>车辆模式_哨兵模式状态</v>
      </c>
      <c r="E661" s="12" t="str">
        <v>0=关闭, 1=节能版待机, 2=节能版激活, 3=智慧版待机, 4=智慧版激活, 5=警报</v>
      </c>
      <c r="I661" s="65" t="str">
        <v>V1.0</v>
      </c>
      <c r="M661" s="14" t="inlineStr">
        <is>
          <r>
            <t>@张姝娴</t>
          </r>
        </is>
      </c>
      <c r="P661" s="12" t="str">
        <v>是 - 匹配：原子能力清单-车设@各垂域：哨兵模式/单次开启</v>
      </c>
    </row>
    <row r="662" spans="4:16">
      <c r="D662" s="12" t="str">
        <v>车辆模式_哨兵模式持续时间值</v>
      </c>
      <c r="E662" s="12" t="str">
        <v>0~65535 min, 步长1 min</v>
      </c>
      <c r="I662" s="65" t="str">
        <v>V1.0</v>
      </c>
      <c r="M662" s="14" t="inlineStr">
        <is>
          <r>
            <t>@张姝娴</t>
          </r>
        </is>
      </c>
      <c r="P662" s="12" t="str">
        <v>是 - 匹配：原子能力清单-车设@各垂域：哨兵模式/单次开启</v>
      </c>
    </row>
    <row r="663" spans="4:16">
      <c r="D663" s="12" t="str">
        <v>车辆模式_增强哨兵模式状态</v>
      </c>
      <c r="E663" s="12" t="str">
        <v>0=关闭, 1=智慧版开启</v>
      </c>
      <c r="I663" s="65" t="str">
        <v>V1.0</v>
      </c>
      <c r="M663" s="14" t="inlineStr">
        <is>
          <r>
            <t>@张姝娴</t>
          </r>
        </is>
      </c>
      <c r="O663" s="12" t="str">
        <v>张姝娴</v>
      </c>
      <c r="P663" s="12" t="str">
        <v>是 - 匹配：原子能力清单-车设@各垂域：哨兵模式/单次开启</v>
      </c>
    </row>
    <row r="664" spans="4:16">
      <c r="D664" s="12" t="str">
        <v>车辆模式_哨兵模式报警等级</v>
      </c>
      <c r="E664" s="12" t="str">
        <v>0=无, 1=低(震动), 2=中(靠近), 3=高(撞击/入侵)</v>
      </c>
      <c r="I664" s="65" t="str">
        <v>V1.0</v>
      </c>
      <c r="M664" s="14" t="inlineStr">
        <is>
          <r>
            <t>@张姝娴</t>
          </r>
        </is>
      </c>
      <c r="P664" s="12" t="str">
        <v>是 - 匹配：原子能力清单-车设@各垂域：哨兵模式/单次开启</v>
      </c>
    </row>
    <row r="665" spans="4:16">
      <c r="D665" s="83" t="str">
        <v>车辆模式_哨兵模式报警原因</v>
      </c>
      <c r="E665" s="83" t="str">
        <v>0=无, 1=检测到震动, 2=检测到靠近, 3=门把手被触碰, 4=车窗撞击, 5=车门被打开, 6=检测到倾斜</v>
      </c>
      <c r="M665" s="84" t="inlineStr">
        <is>
          <r>
            <t>@张姝娴</t>
          </r>
        </is>
      </c>
      <c r="P665" s="83" t="str">
        <v>否 - 非控件/功能状态类信号</v>
      </c>
    </row>
    <row r="666" spans="4:16">
      <c r="D666" s="12" t="str">
        <v>车辆模式_哨兵模式报警标志</v>
      </c>
      <c r="E666" s="12" t="str">
        <v>0=无报警, 1=报警触发</v>
      </c>
      <c r="I666" s="65" t="str">
        <v>V1.0</v>
      </c>
      <c r="M666" s="14" t="inlineStr">
        <is>
          <r>
            <t>@张姝娴</t>
          </r>
        </is>
      </c>
      <c r="P666" s="12" t="str">
        <v>是 - 匹配：原子能力清单-车设@各垂域：哨兵模式/单次开启</v>
      </c>
    </row>
    <row r="667" spans="4:16">
      <c r="D667" s="83" t="str">
        <v>车辆模式_哨兵模式故障</v>
      </c>
      <c r="E667" s="83" t="str">
        <v>0=无故障, 1=摄像头故障, 2=存储故障, 3=系统故障</v>
      </c>
      <c r="M667" s="84" t="inlineStr">
        <is>
          <r>
            <t>@张姝娴</t>
          </r>
        </is>
      </c>
      <c r="P667" s="83" t="str">
        <v>否 - 非控件/功能状态类信号</v>
      </c>
    </row>
    <row r="668" spans="4:16">
      <c r="D668" s="12" t="str">
        <v>车辆模式_情景模式状态</v>
      </c>
      <c r="E668" s="12" t="str">
        <v>0=未激活, 1=露营, 2=宠物, 3=婴儿, 4=小憩, 5=派对, 6=办公, 7=冥想, 8=自定义</v>
      </c>
      <c r="I668" s="65" t="str">
        <v>V1.0</v>
      </c>
      <c r="M668" s="14" t="inlineStr">
        <is>
          <r>
            <t>@樊鹏宇</t>
          </r>
        </is>
      </c>
      <c r="N668" s="14" t="str">
        <v>是</v>
      </c>
      <c r="P668" s="12" t="str">
        <v>是 - 匹配：原子能力清单-车设@各垂域：情景模式/智慧影院</v>
      </c>
    </row>
    <row r="669" spans="4:16">
      <c r="D669" s="12" t="str">
        <v>车辆模式_情景模式激活标志</v>
      </c>
      <c r="E669" s="12" t="str">
        <v>0=未激活, 1=已激活</v>
      </c>
      <c r="I669" s="65" t="str">
        <v>V1.0</v>
      </c>
      <c r="M669" s="14" t="inlineStr">
        <is>
          <r>
            <t>@樊鹏宇</t>
          </r>
        </is>
      </c>
      <c r="N669" s="14" t="str">
        <v>是</v>
      </c>
      <c r="P669" s="12" t="str">
        <v>是 - 匹配：原子能力清单-车设@各垂域：情景模式/智慧影院</v>
      </c>
    </row>
    <row r="670" spans="4:16">
      <c r="D670" s="12" t="str">
        <v>车辆模式_情景模式应用状态</v>
      </c>
      <c r="E670" s="12" t="str">
        <v>0=空闲, 1=应用中, 2=已应用, 3=退出中, 4=应用失败</v>
      </c>
      <c r="I670" s="65" t="str">
        <v>V1.0</v>
      </c>
      <c r="M670" s="14" t="inlineStr">
        <is>
          <r>
            <t>@樊鹏宇</t>
          </r>
        </is>
      </c>
      <c r="N670" s="14" t="str">
        <v>是</v>
      </c>
      <c r="P670" s="12" t="str">
        <v>是 - 匹配：原子能力清单-车设@各垂域：情景模式/智慧影院</v>
      </c>
    </row>
    <row r="671" spans="4:16">
      <c r="D671" s="12" t="str">
        <v>车辆模式_维修模式状态</v>
      </c>
      <c r="E671" s="12" t="str">
        <v>0=未激活, 1=激活</v>
      </c>
      <c r="I671" s="65" t="str">
        <v>V1.0</v>
      </c>
      <c r="M671" s="14" t="inlineStr">
        <is>
          <r>
            <t>@张佳伟</t>
          </r>
        </is>
      </c>
      <c r="P671" s="12" t="str">
        <v>是 - 匹配：原子能力清单-车控@樊鹏宇：悬架/悬架维修模式</v>
      </c>
    </row>
    <row r="672" spans="4:16">
      <c r="D672" s="69" t="str">
        <v>车辆模式_迎宾模式状态</v>
      </c>
      <c r="E672" s="69" t="str">
        <v>0=未激活, 1=接近, 2=进入, 3=离开</v>
      </c>
      <c r="M672" s="60" t="inlineStr">
        <is>
          <r>
            <t>@宋章仪</t>
          </r>
        </is>
      </c>
      <c r="P672" s="69" t="str">
        <v>否 - 未在AI可控原子能力清单匹配</v>
      </c>
    </row>
    <row r="673" spans="4:16">
      <c r="D673" s="69" t="str">
        <v>车辆模式_迎宾信息</v>
      </c>
      <c r="E673" s="69" t="str">
        <v>0=无, 1=左侧门接近, 2=右侧门接近, 3=驾驶座滑移, 4=方向盘抬起, 5=全部迎宾动作</v>
      </c>
      <c r="M673" s="60" t="inlineStr">
        <is>
          <r>
            <t>@宋章仪</t>
          </r>
        </is>
      </c>
      <c r="P673" s="69" t="str">
        <v>否 - 未在AI可控原子能力清单匹配</v>
      </c>
    </row>
    <row r="674" spans="4:16">
      <c r="D674" s="12" t="str">
        <v>车辆模式_传送带洗车模式状态</v>
      </c>
      <c r="E674" s="12" t="str">
        <v>0=未激活, 1=激活</v>
      </c>
      <c r="I674" s="65" t="str">
        <v>V1.0</v>
      </c>
      <c r="M674" s="14" t="inlineStr">
        <is>
          <r>
            <t>@张佳伟</t>
          </r>
        </is>
      </c>
      <c r="N674" s="14" t="str">
        <v>是</v>
      </c>
      <c r="P674" s="12" t="str">
        <v>是 - 匹配：原子能力清单-车设@各垂域：情景模式/传送带洗车</v>
      </c>
    </row>
    <row r="675" spans="4:16">
      <c r="D675" s="12" t="str">
        <v>车辆模式_普通洗车模式状态</v>
      </c>
      <c r="E675" s="12" t="str">
        <v>0=未激活, 1=激活</v>
      </c>
      <c r="I675" s="65" t="str">
        <v>V1.0</v>
      </c>
      <c r="M675" s="14" t="inlineStr">
        <is>
          <r>
            <t>@张佳伟</t>
          </r>
        </is>
      </c>
      <c r="N675" s="14" t="str">
        <v>是</v>
      </c>
      <c r="P675" s="12" t="str">
        <v>是 - 匹配：原子能力清单-车设@各垂域：情景模式/普通洗车</v>
      </c>
    </row>
    <row r="676" spans="4:16">
      <c r="D676" s="12" t="str">
        <v>车辆模式_观影模式状态</v>
      </c>
      <c r="E676" s="12" t="str">
        <v>0=未激活, 1=激活</v>
      </c>
      <c r="I676" s="65" t="str">
        <v>V1.0</v>
      </c>
      <c r="M676" s="14" t="inlineStr">
        <is>
          <r>
            <t>@樊鹏宇</t>
          </r>
        </is>
      </c>
      <c r="N676" s="14" t="str">
        <v>是</v>
      </c>
      <c r="P676" s="12" t="str">
        <v>否 - 未在AI可控原子能力清单匹配</v>
      </c>
    </row>
    <row r="677" spans="4:16">
      <c r="D677" s="12" t="str">
        <v>车辆模式_观影模式配置</v>
      </c>
      <c r="E677" s="12" t="str">
        <v>Bitmask: Bit0=屏幕开启~Bit5=空调舒适</v>
      </c>
      <c r="I677" s="65" t="str">
        <v>V1.0</v>
      </c>
      <c r="M677" s="14" t="inlineStr">
        <is>
          <r>
            <t>@樊鹏宇</t>
          </r>
        </is>
      </c>
      <c r="N677" s="14" t="str">
        <v>是</v>
      </c>
      <c r="P677" s="12" t="str">
        <v>否 - 未在AI可控原子能力清单匹配</v>
      </c>
    </row>
    <row r="678" spans="4:16">
      <c r="D678" s="83" t="str">
        <v>车辆模式_息屏模式状态</v>
      </c>
      <c r="E678" s="83" t="str">
        <v>0=未激活, 1=激活</v>
      </c>
      <c r="M678" s="84" t="inlineStr">
        <is>
          <r>
            <t>@王月伟</t>
          </r>
        </is>
      </c>
      <c r="P678" s="83" t="str">
        <v>否 - 未在AI可控原子能力清单匹配</v>
      </c>
    </row>
    <row r="679" spans="4:16">
      <c r="D679" s="83" t="str">
        <v>车辆模式_息屏模式配置</v>
      </c>
      <c r="E679" s="83" t="str">
        <v>Bitmask: Bit0=全部屏幕关闭~Bit4=氛围灯关闭</v>
      </c>
      <c r="M679" s="84" t="inlineStr">
        <is>
          <r>
            <t>@王月伟</t>
          </r>
        </is>
      </c>
      <c r="P679" s="83" t="str">
        <v>否 - 未在AI可控原子能力清单匹配</v>
      </c>
    </row>
    <row r="680" spans="4:16">
      <c r="D680" s="83" t="str">
        <v>车辆模式_远程实况视频状态</v>
      </c>
      <c r="E680" s="83" t="str">
        <v>0=未激活, 1=直播中, 2=请求被拒, 3=超时</v>
      </c>
      <c r="M680" s="84" t="inlineStr">
        <is>
          <r>
            <t>@张姝娴</t>
          </r>
          <r>
            <t>@许圣义</t>
          </r>
        </is>
      </c>
      <c r="P680" s="83" t="str">
        <v>否 - 未在AI可控原子能力清单匹配</v>
      </c>
    </row>
    <row r="681" spans="1:9">
      <c r="A681" s="12" t="str">
        <v>九、出行感知</v>
      </c>
      <c r="C681" s="12" t="str">
        <v>9.1行驶状态</v>
      </c>
      <c r="D681" s="12" t="str">
        <v>行驶状态_是否正在行驶中</v>
      </c>
      <c r="E681" s="12" t="str">
        <v>0=否,1=是</v>
      </c>
      <c r="I681" s="28" t="str">
        <v>V1.0</v>
      </c>
    </row>
    <row r="682" spans="4:9">
      <c r="D682" s="12" t="str">
        <v>行驶速度_车速实际值</v>
      </c>
      <c r="E682" s="12" t="str">
        <v>0~655.35km/h(0.01km/bit)</v>
      </c>
      <c r="I682" s="28" t="str">
        <v>V1.0</v>
      </c>
    </row>
    <row r="683" spans="4:9">
      <c r="D683" s="12" t="str">
        <v>挡位_行驶挡位</v>
      </c>
      <c r="E683" s="12" t="str">
        <v>P/R/N/D</v>
      </c>
      <c r="I683" s="28" t="str">
        <v>V1.0</v>
      </c>
    </row>
    <row r="684" spans="4:9">
      <c r="D684" s="12" t="str">
        <v>连续行驶时长</v>
      </c>
      <c r="E684" s="12" t="str">
        <v>0~999h</v>
      </c>
      <c r="I684" s="28" t="str">
        <v>V1.0</v>
      </c>
    </row>
    <row r="685" spans="3:9">
      <c r="C685" s="12" t="str">
        <v>9.2DMS</v>
      </c>
      <c r="D685" s="12" t="str">
        <v>face id 识别</v>
      </c>
      <c r="I685" s="28" t="str">
        <v>V1.0</v>
      </c>
    </row>
    <row r="686" spans="4:9">
      <c r="D686" s="12" t="str">
        <v>自动切换驾驶员账号状态开关</v>
      </c>
      <c r="E686" s="12" t="str">
        <v>0=关闭, 1=开启</v>
      </c>
      <c r="F686" s="28" t="str">
        <v>孙盛非</v>
      </c>
      <c r="G686" s="29">
        <v>46216</v>
      </c>
      <c r="H686" s="28" t="str">
        <v>出行主动服务</v>
      </c>
      <c r="I686" s="28" t="str">
        <v>v1.2</v>
      </c>
    </row>
    <row r="687" spans="4:9">
      <c r="D687" s="12" t="str">
        <v>疲劳监测</v>
      </c>
      <c r="E687" s="12" t="str">
        <v>轻度疲劳|中度疲劳|重度疲劳</v>
      </c>
      <c r="I687" s="28" t="str">
        <v>V1.0</v>
      </c>
    </row>
    <row r="688" spans="4:12">
      <c r="D688" s="12" t="str">
        <v>长时间疲劳监测</v>
      </c>
      <c r="E688" s="12" t="str">
        <v>连续驾驶超过1h|连续驾驶超过2h|连续驾驶超过3h|连续驾驶超过4h|休息清零</v>
      </c>
      <c r="I688" s="28" t="str">
        <v>V1.0</v>
      </c>
      <c r="L688" s="14" t="str">
        <v>休息清零：P档或下电维持30min,会清除前一段时间的记录</v>
      </c>
    </row>
    <row r="689" spans="3:9">
      <c r="C689" s="12" t="str">
        <v>9.3 OMS</v>
      </c>
      <c r="D689" s="12" t="str">
        <v>主驾手指指向识别</v>
      </c>
      <c r="E689" s="12" t="str">
        <v>主驾手指指向：上、下、前、后、左右、左前、右前、左后、右后</v>
      </c>
      <c r="I689" s="28" t="str">
        <v>V1.0</v>
      </c>
    </row>
    <row r="690" spans="4:9">
      <c r="D690" s="12" t="str">
        <v>乘客手指指向识别 </v>
      </c>
      <c r="E690" s="12" t="str">
        <v>乘客手指指向：上、下、前、后、左右、左前、右前、左后、右后</v>
      </c>
      <c r="I690" s="28" t="str">
        <v>V1.0</v>
      </c>
    </row>
    <row r="691" spans="3:9">
      <c r="C691" s="12" t="str">
        <v>9.4 车外摄像头</v>
      </c>
      <c r="D691" s="12" t="str">
        <v>实时照片</v>
      </c>
      <c r="E691" s="12" t="str">
        <v>前视×2、侧视×4、后视×1 提供的照片</v>
      </c>
      <c r="I691" s="28" t="str">
        <v>V1.0</v>
      </c>
    </row>
    <row r="692" spans="3:9">
      <c r="C692" s="12" t="str">
        <v>9.5 天气</v>
      </c>
      <c r="D692" s="12" t="str">
        <v>天气_恶劣天气</v>
      </c>
      <c r="E692" s="12" t="str">
        <v>台风/暴雨/暴雪/寒潮/大风/沙尘暴/高温/雷电/冰雹/大雾/霾/道路结冰/雷雨大风/春季沙尘天气趋势预警/沙尘</v>
      </c>
      <c r="I692" s="28" t="str">
        <v>V1.0</v>
      </c>
    </row>
    <row r="693" spans="3:9">
      <c r="C693" s="12" t="str">
        <v>9.6上电周期</v>
      </c>
      <c r="D693" s="12" t="str">
        <v>上电周期_是否同一个上电周期</v>
      </c>
      <c r="E693" s="12" t="str">
        <v>是/否</v>
      </c>
      <c r="I693" s="28" t="str">
        <v>V1.0</v>
      </c>
    </row>
    <row r="694" spans="3:3">
      <c r="C694" s="87">
        <v>9.7</v>
      </c>
    </row>
    <row r="695" spans="3:5">
      <c r="C695" s="50" t="str">
        <v>9.7ADAS状态感知</v>
      </c>
      <c r="D695" s="50" t="str">
        <v>ADAS状态感知_ADAD状态是否已触发</v>
      </c>
      <c r="E695" s="50" t="str">
        <v>是/否</v>
      </c>
    </row>
    <row r="696" spans="3:4">
      <c r="C696" s="50" t="str">
        <v>9.8 当日全部行程</v>
      </c>
      <c r="D696" s="50" t="str">
        <v>当日所有行程</v>
      </c>
    </row>
    <row r="697" spans="1:13">
      <c r="A697" s="12" t="str">
        <v>十、AI设置</v>
      </c>
      <c r="C697" s="12" t="str">
        <v>10.1 超级语音</v>
      </c>
      <c r="D697" s="12" t="str">
        <v>超级语音开关状态</v>
      </c>
      <c r="E697" s="12" t="str">
        <v>0=关闭, 1=开启</v>
      </c>
      <c r="I697" s="28" t="str">
        <v>V1.0</v>
      </c>
      <c r="M697" s="14" t="inlineStr">
        <is>
          <r>
            <t>@陆云帆</t>
          </r>
        </is>
      </c>
    </row>
    <row r="698" spans="3:13">
      <c r="C698" s="12" t="str">
        <v>10.2 语音形象</v>
      </c>
      <c r="D698" s="12" t="str">
        <v>语音形象</v>
      </c>
      <c r="E698" s="12" t="str">
        <v>默认态/抽象态</v>
      </c>
      <c r="I698" s="28" t="str">
        <v>V1.0</v>
      </c>
      <c r="M698" s="14" t="inlineStr">
        <is>
          <r>
            <t>@陆云帆</t>
          </r>
        </is>
      </c>
    </row>
    <row r="699" spans="3:13">
      <c r="C699" s="12" t="str">
        <v>10.3 播报风格</v>
      </c>
      <c r="D699" s="12" t="str">
        <v>播报风格</v>
      </c>
      <c r="E699" s="12" t="str">
        <v>预设、温柔体贴、简洁专业、元气活泼、高冷傲娇、赛博极客、吐槽达人、松弛佛系、荒诞抽象、自定义</v>
      </c>
      <c r="I699" s="65" t="str">
        <v>V1.0</v>
      </c>
      <c r="M699" s="14" t="inlineStr">
        <is>
          <r>
            <t>@陆云帆</t>
          </r>
        </is>
      </c>
    </row>
    <row r="700" spans="3:13">
      <c r="C700" s="12" t="str">
        <v>10.4 AlwaysOn</v>
      </c>
      <c r="D700" s="12" t="str">
        <v>AlwaysOn开关</v>
      </c>
      <c r="E700" s="12" t="str">
        <v>0=关闭, 1=开启</v>
      </c>
      <c r="I700" s="65" t="str">
        <v>V1.0</v>
      </c>
      <c r="M700" s="14" t="inlineStr">
        <is>
          <r>
            <t>@陆云帆</t>
          </r>
        </is>
      </c>
    </row>
    <row r="701" spans="4:13">
      <c r="D701" s="12" t="str">
        <v>持续聆听开关</v>
      </c>
      <c r="E701" s="12" t="str">
        <v>0=关闭, 1=开启</v>
      </c>
      <c r="I701" s="65" t="str">
        <v>V1.0</v>
      </c>
      <c r="M701" s="14" t="inlineStr">
        <is>
          <r>
            <t>@陆云帆</t>
          </r>
        </is>
      </c>
    </row>
    <row r="702" spans="4:13">
      <c r="D702" s="12" t="str">
        <v>持续观察开关</v>
      </c>
      <c r="E702" s="12" t="str">
        <v>0=关闭, 1=开启</v>
      </c>
      <c r="I702" s="65" t="str">
        <v>V1.0</v>
      </c>
      <c r="M702" s="14" t="inlineStr">
        <is>
          <r>
            <t>@陆云帆</t>
          </r>
        </is>
      </c>
    </row>
    <row r="703" spans="3:13">
      <c r="C703" s="12" t="str">
        <v>10.5 主动服务</v>
      </c>
      <c r="D703" s="12" t="str">
        <v>主动服务开关</v>
      </c>
      <c r="E703" s="12" t="str">
        <v>0=关闭, 1=开启</v>
      </c>
      <c r="I703" s="65" t="str">
        <v>V1.0</v>
      </c>
      <c r="M703" s="14" t="inlineStr">
        <is>
          <r>
            <t>@陆云帆</t>
          </r>
        </is>
      </c>
    </row>
    <row r="704" spans="3:13">
      <c r="C704" s="12" t="str">
        <v>10.6 车外语音</v>
      </c>
      <c r="D704" s="12" t="str">
        <v>车外语音开关</v>
      </c>
      <c r="E704" s="12" t="str">
        <v>0=关闭, 1=开启</v>
      </c>
      <c r="I704" s="65" t="str">
        <v>V1.0</v>
      </c>
      <c r="M704" s="14" t="inlineStr">
        <is>
          <r>
            <t>@陆云帆</t>
          </r>
        </is>
      </c>
    </row>
    <row r="705" spans="3:13">
      <c r="C705" s="12" t="str">
        <v>10.7 记忆开关</v>
      </c>
      <c r="D705" s="12" t="str">
        <v>记忆开关</v>
      </c>
      <c r="E705" s="12" t="str">
        <v>0=关闭, 1=开启</v>
      </c>
      <c r="I705" s="65" t="str">
        <v>V1.0</v>
      </c>
      <c r="M705" s="14" t="inlineStr">
        <is>
          <r>
            <t>@陆云帆</t>
          </r>
        </is>
      </c>
    </row>
    <row r="706" spans="1:9">
      <c r="A706" s="12" t="str">
        <v>十一、语音</v>
      </c>
      <c r="C706" s="12" t="str">
        <v>11.1 音区位置</v>
      </c>
      <c r="D706" s="12" t="str">
        <v>音区位置判断</v>
      </c>
      <c r="E706" s="12" t="str">
        <v>主驾/副驾/左后/右后</v>
      </c>
      <c r="F706" s="14" t="inlineStr">
        <is>
          <r>
            <t>@陆云帆</t>
          </r>
        </is>
      </c>
      <c r="H706" s="28" t="str">
        <v>语音</v>
      </c>
      <c r="I706" s="28" t="str">
        <v>V1.1</v>
      </c>
    </row>
    <row r="707" spans="3:9">
      <c r="C707" s="12" t="str">
        <v>11.2 语音状态</v>
      </c>
      <c r="D707" s="12" t="str">
        <v>语音状态</v>
      </c>
      <c r="E707" s="12" t="str">
        <v>唤醒/识别/聆听/思考/播报</v>
      </c>
      <c r="F707" s="14" t="inlineStr">
        <is>
          <r>
            <t>@陆云帆</t>
          </r>
        </is>
      </c>
      <c r="H707" s="28" t="str">
        <v>语音</v>
      </c>
      <c r="I707" s="28" t="str">
        <v>V1.1</v>
      </c>
    </row>
    <row r="708" spans="1:9">
      <c r="A708" s="12" t="str">
        <v>
</v>
      </c>
      <c r="C708" s="12" t="str">
        <v>K歌</v>
      </c>
      <c r="D708" s="12" t="str">
        <v>无麦K歌开关</v>
      </c>
      <c r="E708" s="12" t="str">
        <v>0=关闭，1=开启</v>
      </c>
      <c r="F708" s="28" t="str">
        <v>王竹月</v>
      </c>
      <c r="H708" s="28" t="str">
        <v>豆包屏表情</v>
      </c>
      <c r="I708" s="28" t="str">
        <v>V1.1</v>
      </c>
    </row>
    <row r="709" spans="4:9">
      <c r="D709" s="12" t="str">
        <v>雷石KTV</v>
      </c>
      <c r="E709" s="12" t="str">
        <v>0=关闭，1=开启，3=播放中，4=播放完成</v>
      </c>
      <c r="F709" s="28" t="str">
        <v>王竹月</v>
      </c>
      <c r="H709" s="28" t="str">
        <v>豆包屏表情</v>
      </c>
      <c r="I709" s="28" t="str">
        <v>V1.1</v>
      </c>
    </row>
    <row r="710" spans="3:9">
      <c r="C710" s="3" t="str">
        <v>整车模式</v>
      </c>
      <c r="D710" s="3" t="str">
        <v>整车模式</v>
      </c>
      <c r="E710" s="88" t="str">
        <v>0x0: CARMODE_FACTORY 工厂模式
 0x1: CARMODE_TRANSPORT 运输模式
 0x2: CARMODE_DYNOTEST 底盘测功测试模式
 0x3: CARMODE_NORMAL 正常用车模式
 0x4: CARMODE_EXHIBITIONINDOOR 室内展车模式
 0x5: CARMODE_EXHIBITIONOUTDOOR 室外展车模式
 0x6: CARMODE_EXHIBITIONCUSTOM 自定义展车模式
 0x7:CARMODE_RESERVED 预留模式
 0xF: CARMODE_INVALID 无效模式</v>
      </c>
      <c r="H710" s="12" t="str">
        <v>展车/AI展销</v>
      </c>
      <c r="I710" s="28" t="str">
        <v>v1.2</v>
      </c>
    </row>
    <row r="711" spans="3:9">
      <c r="C711" s="3" t="str">
        <v>整车模式</v>
      </c>
      <c r="D711" s="88" t="str">
        <v>试乘试驾模式</v>
      </c>
      <c r="E711" s="3" t="inlineStr">
        <is>
          <r>
            <t>开启/关闭</t>
          </r>
          <r>
            <t>@冉东旭</t>
          </r>
        </is>
      </c>
      <c r="H711" s="12" t="str">
        <v>展车/AI展销</v>
      </c>
      <c r="I711" s="28" t="str">
        <v>v1.2</v>
      </c>
    </row>
    <row r="712" spans="3:9">
      <c r="C712" s="3" t="str">
        <v>AI BOX Agent</v>
      </c>
      <c r="D712" s="88" t="str">
        <v>AI灯语开关</v>
      </c>
      <c r="E712" s="3" t="inlineStr">
        <is>
          <r>
            <t>开启/关闭</t>
          </r>
          <r>
            <t>@冉东旭</t>
          </r>
        </is>
      </c>
      <c r="H712" s="12" t="str">
        <v>展车/AI展销</v>
      </c>
      <c r="I712" s="28" t="str">
        <v>v1.2</v>
      </c>
    </row>
    <row r="713" spans="3:9">
      <c r="C713" s="88" t="str">
        <v>车辆配置字</v>
      </c>
      <c r="D713" s="88" t="str">
        <v>车辆配置字</v>
      </c>
      <c r="E713" s="3" t="str">
        <v>0:无
1:Pro
2:Max
3.Ultra
4:标准版</v>
      </c>
      <c r="G713" s="29">
        <v>46216</v>
      </c>
      <c r="H713" s="12" t="str">
        <v>All</v>
      </c>
      <c r="I713" s="28" t="str">
        <v>v1.2</v>
      </c>
    </row>
    <row r="714" spans="3:9">
      <c r="C714" s="88" t="str">
        <v>松弛空间</v>
      </c>
      <c r="D714" s="88" t="str">
        <v>氛围主题切换</v>
      </c>
      <c r="E714" s="88" t="str">
        <v>静谧星空/海光入梦/萤火微光/山间晚风/林间秘境/放松舒压/助眠引导/重建专注/缓解焦虑</v>
      </c>
      <c r="G714" s="29">
        <v>46216</v>
      </c>
      <c r="H714" s="12" t="str">
        <v>松弛空间</v>
      </c>
      <c r="I714" s="28" t="str">
        <v>v1.2</v>
      </c>
    </row>
    <row r="715" spans="3:9">
      <c r="C715" s="88" t="str">
        <v>情景模式</v>
      </c>
      <c r="D715" s="88" t="str">
        <v>AI情景模式</v>
      </c>
      <c r="E715" s="88" t="str">
        <v>开启/关闭</v>
      </c>
      <c r="G715" s="29">
        <v>46216</v>
      </c>
      <c r="H715" s="12" t="str">
        <v>松弛/竞娱空间</v>
      </c>
      <c r="I715" s="28" t="str">
        <v>v1.2</v>
      </c>
    </row>
    <row r="716" spans="1:9">
      <c r="A716" s="12" t="str">
        <v>十二</v>
      </c>
      <c r="C716" s="88" t="str">
        <v>遗留物品提醒</v>
      </c>
      <c r="D716" s="88" t="str">
        <v>重要物品提醒</v>
      </c>
      <c r="E716" s="88" t="str">
        <v>提醒/不提醒</v>
      </c>
      <c r="F716" s="28" t="inlineStr">
        <is>
          <r>
            <t>@宋章仪</t>
          </r>
        </is>
      </c>
      <c r="G716" s="29">
        <v>46227</v>
      </c>
      <c r="H716" s="12" t="str">
        <v>迎宾</v>
      </c>
      <c r="I716" s="28" t="str">
        <v>待导入</v>
      </c>
    </row>
    <row r="717" spans="4:9">
      <c r="D717" s="88" t="str">
        <v>危险物品提醒</v>
      </c>
      <c r="E717" s="88" t="str">
        <v>提醒/不提醒</v>
      </c>
      <c r="F717" s="28" t="inlineStr">
        <is>
          <r>
            <t>@宋章仪</t>
          </r>
        </is>
      </c>
      <c r="G717" s="29">
        <v>46227</v>
      </c>
      <c r="H717" s="12" t="str">
        <v>迎宾</v>
      </c>
      <c r="I717" s="28" t="str">
        <v>待导入</v>
      </c>
    </row>
  </sheetData>
  <mergeCells count="2">
    <mergeCell ref="A1:E1"/>
    <mergeCell ref="O1:P1"/>
  </mergeCell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22.428571428571427" style="1" customWidth="1"/>
    <col min="2" max="2" width="63" style="1" customWidth="1"/>
    <col min="3" max="3" width="50.206349033947745" style="1" customWidth="1"/>
    <col min="4" max="4" width="23.714285714285715" style="1" customWidth="1"/>
    <col min="5" max="7" width="15" style="1" customWidth="1"/>
    <col min="8" max="8" width="9.285714285714286" style="1" customWidth="1"/>
    <col min="9" max="12" width="15" style="1" customWidth="1"/>
    <col min="13" max="13" width="18.571428571428573" style="1" customWidth="1"/>
    <col min="14" max="14" width="15" style="1" customWidth="1"/>
    <col min="15" max="15" width="43" style="1" customWidth="1"/>
    <col min="16" max="16" width="15" style="1" customWidth="1"/>
  </cols>
  <sheetData>
    <row r="1" spans="1:16">
      <c r="A1" s="6" t="str">
        <v>业务模块</v>
      </c>
      <c r="B1" s="7" t="str">
        <v>信号名称</v>
      </c>
      <c r="C1" s="7" t="str">
        <v>信号范围</v>
      </c>
      <c r="D1" s="8" t="str">
        <v>输出格式</v>
      </c>
      <c r="E1" s="8" t="str">
        <v>编号</v>
      </c>
      <c r="F1" s="9" t="str">
        <v>服务名称</v>
      </c>
      <c r="G1" s="9" t="str">
        <v>接口名称</v>
      </c>
      <c r="H1" s="9" t="str">
        <v>关联需求</v>
      </c>
      <c r="I1" s="8" t="str">
        <v>依赖项</v>
      </c>
      <c r="J1" s="8" t="str">
        <v>备注</v>
      </c>
      <c r="K1" s="10" t="str">
        <v>优先级</v>
      </c>
      <c r="L1" s="8" t="str">
        <v>需求下发批次</v>
      </c>
      <c r="M1" s="8" t="str">
        <v>接口文档链接
（sdk开发文档链接）</v>
      </c>
      <c r="N1" s="8" t="str">
        <v>接口名称
（API名称）</v>
      </c>
      <c r="O1" s="8" t="str">
        <v>可调时间
（赛力斯研发填写可用于联调的daily版本的时间）</v>
      </c>
      <c r="P1" s="11" t="str">
        <v>需求提出人</v>
      </c>
    </row>
    <row r="2" spans="1:16">
      <c r="A2" s="25" t="str">
        <v>舱外迎宾模块</v>
      </c>
      <c r="B2" s="25" t="str">
        <v>大件物品/怀抱婴儿/行动不便</v>
      </c>
      <c r="C2" s="25" t="inlineStr">
        <is>
          <r>
            <rPr>
              <b/>
              <sz val="10"/>
              <color rgb="FF000000"/>
              <rFont val="Arial"/>
            </rPr>
            <t xml:space="preserve">输出格式
</t>
          </r>
          <r>
            <rPr>
              <sz val="10"/>
              <color rgb="FF000000"/>
              <rFont val="Arial"/>
            </rPr>
            <t xml:space="preserve">回答需要在可选集内挑选进行输出：是否携带显著且体积较大件物品、小物品或者无物品：“大件物品”、“小物品”、“无物品”是否怀抱婴儿：“是”、“否”是否是行动不便的人：“是”、“否”并最终按照“是否有大件物品-是否怀抱婴儿-是否行动不便”三段式格式对数据进行输出。
</t>
          </r>
          <r>
            <rPr>
              <b/>
              <sz val="10"/>
              <color rgb="FF000000"/>
              <rFont val="Arial"/>
            </rPr>
            <t xml:space="preserve">示例
</t>
          </r>
          <r>
            <rPr>
              <sz val="10"/>
              <color rgb="FF000000"/>
              <rFont val="Arial"/>
            </rPr>
            <t>示例一：红色矩形框中的人推着行李箱，输出：大件物品-否-否示例二：红色矩形框中的人看不到携带任何大件物品，并拄着一根拐杖走向车旁，输出：小物品-否-是示例三：红色矩形框的人手中拿着矿泉水瓶，单手抱着孩子，输出：小物品-是-否</t>
          </r>
        </is>
      </c>
      <c r="P2" s="3" t="inlineStr">
        <is>
          <r>
            <t>@李元</t>
          </r>
        </is>
      </c>
    </row>
    <row r="3" spans="1:16">
      <c r="A3" s="25" t="str">
        <v>上下车安全模块</v>
      </c>
      <c r="B3" s="25" t="str">
        <v>发生位置/异常路面/开门障碍</v>
      </c>
      <c r="C3" s="25" t="inlineStr">
        <is>
          <r>
            <rPr>
              <sz val="10"/>
              <color rgb="FF000000"/>
              <rFont val="Arial"/>
            </rPr>
            <t xml:space="preserve">场景：上下车安全
标签: 【位置】-【异常路面】-【障碍物名称】
</t>
          </r>
          <r>
            <rPr>
              <b/>
              <sz val="10"/>
              <color rgb="FF000000"/>
              <rFont val="Arial"/>
            </rPr>
            <t xml:space="preserve">标签示例：
</t>
          </r>
          <r>
            <rPr>
              <sz val="10"/>
              <color rgb="FF000000"/>
              <rFont val="Arial"/>
            </rPr>
            <t xml:space="preserve">1.【前门】-【异常路面】-【泥潭】
2.【前后门】-【开门障碍&amp;异常路面】-【雪糕筒、积水】
3. 无影响</t>
          </r>
        </is>
      </c>
      <c r="P3" s="3" t="inlineStr">
        <is>
          <r>
            <t>@李元</t>
          </r>
        </is>
      </c>
    </row>
    <row r="4" spans="1:16">
      <c r="A4" s="25" t="str">
        <v>舱外元素识别模块-室内外</v>
      </c>
      <c r="B4" s="25" t="str">
        <v>室内 or 室外（可选集：室内 / 室外 / 半露天遮挡室外 / 无法识别）</v>
      </c>
      <c r="C4" s="25" t="inlineStr">
        <is>
          <r>
            <rPr>
              <b/>
              <sz val="10"/>
              <color rgb="FF000000"/>
              <rFont val="Arial"/>
            </rPr>
            <t xml:space="preserve">输出格式
</t>
          </r>
          <r>
            <rPr>
              <sz val="10"/>
              <color rgb="FF000000"/>
              <rFont val="Arial"/>
            </rPr>
            <t xml:space="preserve">请直接输出一个标准的 JSON 对象，JSON 必须严格符合以下结构，其中键值必须且只能是“室内”、“室外”、“半露天遮挡室外”、“无法识别”中的一个： { "环境类型": "字符串" } 
</t>
          </r>
          <r>
            <rPr>
              <b/>
              <sz val="10"/>
              <color rgb="FF000000"/>
              <rFont val="Arial"/>
            </rPr>
            <t xml:space="preserve">标签示例
</t>
          </r>
          <r>
            <rPr>
              <sz val="10"/>
              <color rgb="FF000000"/>
              <rFont val="Arial"/>
            </rPr>
            <t xml:space="preserve">1. { "外界环境": "半露天遮挡室外" } 
2. { "外界环境": "室内" }
3. { "无法识别": "" }</t>
          </r>
        </is>
      </c>
      <c r="P4" s="3" t="inlineStr">
        <is>
          <r>
            <t>@李元</t>
          </r>
        </is>
      </c>
    </row>
    <row r="5" spans="1:16">
      <c r="A5" s="56" t="str">
        <v>舱外元素识别模块-充电桩</v>
      </c>
      <c r="B5" s="56" t="str">
        <v>有无充电桩</v>
      </c>
      <c r="C5" s="56" t="str">
        <v>
</v>
      </c>
      <c r="P5" s="89" t="inlineStr">
        <is>
          <r>
            <t>@李元</t>
          </r>
        </is>
      </c>
    </row>
    <row r="6" spans="1:16">
      <c r="A6" s="25" t="str">
        <v>离车安全/遗落物品模块</v>
      </c>
      <c r="B6" s="25" t="str">
        <v>物品（对象名称）、位置</v>
      </c>
      <c r="C6" s="25" t="inlineStr">
        <is>
          <r>
            <rPr>
              <sz val="10"/>
              <color rgb="FF000000"/>
              <rFont val="Arial"/>
            </rPr>
            <t xml:space="preserve">场景：离车安全/遗落物品
标签: [{“对象名称”：“物品”，“位置”：“区域位置”}] 
</t>
          </r>
          <r>
            <rPr>
              <b/>
              <sz val="10"/>
              <color rgb="FF000000"/>
              <rFont val="Arial"/>
            </rPr>
            <t xml:space="preserve">输出示例
</t>
          </r>
          <r>
            <rPr>
              <sz val="10"/>
              <color rgb="FF000000"/>
              <rFont val="Arial"/>
            </rPr>
            <t xml:space="preserve">[
{"对象名称": "一部手机", "位置": "中控扶手区域"},
{"对象名称": "一只猫", "位置": "主驾后方区域"},
{"对象名称": "一个充电宝", "位置": "主驾区域"}
] </t>
          </r>
        </is>
      </c>
      <c r="P6" s="3" t="inlineStr">
        <is>
          <r>
            <t>@李元</t>
          </r>
        </is>
      </c>
    </row>
    <row r="7" spans="1:16">
      <c r="A7" s="56" t="str">
        <v>停车参照物模块</v>
      </c>
      <c r="B7" s="56" t="str">
        <v>参照物文字描述</v>
      </c>
      <c r="C7" s="56" t="inlineStr">
        <is>
          <r>
            <rPr>
              <b/>
              <sz val="10"/>
              <color rgb="FF000000"/>
              <rFont val="Arial"/>
            </rPr>
            <t xml:space="preserve">输出格式
</t>
          </r>
          <r>
            <rPr>
              <sz val="10"/>
              <color rgb="FF000000"/>
              <rFont val="Arial"/>
            </rPr>
            <t xml:space="preserve">文字描述（暂定）
</t>
          </r>
          <r>
            <rPr>
              <b/>
              <sz val="10"/>
              <color rgb="FF000000"/>
              <rFont val="Arial"/>
            </rPr>
            <t xml:space="preserve">输出示例
</t>
          </r>
          <r>
            <rPr>
              <sz val="10"/>
              <color rgb="FF000000"/>
              <rFont val="Arial"/>
            </rPr>
            <t>自车位于地下停车场的小鹏S4超快充对面，右前上方有一个大大的“X 小鹏S4超快充|开”标牌</t>
          </r>
        </is>
      </c>
      <c r="P7" s="89" t="inlineStr">
        <is>
          <r>
            <t>@李元</t>
          </r>
        </is>
      </c>
    </row>
    <row r="8" spans="1:16">
      <c r="A8" s="25" t="str">
        <v>停车位识别模块</v>
      </c>
      <c r="B8" s="25" t="str">
        <v>车位号信息</v>
      </c>
      <c r="P8" s="3" t="inlineStr">
        <is>
          <r>
            <t>@李元</t>
          </r>
        </is>
      </c>
    </row>
    <row r="9" spans="1:16">
      <c r="A9" s="25" t="str">
        <v>增强哨兵
</v>
      </c>
      <c r="B9" s="25" t="str">
        <v>车辆碰撞、他车开门碰撞车辆、轮胎操作、充电枪操作、打砸车辆、划车、踩踹车辆、倚靠车辆、其他（以上均不是）</v>
      </c>
      <c r="C9" s="25" t="inlineStr">
        <is>
          <r>
            <rPr>
              <b/>
              <sz val="10"/>
              <color rgb="FF000000"/>
              <rFont val="Arial"/>
            </rPr>
            <t xml:space="preserve">输出格式
</t>
          </r>
          <r>
            <rPr>
              <sz val="10"/>
              <color rgb="FF000000"/>
              <rFont val="Arial"/>
            </rPr>
            <t xml:space="preserve">1. 若视频中存在关注的场景动作事件，则输出一共两行， 第一行: "场景动作"的标签列表, 如["事件1", "事件2"]， ["事件1"] 第二行: 简短描述 (20字内) 简短描述是对整个时序事件的概括，例如: "外卖员骑车疑似剐蹭车门"。 
2. 如果视频中只有其它事件，则只输出["其他"]即可，无需描述。
</t>
          </r>
        </is>
      </c>
      <c r="P9" s="3" t="inlineStr">
        <is>
          <r>
            <t>@李元</t>
          </r>
        </is>
      </c>
    </row>
    <row r="10" spans="1:16">
      <c r="A10" s="56" t="str">
        <v>停车寻车模块</v>
      </c>
      <c r="B10" s="56" t="str">
        <v>楼层信息、区域信息</v>
      </c>
      <c r="C10" s="56" t="inlineStr">
        <is>
          <r>
            <rPr>
              <b/>
              <sz val="10"/>
              <color rgb="FF000000"/>
              <rFont val="Arial"/>
            </rPr>
            <t xml:space="preserve">输出格式
</t>
          </r>
          <r>
            <rPr>
              <sz val="10"/>
              <color rgb="FF000000"/>
              <rFont val="Arial"/>
            </rPr>
            <t xml:space="preserve">文字描述（暂定）
</t>
          </r>
          <r>
            <rPr>
              <b/>
              <sz val="10"/>
              <color rgb="FF000000"/>
              <rFont val="Arial"/>
            </rPr>
            <t xml:space="preserve">输出示例
</t>
          </r>
          <r>
            <rPr>
              <sz val="10"/>
              <color rgb="FF000000"/>
              <rFont val="Arial"/>
            </rPr>
            <t xml:space="preserve">B2-C
</t>
          </r>
        </is>
      </c>
      <c r="P10" s="89" t="inlineStr">
        <is>
          <r>
            <t>@李元</t>
          </r>
        </is>
      </c>
    </row>
    <row r="11" spans="1:16">
      <c r="A11" s="56" t="str">
        <v>天气保护模块</v>
      </c>
      <c r="B11" s="56" t="str">
        <v>天气情况：下雨 / 下雪 / 浓雾；道路情况：路面湿滑 / 路面覆雪结冰</v>
      </c>
      <c r="C11" s="56" t="inlineStr">
        <is>
          <r>
            <rPr>
              <b/>
              <sz val="10"/>
              <color rgb="FF000000"/>
              <rFont val="Arial"/>
            </rPr>
            <t xml:space="preserve">输出格式
</t>
          </r>
          <r>
            <rPr>
              <sz val="10"/>
              <color rgb="FF000000"/>
              <rFont val="Arial"/>
            </rPr>
            <t xml:space="preserve">文字描述（暂定）
</t>
          </r>
          <r>
            <rPr>
              <b/>
              <sz val="10"/>
              <color rgb="FF000000"/>
              <rFont val="Arial"/>
            </rPr>
            <t xml:space="preserve">输出示例
</t>
          </r>
          <r>
            <rPr>
              <sz val="10"/>
              <color rgb="FF000000"/>
              <rFont val="Arial"/>
            </rPr>
            <t>{"weather_condition": ["下雪", "浓雾"], "road_condition": "路面覆雪结冰"}</t>
          </r>
        </is>
      </c>
      <c r="P11" s="89" t="inlineStr">
        <is>
          <r>
            <t>@李元</t>
          </r>
        </is>
      </c>
    </row>
    <row r="12" spans="1:16">
      <c r="A12" s="56" t="str">
        <v>舱内AlwaysOn - 静态</v>
      </c>
      <c r="B12" s="56" t="str">
        <v>乘客列表（位置 / 性别 / 年龄）；物品和动物列表；不安全因素及描述</v>
      </c>
      <c r="C12" s="56" t="inlineStr">
        <is>
          <r>
            <rPr>
              <b/>
              <sz val="10"/>
              <color rgb="FF000000"/>
              <rFont val="Arial"/>
            </rPr>
            <t xml:space="preserve">输出格式
</t>
          </r>
          <r>
            <rPr>
              <sz val="10"/>
              <color rgb="FF000000"/>
              <rFont val="Arial"/>
            </rPr>
            <t xml:space="preserve">文字描述（暂定）
</t>
          </r>
          <r>
            <rPr>
              <b/>
              <sz val="10"/>
              <color rgb="FF000000"/>
              <rFont val="Arial"/>
            </rPr>
            <t xml:space="preserve">输出示例
</t>
          </r>
          <r>
            <rPr>
              <sz val="10"/>
              <color rgb="FF000000"/>
              <rFont val="Arial"/>
            </rPr>
            <t>{"乘客列表": [{"位置": "主驾区域", "性别": "女", "年龄": "青中年"}, {"位置": "后方正中区域", "性别": "男", "年龄": "婴儿"}], "物品和动物列表": [], "不安全因素": "儿童座椅安装位置隐患", "不安全因素描述": "儿童安全座椅安装在二排中间位置"}</t>
          </r>
        </is>
      </c>
      <c r="P12" s="89" t="inlineStr">
        <is>
          <r>
            <t>@李元</t>
          </r>
        </is>
      </c>
    </row>
    <row r="13" spans="1:16">
      <c r="A13" s="56" t="str">
        <v>舱内AlwaysOn - 动态</v>
      </c>
      <c r="B13" s="56" t="str">
        <v>乘客列表（位置 / 属性描述 / 睡眠 / 打电话 / 不安全因素及描述）</v>
      </c>
      <c r="C13" s="56" t="inlineStr">
        <is>
          <r>
            <rPr>
              <b/>
              <sz val="10"/>
              <color rgb="FF000000"/>
              <rFont val="Arial"/>
            </rPr>
            <t xml:space="preserve">输出格式
</t>
          </r>
          <r>
            <rPr>
              <sz val="10"/>
              <color rgb="FF000000"/>
              <rFont val="Arial"/>
            </rPr>
            <t xml:space="preserve">文字描述（暂定）
</t>
          </r>
          <r>
            <rPr>
              <b/>
              <sz val="10"/>
              <color rgb="FF000000"/>
              <rFont val="Arial"/>
            </rPr>
            <t xml:space="preserve">输出示例
</t>
          </r>
          <r>
            <rPr>
              <sz val="10"/>
              <color rgb="FF000000"/>
              <rFont val="Arial"/>
            </rPr>
            <t>{"乘客列表": [{"位置": "主驾区域", "属性描述": "手握方向盘，目视前方", "睡眠": "否", "打电话": "否", "不安全因素": "正常", "不安全因素描述": ""}, {"位置": "后方正中区域", "属性描述": "坐在安全座椅，左手放嘴边", "睡眠": "否", "打电话": "否", "不安全因素": "正常", "不安全因素描述": ""}]}</t>
          </r>
        </is>
      </c>
      <c r="P13" s="89" t="inlineStr">
        <is>
          <r>
            <t>@李元</t>
          </r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8.714285714285714" style="1" customWidth="1"/>
    <col min="3" max="3" width="21.714285714285715" style="1" customWidth="1"/>
    <col min="4" max="4" width="28.714285714285715" style="1" customWidth="1"/>
    <col min="5" max="5" width="27.285714285714285" style="1" customWidth="1"/>
    <col min="6" max="6" width="46.42857142857143" style="1" customWidth="1"/>
    <col min="7" max="7" width="17.178571428571413" style="1" customWidth="1"/>
    <col min="8" max="8" width="39.285714285714285" style="1" customWidth="1"/>
    <col min="9" max="9" width="77.71428571428571" style="1" customWidth="1"/>
    <col min="10" max="10" width="62.42857142857143" style="1" customWidth="1"/>
    <col min="11" max="11" width="15.117460317460266" style="1" customWidth="1"/>
    <col min="12" max="12" width="15.815873015872967" style="1" customWidth="1"/>
    <col min="13" max="13" width="13.069841269841229" style="1" customWidth="1"/>
    <col min="14" max="14" width="11.285714285714286" style="1" customWidth="1"/>
    <col min="15" max="15" width="15" style="1" customWidth="1"/>
    <col min="16" max="16" width="49.42857142857143" style="1" customWidth="1"/>
  </cols>
  <sheetData>
    <row r="1" spans="1:16">
      <c r="A1" s="90" t="str">
        <v>一级</v>
      </c>
      <c r="B1" s="90" t="str">
        <v>二级</v>
      </c>
      <c r="C1" s="90" t="str">
        <v>三级</v>
      </c>
      <c r="D1" s="90" t="str">
        <v>事件名称【唯一标识】</v>
      </c>
      <c r="E1" s="90" t="str">
        <v>事件名称（中文）</v>
      </c>
      <c r="F1" s="90" t="str">
        <v>事件说明</v>
      </c>
      <c r="G1" s="90" t="str">
        <v>事件字段(event_value)</v>
      </c>
      <c r="H1" s="90" t="str">
        <v>字段解释</v>
      </c>
      <c r="I1" s="90" t="str">
        <v>自然语言拼接【规则】</v>
      </c>
      <c r="J1" s="90" t="str">
        <v>事件示例</v>
      </c>
      <c r="K1" s="90" t="str">
        <v>SLS校对情况</v>
      </c>
      <c r="L1" s="90" t="str">
        <v>ZJ校对情况</v>
      </c>
      <c r="M1" s="90" t="str">
        <v>优先级</v>
      </c>
      <c r="N1" s="90" t="str">
        <v>输出版本</v>
      </c>
      <c r="O1" s="90" t="str">
        <v>输出版本日期</v>
      </c>
      <c r="P1" s="90" t="str">
        <v>备注</v>
      </c>
    </row>
    <row r="2" spans="1:16">
      <c r="A2" s="3" t="str">
        <v>人车交互</v>
      </c>
      <c r="B2" s="25" t="str">
        <v>多媒体</v>
      </c>
      <c r="C2" s="91" t="str">
        <v>播放控制</v>
      </c>
      <c r="D2" s="91" t="str">
        <v>media_play_ctrl</v>
      </c>
      <c r="E2" s="92">
        <f>B2&amp;C2</f>
      </c>
      <c r="F2" s="93" t="str">
        <v>用户点击切换播放状态，仅变化时记录</v>
      </c>
      <c r="G2" s="91" t="str">
        <v>operation</v>
      </c>
      <c r="H2" s="3" t="str">
        <v>播放、暂停</v>
      </c>
      <c r="I2" s="3">
        <f>"用户UseId在 {"&amp;G3&amp;"} 上 {"&amp;G2&amp;"} 了 《"&amp;G4&amp;"》, 总时长{"&amp;G5&amp;"}秒"</f>
      </c>
      <c r="J2" s="3" t="str">
        <v>1.用户23312在汽水音乐上播放了《夜曲》,总时长120s
2.用户23312在哔哩哔哩上暂停了《C++教程》,总时长320s
3.用户23312在喜马拉雅上播放了《鬼吹灯》,总时长620s</v>
      </c>
      <c r="M2" s="3" t="str">
        <v>P0</v>
      </c>
      <c r="N2" s="3" t="str">
        <v>V1</v>
      </c>
      <c r="O2" s="94">
        <v>46188</v>
      </c>
      <c r="P2" s="3" t="str">
        <v>用户后面添加对应UserId，可以通过他找到对应的用户信息</v>
      </c>
    </row>
    <row r="3" spans="7:16">
      <c r="G3" s="25" t="str">
        <v>source</v>
      </c>
      <c r="H3" s="3" t="str">
        <v>QQ音乐、汽水音乐、网易云音乐、喜马拉雅、
小宇宙、爱奇艺、芒果TV、哔哩哔哩</v>
      </c>
      <c r="I3" s="3"/>
      <c r="J3" s="3"/>
      <c r="M3" s="3" t="str">
        <v>P0</v>
      </c>
      <c r="N3" s="3" t="str">
        <v>V1</v>
      </c>
      <c r="O3" s="94">
        <v>46188</v>
      </c>
      <c r="P3" s="3" t="str">
        <v>用户后面添加对应UserId，可以通过他找到对应的用户信息</v>
      </c>
    </row>
    <row r="4" spans="7:16">
      <c r="G4" s="3" t="str">
        <v>media_name</v>
      </c>
      <c r="H4" s="3" t="str">
        <v>歌曲名字、视频的名字</v>
      </c>
      <c r="I4" s="3"/>
      <c r="J4" s="3"/>
      <c r="M4" s="3" t="str">
        <v>P0</v>
      </c>
      <c r="N4" s="3" t="str">
        <v>V1</v>
      </c>
      <c r="O4" s="94">
        <v>46188</v>
      </c>
      <c r="P4" s="3" t="str">
        <v>用户后面添加对应UserId，可以通过他找到对应的用户信息</v>
      </c>
    </row>
    <row r="5" spans="7:16">
      <c r="G5" s="3" t="str">
        <v>duration</v>
      </c>
      <c r="H5" s="3" t="str">
        <v>歌曲、视频时长（单位s）</v>
      </c>
      <c r="I5" s="3"/>
      <c r="J5" s="3"/>
      <c r="M5" s="3" t="str">
        <v>P0</v>
      </c>
      <c r="N5" s="3" t="str">
        <v>V1</v>
      </c>
      <c r="O5" s="94">
        <v>46188</v>
      </c>
      <c r="P5" s="3" t="str">
        <v>用户后面添加对应UserId，可以通过他找到对应的用户信息</v>
      </c>
    </row>
    <row r="6" spans="1:16">
      <c r="A6" s="3" t="str">
        <v>人车交互</v>
      </c>
      <c r="B6" s="25" t="str">
        <v>多媒体</v>
      </c>
      <c r="C6" s="91" t="str">
        <v>资源切换</v>
      </c>
      <c r="D6" s="25" t="str">
        <v>media_src_switch</v>
      </c>
      <c r="E6" s="92">
        <f>B6&amp;C6</f>
      </c>
      <c r="F6" s="93" t="str">
        <v>用户点击切换媒体资源，仅变化时记录</v>
      </c>
      <c r="G6" s="91" t="str">
        <v>operation</v>
      </c>
      <c r="H6" s="25" t="str">
        <v>上一首、下一首、手动操作</v>
      </c>
      <c r="I6" s="3">
        <f>"用户UseId在 {"&amp;G7&amp;"} 上 {"&amp;G6&amp;"} 选中了 《"&amp;G8&amp;"》, 总时长{"&amp;G9&amp;"}秒"</f>
      </c>
      <c r="J6" s="25" t="str">
        <v>1.用户23312在QQ音乐上下一首选中了《晴天》,总时长120s
2.用户23312在网易云音乐上手动操作选中了《消愁》,总时长300s</v>
      </c>
      <c r="M6" s="3" t="str">
        <v>P0</v>
      </c>
      <c r="N6" s="3" t="str">
        <v>V1</v>
      </c>
      <c r="O6" s="94">
        <v>46188</v>
      </c>
      <c r="P6" s="3" t="str">
        <v>用户后面添加对应UserId，可以通过他找到对应的用户信息</v>
      </c>
    </row>
    <row r="7" spans="7:16">
      <c r="G7" s="25" t="str">
        <v>source</v>
      </c>
      <c r="H7" s="3" t="str">
        <v>QQ音乐、汽水音乐、网易云音乐、喜马拉雅、
小宇宙、爱奇艺、芒果TV、哔哩哔哩</v>
      </c>
      <c r="I7" s="3"/>
      <c r="J7" s="25"/>
      <c r="M7" s="3" t="str">
        <v>P0</v>
      </c>
      <c r="N7" s="3" t="str">
        <v>V1</v>
      </c>
      <c r="O7" s="94">
        <v>46188</v>
      </c>
      <c r="P7" s="3" t="str">
        <v>用户后面添加对应UserId，可以通过他找到对应的用户信息</v>
      </c>
    </row>
    <row r="8" spans="7:16">
      <c r="G8" s="3" t="str">
        <v>media_name</v>
      </c>
      <c r="H8" s="3" t="str">
        <v>歌曲名字、视频的名字</v>
      </c>
      <c r="I8" s="3"/>
      <c r="J8" s="25"/>
      <c r="M8" s="3" t="str">
        <v>P0</v>
      </c>
      <c r="N8" s="3" t="str">
        <v>V1</v>
      </c>
      <c r="O8" s="94">
        <v>46188</v>
      </c>
      <c r="P8" s="3" t="str">
        <v>用户后面添加对应UserId，可以通过他找到对应的用户信息</v>
      </c>
    </row>
    <row r="9" spans="7:16">
      <c r="G9" s="3" t="str">
        <v>duration</v>
      </c>
      <c r="H9" s="3" t="str">
        <v>歌曲、视频时长（单位s）</v>
      </c>
      <c r="I9" s="3"/>
      <c r="J9" s="25"/>
      <c r="M9" s="3" t="str">
        <v>P0</v>
      </c>
      <c r="N9" s="3" t="str">
        <v>V1</v>
      </c>
      <c r="O9" s="94">
        <v>46188</v>
      </c>
      <c r="P9" s="3" t="str">
        <v>用户后面添加对应UserId，可以通过他找到对应的用户信息</v>
      </c>
    </row>
    <row r="10" spans="1:16">
      <c r="A10" s="3" t="str">
        <v>人车交互</v>
      </c>
      <c r="B10" s="25" t="str">
        <v>多媒体</v>
      </c>
      <c r="C10" s="91" t="str">
        <v>播放进度条控制</v>
      </c>
      <c r="D10" s="3" t="str">
        <v>media_seek_progress</v>
      </c>
      <c r="E10" s="92">
        <f>B10&amp;C10</f>
      </c>
      <c r="F10" s="93" t="str">
        <v>用户拖拽或点击进度条至指定时刻，仅变化时记录</v>
      </c>
      <c r="G10" s="3" t="str">
        <v>seek_time</v>
      </c>
      <c r="H10" s="3" t="str">
        <v>指定时刻（如第5秒、1分30秒）</v>
      </c>
      <c r="I10" s="3">
        <f>"用户UseId在 {"&amp;G11&amp;"} 上将《{"&amp;G12&amp;"}》的播放进度跳转到{"&amp;G10&amp;"}，总时长{"&amp;G13&amp;"}秒"</f>
      </c>
      <c r="J10" s="3" t="str">
        <v>1. 用户23312在QQ音乐上将《夜曲》的播放进度跳转到35秒，总时长120s
2. 用户23312在喜马拉雅上将《鬼吹灯》的播放进度跳转到1分30秒，总时长520s</v>
      </c>
      <c r="M10" s="3" t="str">
        <v>P0</v>
      </c>
      <c r="N10" s="3" t="str">
        <v>V1</v>
      </c>
      <c r="O10" s="94">
        <v>46188</v>
      </c>
      <c r="P10" s="3" t="str">
        <v>用户后面添加对应UserId，可以通过他找到对应的用户信息</v>
      </c>
    </row>
    <row r="11" spans="7:16">
      <c r="G11" s="25" t="str">
        <v>source</v>
      </c>
      <c r="H11" s="3" t="str">
        <v>QQ音乐、汽水音乐、网易云音乐、喜马拉雅、
小宇宙、爱奇艺、芒果TV、哔哩哔哩</v>
      </c>
      <c r="I11" s="3"/>
      <c r="J11" s="3"/>
      <c r="M11" s="3" t="str">
        <v>P0</v>
      </c>
      <c r="N11" s="3" t="str">
        <v>V1</v>
      </c>
      <c r="O11" s="94">
        <v>46188</v>
      </c>
      <c r="P11" s="3" t="str">
        <v>用户后面添加对应UserId，可以通过他找到对应的用户信息</v>
      </c>
    </row>
    <row r="12" spans="7:16">
      <c r="G12" s="3" t="str">
        <v>media_name</v>
      </c>
      <c r="H12" s="3" t="str">
        <v>歌曲名字、视频的名字</v>
      </c>
      <c r="I12" s="3"/>
      <c r="J12" s="3"/>
      <c r="M12" s="3" t="str">
        <v>P0</v>
      </c>
      <c r="N12" s="3" t="str">
        <v>V1</v>
      </c>
      <c r="O12" s="94">
        <v>46188</v>
      </c>
      <c r="P12" s="3" t="str">
        <v>用户后面添加对应UserId，可以通过他找到对应的用户信息</v>
      </c>
    </row>
    <row r="13" spans="7:16">
      <c r="G13" s="3" t="str">
        <v>duration</v>
      </c>
      <c r="H13" s="3" t="str">
        <v>歌曲、视频时长（单位s）</v>
      </c>
      <c r="I13" s="3"/>
      <c r="J13" s="3"/>
      <c r="M13" s="3" t="str">
        <v>P0</v>
      </c>
      <c r="N13" s="3" t="str">
        <v>V1</v>
      </c>
      <c r="O13" s="94">
        <v>46188</v>
      </c>
      <c r="P13" s="3" t="str">
        <v>用户后面添加对应UserId，可以通过他找到对应的用户信息</v>
      </c>
    </row>
    <row r="14" spans="1:16">
      <c r="A14" s="3" t="str">
        <v>人车交互</v>
      </c>
      <c r="B14" s="25" t="str">
        <v>多媒体</v>
      </c>
      <c r="C14" s="3" t="str">
        <v>收藏操作</v>
      </c>
      <c r="D14" s="3" t="str">
        <v>media_favorite</v>
      </c>
      <c r="E14" s="92">
        <f>B14&amp;C14</f>
      </c>
      <c r="F14" s="91" t="str">
        <v>用户收藏或取消收藏媒体资源，仅变化时记录</v>
      </c>
      <c r="G14" s="91" t="str">
        <v>operation</v>
      </c>
      <c r="H14" s="3" t="str">
        <v>收藏、取消收藏</v>
      </c>
      <c r="I14" s="3">
        <f>"用户UseId在 {"&amp;G15&amp;"} 上 {"&amp;G14&amp;"}了《{"&amp;G16&amp;"}》"</f>
      </c>
      <c r="J14" s="3" t="str">
        <v>1.用户23312在QQ音乐上收藏了《夜曲》
2.用户23312在喜马拉雅上取消收藏了《鬼吹灯》</v>
      </c>
      <c r="M14" s="3" t="str">
        <v>P0</v>
      </c>
      <c r="N14" s="3" t="str">
        <v>V1</v>
      </c>
      <c r="O14" s="94">
        <v>46188</v>
      </c>
      <c r="P14" s="3" t="str">
        <v>用户后面添加对应UserId，可以通过他找到对应的用户信息</v>
      </c>
    </row>
    <row r="15" spans="7:16">
      <c r="G15" s="25" t="str">
        <v>source</v>
      </c>
      <c r="H15" s="3" t="str">
        <v>QQ音乐、汽水音乐、网易云音乐、喜马拉雅、
小宇宙、爱奇艺、芒果TV、哔哩哔哩</v>
      </c>
      <c r="I15" s="3"/>
      <c r="J15" s="3"/>
      <c r="M15" s="3" t="str">
        <v>P0</v>
      </c>
      <c r="N15" s="3" t="str">
        <v>V1</v>
      </c>
      <c r="O15" s="94">
        <v>46188</v>
      </c>
      <c r="P15" s="3" t="str">
        <v>用户后面添加对应UserId，可以通过他找到对应的用户信息</v>
      </c>
    </row>
    <row r="16" spans="7:16">
      <c r="G16" s="3" t="str">
        <v>media_name</v>
      </c>
      <c r="H16" s="3" t="str">
        <v>歌曲名字、视频的名字</v>
      </c>
      <c r="I16" s="3"/>
      <c r="J16" s="3"/>
      <c r="M16" s="3" t="str">
        <v>P0</v>
      </c>
      <c r="N16" s="3" t="str">
        <v>V1</v>
      </c>
      <c r="O16" s="94">
        <v>46188</v>
      </c>
      <c r="P16" s="3" t="str">
        <v>用户后面添加对应UserId，可以通过他找到对应的用户信息</v>
      </c>
    </row>
    <row r="17" spans="1:16">
      <c r="A17" s="3" t="str">
        <v>人车交互</v>
      </c>
      <c r="B17" s="25" t="str">
        <v>多媒体</v>
      </c>
      <c r="C17" s="3" t="str">
        <v>点赞操作</v>
      </c>
      <c r="D17" s="3" t="str">
        <v>media_like</v>
      </c>
      <c r="E17" s="92">
        <f>B17&amp;C17</f>
      </c>
      <c r="F17" s="3" t="str">
        <v>用户点赞或取消点赞媒体资源，仅变化时记录</v>
      </c>
      <c r="G17" s="91" t="str">
        <v>operation</v>
      </c>
      <c r="H17" s="3" t="str">
        <v>点赞、取消点赞</v>
      </c>
      <c r="I17" s="3">
        <f>"用户UseId在 {"&amp;G18&amp;"} 上 {"&amp;G17&amp;"}了《{"&amp;G19&amp;"}》"</f>
      </c>
      <c r="J17" s="3" t="str">
        <v>1.用户23312在QQ音乐上点赞了《夜曲》
2.用户23312在喜马拉雅上取消点赞了《鬼吹灯》</v>
      </c>
      <c r="M17" s="3" t="str">
        <v>P0</v>
      </c>
      <c r="N17" s="3" t="str">
        <v>V1</v>
      </c>
      <c r="O17" s="94">
        <v>46188</v>
      </c>
      <c r="P17" s="3" t="str">
        <v>用户后面添加对应UserId，可以通过他找到对应的用户信息</v>
      </c>
    </row>
    <row r="18" spans="7:16">
      <c r="G18" s="25" t="str">
        <v>source</v>
      </c>
      <c r="H18" s="3" t="str">
        <v>QQ音乐、汽水音乐、网易云音乐、喜马拉雅、
小宇宙、爱奇艺、芒果TV、哔哩哔哩</v>
      </c>
      <c r="I18" s="3"/>
      <c r="J18" s="3"/>
      <c r="M18" s="3" t="str">
        <v>P0</v>
      </c>
      <c r="N18" s="3" t="str">
        <v>V1</v>
      </c>
      <c r="O18" s="94">
        <v>46188</v>
      </c>
      <c r="P18" s="3" t="str">
        <v>用户后面添加对应UserId，可以通过他找到对应的用户信息</v>
      </c>
    </row>
    <row r="19" spans="7:16">
      <c r="G19" s="3" t="str">
        <v>media_name</v>
      </c>
      <c r="H19" s="3" t="str">
        <v>歌曲名字、视频的名字</v>
      </c>
      <c r="I19" s="3"/>
      <c r="J19" s="3"/>
      <c r="M19" s="3" t="str">
        <v>P0</v>
      </c>
      <c r="N19" s="3" t="str">
        <v>V1</v>
      </c>
      <c r="O19" s="94">
        <v>46188</v>
      </c>
      <c r="P19" s="3" t="str">
        <v>用户后面添加对应UserId，可以通过他找到对应的用户信息</v>
      </c>
    </row>
    <row r="20" spans="1:16">
      <c r="A20" s="3" t="str">
        <v>人车交互</v>
      </c>
      <c r="B20" s="25" t="str">
        <v>多媒体</v>
      </c>
      <c r="C20" s="3" t="str">
        <v>播放列表开关</v>
      </c>
      <c r="D20" s="3" t="str">
        <v>media_playlist_ctrl</v>
      </c>
      <c r="E20" s="92">
        <f>B20&amp;C20</f>
      </c>
      <c r="F20" s="3" t="str">
        <v>用户打开或关闭播放列表，仅变化时记录</v>
      </c>
      <c r="G20" s="91" t="str">
        <v>operation</v>
      </c>
      <c r="H20" s="3" t="str">
        <v>打开、关闭</v>
      </c>
      <c r="I20" s="3">
        <f>"用户UseId在 {"&amp;G21&amp;"} 上{"&amp;G20&amp;"}了当前播放列表"</f>
      </c>
      <c r="J20" s="3" t="str">
        <v>1.用户23312在QQ音乐上打开了当前播放列表
2.用户23312在喜马拉雅上关闭了当前播放列表</v>
      </c>
      <c r="M20" s="3" t="str">
        <v>P0</v>
      </c>
      <c r="N20" s="3" t="str">
        <v>V1</v>
      </c>
      <c r="O20" s="94">
        <v>46188</v>
      </c>
      <c r="P20" s="3" t="str">
        <v>用户后面添加对应UserId，可以通过他找到对应的用户信息</v>
      </c>
    </row>
    <row r="21" spans="7:16">
      <c r="G21" s="25" t="str">
        <v>source</v>
      </c>
      <c r="H21" s="3" t="str">
        <v>QQ音乐、汽水音乐、网易云音乐、喜马拉雅、
小宇宙、爱奇艺、芒果TV、哔哩哔哩</v>
      </c>
      <c r="I21" s="3"/>
      <c r="J21" s="3"/>
      <c r="M21" s="3" t="str">
        <v>P0</v>
      </c>
      <c r="N21" s="3" t="str">
        <v>V1</v>
      </c>
      <c r="O21" s="94">
        <v>46188</v>
      </c>
      <c r="P21" s="3" t="str">
        <v>用户后面添加对应UserId，可以通过他找到对应的用户信息</v>
      </c>
    </row>
    <row r="22" spans="1:16">
      <c r="A22" s="3" t="str">
        <v>人车交互</v>
      </c>
      <c r="B22" s="25" t="str">
        <v>多媒体</v>
      </c>
      <c r="C22" s="3" t="str">
        <v>选中播放列表项播放</v>
      </c>
      <c r="D22" s="3" t="str">
        <v>media_playlist_by_selected</v>
      </c>
      <c r="E22" s="92">
        <f>B22&amp;C22</f>
      </c>
      <c r="F22" s="3" t="str">
        <v>用户点击播放列表的某一项进行播放，
仅变化时记录</v>
      </c>
      <c r="G22" s="25" t="str">
        <v>source</v>
      </c>
      <c r="H22" s="3" t="str">
        <v>QQ音乐、汽水音乐、网易云音乐、喜马拉雅、
小宇宙、爱奇艺、芒果TV、哔哩哔哩</v>
      </c>
      <c r="I22" s="3">
        <f>"用户UseId在 {"&amp;G22&amp;"} 上选择播放列表播放了《{"&amp;G23&amp;"}》"</f>
      </c>
      <c r="J22" s="3" t="str">
        <v>1.用户23312在QQ音乐上选择播放列表播放了《夜曲》
2.用户23312在喜马拉雅上选择播放列表播放了《鬼吹灯》</v>
      </c>
      <c r="M22" s="3" t="str">
        <v>P0</v>
      </c>
      <c r="N22" s="3" t="str">
        <v>V1</v>
      </c>
      <c r="O22" s="94">
        <v>46188</v>
      </c>
      <c r="P22" s="3" t="str">
        <v>用户后面添加对应UserId，可以通过他找到对应的用户信息</v>
      </c>
    </row>
    <row r="23" spans="7:16">
      <c r="G23" s="3" t="str">
        <v>media_name</v>
      </c>
      <c r="H23" s="3" t="str">
        <v>歌曲名字、视频的名字</v>
      </c>
      <c r="I23" s="3"/>
      <c r="J23" s="3"/>
      <c r="M23" s="3" t="str">
        <v>P0</v>
      </c>
      <c r="N23" s="3" t="str">
        <v>V1</v>
      </c>
      <c r="O23" s="94">
        <v>46188</v>
      </c>
      <c r="P23" s="3" t="str">
        <v>用户后面添加对应UserId，可以通过他找到对应的用户信息</v>
      </c>
    </row>
    <row r="24" spans="1:16">
      <c r="A24" s="3" t="str">
        <v>人车交互</v>
      </c>
      <c r="B24" s="25" t="str">
        <v>多媒体</v>
      </c>
      <c r="C24" s="3" t="str">
        <v>历史播放列表开关</v>
      </c>
      <c r="D24" s="3" t="str">
        <v>media_history_playlist_ctrl</v>
      </c>
      <c r="E24" s="92">
        <f>B24&amp;C24</f>
      </c>
      <c r="F24" s="3" t="str">
        <v>用户打开或关闭历史播放列表，仅变化时记录</v>
      </c>
      <c r="G24" s="91" t="str">
        <v>operation</v>
      </c>
      <c r="H24" s="3" t="str">
        <v>打开、关闭</v>
      </c>
      <c r="I24" s="3">
        <f>"用户UseId在 {"&amp;G25&amp;"} 上{"&amp;G24&amp;"}了历史播放列表"</f>
      </c>
      <c r="J24" s="3" t="str">
        <v>1.用户23312在QQ音乐上打开了当前播放列表
2.用户23312在喜马拉雅上关闭了当前播放列表</v>
      </c>
      <c r="M24" s="3" t="str">
        <v>P0</v>
      </c>
      <c r="N24" s="3" t="str">
        <v>V1</v>
      </c>
      <c r="O24" s="94">
        <v>46188</v>
      </c>
      <c r="P24" s="3" t="str">
        <v>用户后面添加对应UserId，可以通过他找到对应的用户信息</v>
      </c>
    </row>
    <row r="25" spans="7:16">
      <c r="G25" s="25" t="str">
        <v>source</v>
      </c>
      <c r="H25" s="3" t="str">
        <v>QQ音乐、汽水音乐、网易云音乐、喜马拉雅、
小宇宙、爱奇艺、芒果TV、哔哩哔哩</v>
      </c>
      <c r="I25" s="3"/>
      <c r="J25" s="3"/>
      <c r="M25" s="3" t="str">
        <v>P0</v>
      </c>
      <c r="N25" s="3" t="str">
        <v>V1</v>
      </c>
      <c r="O25" s="94">
        <v>46188</v>
      </c>
      <c r="P25" s="3" t="str">
        <v>用户后面添加对应UserId，可以通过他找到对应的用户信息</v>
      </c>
    </row>
    <row r="26" spans="1:16">
      <c r="A26" s="3" t="str">
        <v>人车交互</v>
      </c>
      <c r="B26" s="25" t="str">
        <v>多媒体</v>
      </c>
      <c r="C26" s="3" t="str">
        <v>选中历史播放列表项播放</v>
      </c>
      <c r="D26" s="3" t="str">
        <v>media_history_playlist_by_selected</v>
      </c>
      <c r="E26" s="92">
        <f>B26&amp;C26</f>
      </c>
      <c r="F26" s="3" t="str">
        <v>用户点击历史播放列表某一项进行播放，仅变化时记录</v>
      </c>
      <c r="G26" s="25" t="str">
        <v>source</v>
      </c>
      <c r="H26" s="3" t="str">
        <v>QQ音乐、汽水音乐、网易云音乐、喜马拉雅、
小宇宙、爱奇艺、芒果TV、哔哩哔哩</v>
      </c>
      <c r="I26" s="3">
        <f>"用户UseId在 {"&amp;G26&amp;"} 上选择历史播放列表播放了《{"&amp;G27&amp;"}》"</f>
      </c>
      <c r="J26" s="3" t="str">
        <v>1.用户23312在QQ音乐上选择历史播放列表播放了《夜曲》
2.用户23312在喜马拉雅上选择历史播放列表播放了《鬼吹灯》</v>
      </c>
      <c r="M26" s="3" t="str">
        <v>P0</v>
      </c>
      <c r="N26" s="3" t="str">
        <v>V1</v>
      </c>
      <c r="O26" s="94">
        <v>46188</v>
      </c>
      <c r="P26" s="3" t="str">
        <v>用户后面添加对应UserId，可以通过他找到对应的用户信息</v>
      </c>
    </row>
    <row r="27" spans="7:16">
      <c r="G27" s="3" t="str">
        <v>media_name</v>
      </c>
      <c r="H27" s="3" t="str">
        <v>歌曲名字、视频的名字</v>
      </c>
      <c r="I27" s="3"/>
      <c r="J27" s="3"/>
      <c r="M27" s="3" t="str">
        <v>P0</v>
      </c>
      <c r="N27" s="3" t="str">
        <v>V1</v>
      </c>
      <c r="O27" s="94">
        <v>46188</v>
      </c>
      <c r="P27" s="3" t="str">
        <v>用户后面添加对应UserId，可以通过他找到对应的用户信息</v>
      </c>
    </row>
    <row r="28" spans="1:16">
      <c r="A28" s="3" t="str">
        <v>人车交互</v>
      </c>
      <c r="B28" s="25" t="str">
        <v>多媒体</v>
      </c>
      <c r="C28" s="3" t="str">
        <v>收藏播放列表开关</v>
      </c>
      <c r="D28" s="3" t="str">
        <v>media_favorite_playlist_ctrl</v>
      </c>
      <c r="E28" s="92">
        <f>B28&amp;C28</f>
      </c>
      <c r="F28" s="3" t="str">
        <v>用户打开或关闭收藏播放列表，仅变化时记录</v>
      </c>
      <c r="G28" s="91" t="str">
        <v>operation</v>
      </c>
      <c r="H28" s="3" t="str">
        <v>打开、关闭</v>
      </c>
      <c r="I28" s="3" t="str">
        <v>用户UseId在 {source} 上{operation}了收藏播放列表</v>
      </c>
      <c r="J28" s="3" t="str">
        <v>1.用户23312在QQ音乐上打开了当前播放列表
2.用户23312在喜马拉雅上关闭了当前播放列表</v>
      </c>
      <c r="M28" s="3" t="str">
        <v>P0</v>
      </c>
      <c r="N28" s="3" t="str">
        <v>V1</v>
      </c>
      <c r="O28" s="94">
        <v>46188</v>
      </c>
      <c r="P28" s="3" t="str">
        <v>用户后面添加对应UserId，可以通过他找到对应的用户信息</v>
      </c>
    </row>
    <row r="29" spans="7:16">
      <c r="G29" s="25" t="str">
        <v>source</v>
      </c>
      <c r="H29" s="3" t="str">
        <v>QQ音乐、汽水音乐、网易云音乐、喜马拉雅、
小宇宙、爱奇艺、芒果TV、哔哩哔哩</v>
      </c>
      <c r="I29" s="3"/>
      <c r="J29" s="3"/>
      <c r="M29" s="3" t="str">
        <v>P0</v>
      </c>
      <c r="N29" s="3" t="str">
        <v>V1</v>
      </c>
      <c r="O29" s="94">
        <v>46188</v>
      </c>
      <c r="P29" s="3" t="str">
        <v>用户后面添加对应UserId，可以通过他找到对应的用户信息</v>
      </c>
    </row>
    <row r="30" spans="1:16">
      <c r="A30" s="3" t="str">
        <v>人车交互</v>
      </c>
      <c r="B30" s="25" t="str">
        <v>多媒体</v>
      </c>
      <c r="C30" s="3" t="str">
        <v>选中收藏播放列表项播放</v>
      </c>
      <c r="D30" s="3" t="str">
        <v>media_favorite_playlist_by_selected</v>
      </c>
      <c r="E30" s="92">
        <f>B30&amp;C30</f>
      </c>
      <c r="F30" s="3" t="str">
        <v>用户点击收藏播放列表某一项进行播放，仅变化时记录</v>
      </c>
      <c r="G30" s="25" t="str">
        <v>source</v>
      </c>
      <c r="H30" s="3" t="str">
        <v>QQ音乐、汽水音乐、网易云音乐、喜马拉雅、
小宇宙、爱奇艺、芒果TV、哔哩哔哩</v>
      </c>
      <c r="I30" s="3">
        <f>"用户UseId在 {"&amp;G30&amp;"} 上选择收藏播放列表播放了《{"&amp;G31&amp;"}》"</f>
      </c>
      <c r="J30" s="3" t="str">
        <v>1.用户23312在QQ音乐上选择收藏播放列表播放了《夜曲》
2.用户23312在喜马拉雅上选择收藏播放列表播放了《鬼吹灯》</v>
      </c>
      <c r="M30" s="3" t="str">
        <v>P0</v>
      </c>
      <c r="N30" s="3" t="str">
        <v>V1</v>
      </c>
      <c r="O30" s="94">
        <v>46188</v>
      </c>
      <c r="P30" s="3" t="str">
        <v>用户后面添加对应UserId，可以通过他找到对应的用户信息</v>
      </c>
    </row>
    <row r="31" spans="7:16">
      <c r="G31" s="3" t="str">
        <v>media_name</v>
      </c>
      <c r="H31" s="3" t="str">
        <v>歌曲名字、视频的名字</v>
      </c>
      <c r="I31" s="3"/>
      <c r="J31" s="3"/>
      <c r="M31" s="3" t="str">
        <v>P0</v>
      </c>
      <c r="N31" s="3" t="str">
        <v>V1</v>
      </c>
      <c r="O31" s="94">
        <v>46188</v>
      </c>
      <c r="P31" s="3" t="str">
        <v>用户后面添加对应UserId，可以通过他找到对应的用户信息</v>
      </c>
    </row>
    <row r="32" spans="1:16">
      <c r="A32" s="95" t="str">
        <v>人车交互</v>
      </c>
      <c r="B32" s="25" t="str">
        <v>多媒体</v>
      </c>
      <c r="C32" s="95" t="str">
        <v>应用控制</v>
      </c>
      <c r="D32" s="95" t="str">
        <v>media_app_ctrl</v>
      </c>
      <c r="E32" s="92">
        <f>B32&amp;C32</f>
      </c>
      <c r="F32" s="95" t="str">
        <v>用户手动打开指定的多媒体应用，仅变化时记录</v>
      </c>
      <c r="G32" s="3" t="str">
        <v>app_name</v>
      </c>
      <c r="H32" s="95" t="str">
        <v>操作：打开、关闭；CP：QQ音乐、汽水音乐、网易云音乐、喜马拉雅、小宇宙、爱奇艺、芒果TV、哔哩哔哩</v>
      </c>
      <c r="I32" s="95">
        <f>"用户UseId点击打开了 {"&amp;G32&amp;"}"</f>
      </c>
      <c r="J32" s="95" t="str">
        <v>1. 用户23312点击打开了爱奇艺
2. 用户23312点击打开了哔哩哔哩</v>
      </c>
      <c r="M32" s="3" t="str">
        <v>P0</v>
      </c>
      <c r="N32" s="3" t="str">
        <v>V1</v>
      </c>
      <c r="O32" s="94">
        <v>46188</v>
      </c>
      <c r="P32" s="3" t="str">
        <v>用户后面添加对应UserId，可以通过他找到对应的用户信息</v>
      </c>
    </row>
    <row r="33" spans="1:16">
      <c r="A33" s="95" t="str">
        <v>人车交互</v>
      </c>
      <c r="B33" s="25" t="str">
        <v>多媒体</v>
      </c>
      <c r="C33" s="95" t="str">
        <v>信息查询</v>
      </c>
      <c r="D33" s="95" t="str">
        <v>media_query_info</v>
      </c>
      <c r="E33" s="92">
        <f>B33&amp;C33</f>
      </c>
      <c r="F33" s="95" t="str">
        <v>用户搜索指定类型媒体的内容，仅用户输入内容不为空并且点击了搜索按钮才需要记录</v>
      </c>
      <c r="G33" s="25" t="str">
        <v>source</v>
      </c>
      <c r="H33" s="3" t="str">
        <v>QQ音乐、汽水音乐、网易云音乐、喜马拉雅、
小宇宙、爱奇艺、芒果TV、哔哩哔哩</v>
      </c>
      <c r="I33" s="92">
        <f>"用户UseId在 {"&amp;G33&amp;"} 上搜索了“{"&amp;G34&amp;"}”"</f>
      </c>
      <c r="J33" s="92" t="str">
        <v>1.用户23312在汽水音乐上搜索了“周杰伦”
2.用户23312在喜马拉雅上搜索了“郭德纲相声精选”</v>
      </c>
      <c r="M33" s="3" t="str">
        <v>P0</v>
      </c>
      <c r="N33" s="3" t="str">
        <v>V1</v>
      </c>
      <c r="O33" s="94">
        <v>46188</v>
      </c>
      <c r="P33" s="3" t="str">
        <v>用户后面添加对应UserId，可以通过他找到对应的用户信息</v>
      </c>
    </row>
    <row r="34" spans="7:16">
      <c r="G34" s="92" t="str">
        <v>query_content</v>
      </c>
      <c r="H34" s="3" t="str">
        <v>输入搜索框并确认搜索的内容</v>
      </c>
      <c r="I34" s="95"/>
      <c r="J34" s="95"/>
      <c r="M34" s="3" t="str">
        <v>P0</v>
      </c>
      <c r="N34" s="3" t="str">
        <v>V1</v>
      </c>
      <c r="O34" s="94">
        <v>46188</v>
      </c>
      <c r="P34" s="3" t="str">
        <v>用户后面添加对应UserId，可以通过他找到对应的用户信息</v>
      </c>
    </row>
    <row r="35" spans="1:16">
      <c r="A35" s="95" t="str">
        <v>人车交互</v>
      </c>
      <c r="B35" s="25" t="str">
        <v>在线音乐</v>
      </c>
      <c r="C35" s="95" t="str">
        <v>点播指定音源</v>
      </c>
      <c r="D35" s="3" t="str">
        <v>music_play_source_choose</v>
      </c>
      <c r="E35" s="92">
        <f>B35&amp;C35</f>
      </c>
      <c r="F35" s="95" t="str">
        <v>用户点播指定音源音乐（比如蓝牙/USB），仅变化时记录</v>
      </c>
      <c r="G35" s="3" t="str">
        <v>source_choose</v>
      </c>
      <c r="H35" s="3" t="str">
        <v>蓝牙、USB</v>
      </c>
      <c r="I35" s="95">
        <f>"用户UseId点播了{"&amp;G35&amp;"}音乐"</f>
      </c>
      <c r="J35" s="3" t="str">
        <v>1.用户23312点播了蓝牙音乐
2.用户23312点播USB音乐</v>
      </c>
      <c r="M35" s="3" t="str">
        <v>P0</v>
      </c>
      <c r="N35" s="3" t="str">
        <v>V1</v>
      </c>
      <c r="O35" s="94">
        <v>46188</v>
      </c>
      <c r="P35" s="3" t="str">
        <v>用户后面添加对应UserId，可以通过他找到对应的用户信息</v>
      </c>
    </row>
    <row r="36" spans="1:16">
      <c r="A36" s="95" t="str">
        <v>人车交互</v>
      </c>
      <c r="B36" s="95" t="str">
        <v>在线音乐</v>
      </c>
      <c r="C36" s="95" t="str">
        <v>条件筛选</v>
      </c>
      <c r="D36" s="3" t="str">
        <v>music_filter_source</v>
      </c>
      <c r="E36" s="92">
        <f>B36&amp;C36</f>
      </c>
      <c r="F36" s="3" t="str">
        <v>用户通过指定条件筛选音乐，仅变化时记录</v>
      </c>
      <c r="G36" s="3" t="str">
        <v>filter_rules</v>
      </c>
      <c r="H36" s="3" t="str">
        <v>音乐筛选的规则，支持如下:
1.场景类型，例：校园、约会、婚礼
2.乐器类型，例：钢琴曲、吉他
3.年代，例：00年代、90年代
4.风格类型，例：流行、电子、轻音乐
5.语言类型，例：英语、粤语、国语
6.情绪类型，例：伤感、欢乐、治愈
7.歌手名字，例：周杰伦、王嘉尔
8.地区名称，例：台湾、日韩
9.专辑名称，例：模特、黑马
10.歌单，例：热歌榜、每日推荐
11.歌手性别，例：男、女
12.歌曲版本，例：中国好声音版本
13.收费类型，例：免费、vip</v>
      </c>
      <c r="I36" s="3">
        <f>"用户UseId筛选{"&amp;G36&amp;"}的音乐"</f>
      </c>
      <c r="J36" s="3" t="str">
        <v>1.用户23312筛选校园类型的音乐
2.用户23312筛选钢琴曲的音乐
3.用户23312筛选90年代的音乐
4.用户23312筛选流行风格的音乐
5.用户23312筛选粤语的音乐
6.用户23312筛选伤感的音乐
7.用户23312筛选歌手周杰伦的音乐
8.用户23312筛选欧美的音乐
9.用户23312筛选专辑《模特》的音乐
10.用户23312筛选歌单《热歌榜》
11.用户23312筛选男歌手的音乐
12.用户23312筛选中国好声音版本的音乐
13.用户23312筛选VIP的音乐</v>
      </c>
      <c r="M36" s="3" t="str">
        <v>P0</v>
      </c>
      <c r="N36" s="3" t="str">
        <v>V1</v>
      </c>
      <c r="O36" s="94">
        <v>46188</v>
      </c>
      <c r="P36" s="3" t="str">
        <v>用户后面添加对应UserId，可以通过他找到对应的用户信息</v>
      </c>
    </row>
    <row r="37" spans="1:16">
      <c r="A37" s="95" t="str">
        <v>人车交互</v>
      </c>
      <c r="B37" s="95" t="str">
        <v>在线音乐</v>
      </c>
      <c r="C37" s="95" t="str">
        <v>控制歌词跳转</v>
      </c>
      <c r="D37" s="3" t="str">
        <v>music_lyric_seek</v>
      </c>
      <c r="E37" s="92">
        <f>B37&amp;C37</f>
      </c>
      <c r="F37" s="95" t="str">
        <v>用户通过拖动歌词跳转播放进度，仅变化时记录</v>
      </c>
      <c r="G37" s="3" t="str">
        <v>lyric_seek</v>
      </c>
      <c r="H37" s="3" t="str">
        <v>歌词，例：给我一个猕猴桃</v>
      </c>
      <c r="I37" s="3">
        <f>"用户UseId通过划动歌词“{"&amp;G37&amp;"}”跳转播放进度"</f>
      </c>
      <c r="J37" s="3" t="str">
        <v>用户23312通过划动歌词“给我一个猕猴桃”跳转播放进度</v>
      </c>
      <c r="M37" s="3" t="str">
        <v>P0</v>
      </c>
      <c r="N37" s="3" t="str">
        <v>V1</v>
      </c>
      <c r="O37" s="94">
        <v>46188</v>
      </c>
      <c r="P37" s="3" t="str">
        <v>用户后面添加对应UserId，可以通过他找到对应的用户信息</v>
      </c>
    </row>
    <row r="38" spans="1:16">
      <c r="A38" s="95" t="str">
        <v>人车交互</v>
      </c>
      <c r="B38" s="95" t="str">
        <v>在线音乐</v>
      </c>
      <c r="C38" s="3" t="str">
        <v>控制播放模式</v>
      </c>
      <c r="D38" s="95" t="str">
        <v>music_play_mode</v>
      </c>
      <c r="E38" s="92">
        <f>B38&amp;C38</f>
      </c>
      <c r="F38" s="95" t="str">
        <v>用户切换音乐播放模式，仅变化时记录</v>
      </c>
      <c r="G38" s="3" t="str">
        <v>mode</v>
      </c>
      <c r="H38" s="95" t="str">
        <v>播放模式：单曲、顺序、随机</v>
      </c>
      <c r="I38" s="92">
        <f>"用户UseId在 {"&amp;G39&amp;"} 上将播放模式切换为 {"&amp;G38&amp;"}"</f>
      </c>
      <c r="J38" s="3" t="str">
        <v>用户23312在QQ音乐上将播放模式切换为随机</v>
      </c>
      <c r="M38" s="3" t="str">
        <v>P0</v>
      </c>
      <c r="N38" s="3" t="str">
        <v>V1</v>
      </c>
      <c r="O38" s="94">
        <v>46188</v>
      </c>
      <c r="P38" s="3" t="str">
        <v>用户后面添加对应UserId，可以通过他找到对应的用户信息</v>
      </c>
    </row>
    <row r="39" spans="7:16">
      <c r="G39" s="25" t="str">
        <v>source</v>
      </c>
      <c r="H39" s="3" t="str">
        <v>QQ音乐、汽水音乐、网易云音乐、喜马拉雅、
小宇宙、爱奇艺、芒果TV、哔哩哔哩</v>
      </c>
      <c r="I39" s="95"/>
      <c r="J39" s="3"/>
      <c r="M39" s="3" t="str">
        <v>P0</v>
      </c>
      <c r="N39" s="3" t="str">
        <v>V1</v>
      </c>
      <c r="O39" s="94">
        <v>46188</v>
      </c>
      <c r="P39" s="3" t="str">
        <v>用户后面添加对应UserId，可以通过他找到对应的用户信息</v>
      </c>
    </row>
    <row r="40" spans="1:16">
      <c r="A40" s="95" t="str">
        <v>人车交互</v>
      </c>
      <c r="B40" s="95" t="str">
        <v>在线音乐</v>
      </c>
      <c r="C40" s="3" t="str">
        <v>控制音质切换</v>
      </c>
      <c r="D40" s="95" t="str">
        <v>music_quality_switch</v>
      </c>
      <c r="E40" s="92">
        <f>B40&amp;C40</f>
      </c>
      <c r="F40" s="95" t="str">
        <v>用户明确切换音乐音质，仅变化时记录</v>
      </c>
      <c r="G40" s="3" t="str">
        <v>quality</v>
      </c>
      <c r="H40" s="95" t="str">
        <v>音质：标准、高品质、无损</v>
      </c>
      <c r="I40" s="92">
        <f>"用户UseId在 {"&amp;G41&amp;"} 上将音质切换为 {"&amp;G40&amp;"}"</f>
      </c>
      <c r="J40" s="92" t="str">
        <v>用户23312在汽水音乐上将音质切换为无损</v>
      </c>
      <c r="M40" s="3" t="str">
        <v>P0</v>
      </c>
      <c r="N40" s="3" t="str">
        <v>V1</v>
      </c>
      <c r="O40" s="94">
        <v>46188</v>
      </c>
      <c r="P40" s="3" t="str">
        <v>用户后面添加对应UserId，可以通过他找到对应的用户信息</v>
      </c>
    </row>
    <row r="41" spans="7:16">
      <c r="G41" s="25" t="str">
        <v>source</v>
      </c>
      <c r="H41" s="3" t="str">
        <v>QQ音乐、汽水音乐、网易云音乐、喜马拉雅、
小宇宙、爱奇艺、芒果TV、哔哩哔哩</v>
      </c>
      <c r="I41" s="95"/>
      <c r="J41" s="95"/>
      <c r="M41" s="3" t="str">
        <v>P0</v>
      </c>
      <c r="N41" s="3" t="str">
        <v>V1</v>
      </c>
      <c r="O41" s="94">
        <v>46188</v>
      </c>
      <c r="P41" s="3" t="str">
        <v>用户后面添加对应UserId，可以通过他找到对应的用户信息</v>
      </c>
    </row>
    <row r="42" spans="1:16">
      <c r="A42" s="95" t="str">
        <v>人车交互</v>
      </c>
      <c r="B42" s="95" t="str">
        <v>在线音乐</v>
      </c>
      <c r="C42" s="3" t="str">
        <v>控制音效切换</v>
      </c>
      <c r="D42" s="95" t="str">
        <v>music_sound_effect_switch</v>
      </c>
      <c r="E42" s="92">
        <f>B42&amp;C42</f>
      </c>
      <c r="F42" s="95" t="str">
        <v>用户明确切换音乐音效，仅变化时记录</v>
      </c>
      <c r="G42" s="3" t="str">
        <v>effect</v>
      </c>
      <c r="H42" s="95" t="str">
        <v>音效：流行、摇滚、古典</v>
      </c>
      <c r="I42" s="92">
        <f>"用户UseId在 {"&amp;G43&amp;"} 上将音效切换为 {"&amp;G42&amp;"}"</f>
      </c>
      <c r="J42" s="3" t="str">
        <v>用户23312在汽水音乐上将音效切换为摇滚</v>
      </c>
      <c r="M42" s="3" t="str">
        <v>P0</v>
      </c>
      <c r="N42" s="3" t="str">
        <v>V1</v>
      </c>
      <c r="O42" s="94">
        <v>46188</v>
      </c>
      <c r="P42" s="3" t="str">
        <v>用户后面添加对应UserId，可以通过他找到对应的用户信息</v>
      </c>
    </row>
    <row r="43" spans="7:16">
      <c r="G43" s="25" t="str">
        <v>source</v>
      </c>
      <c r="H43" s="3" t="str">
        <v>QQ音乐、汽水音乐、网易云音乐、喜马拉雅、
小宇宙、爱奇艺、芒果TV、哔哩哔哩</v>
      </c>
      <c r="I43" s="95"/>
      <c r="J43" s="3"/>
      <c r="M43" s="3" t="str">
        <v>P0</v>
      </c>
      <c r="N43" s="3" t="str">
        <v>V1</v>
      </c>
      <c r="O43" s="94">
        <v>46188</v>
      </c>
      <c r="P43" s="3" t="str">
        <v>用户后面添加对应UserId，可以通过他找到对应的用户信息</v>
      </c>
    </row>
    <row r="44" spans="1:16">
      <c r="A44" s="95" t="str">
        <v>人车交互</v>
      </c>
      <c r="B44" s="95" t="str">
        <v>在线音乐</v>
      </c>
      <c r="C44" s="3" t="str">
        <v>控制听歌识曲开关</v>
      </c>
      <c r="D44" s="95" t="str">
        <v>music_recognition</v>
      </c>
      <c r="E44" s="92">
        <f>B44&amp;C44</f>
      </c>
      <c r="F44" s="95" t="str">
        <v>用户打开/关闭听歌识曲，仅变化时记录</v>
      </c>
      <c r="G44" s="3" t="str">
        <v>operation</v>
      </c>
      <c r="H44" s="95" t="str">
        <v>打开、关闭</v>
      </c>
      <c r="I44" s="95">
        <f>"用户UseId{"&amp;G44&amp;"} 了听歌识曲"</f>
      </c>
      <c r="J44" s="95" t="str">
        <v>1. 用户23312打开了听歌识曲
2. 用户23312关闭了听歌识曲</v>
      </c>
      <c r="M44" s="3" t="str">
        <v>P0</v>
      </c>
      <c r="N44" s="3" t="str">
        <v>V1</v>
      </c>
      <c r="O44" s="94">
        <v>46188</v>
      </c>
      <c r="P44" s="3" t="str">
        <v>用户后面添加对应UserId，可以通过他找到对应的用户信息</v>
      </c>
    </row>
    <row r="45" spans="1:16">
      <c r="A45" s="95" t="str">
        <v>人车交互</v>
      </c>
      <c r="B45" s="95" t="str">
        <v>在线有声</v>
      </c>
      <c r="C45" s="92" t="str">
        <v>条件筛选</v>
      </c>
      <c r="D45" s="3" t="str">
        <v>audio_filter_source</v>
      </c>
      <c r="E45" s="92">
        <f>B45&amp;C45</f>
      </c>
      <c r="F45" s="92" t="str">
        <v>用户通过指定条件筛选有声内容，仅变化时记录</v>
      </c>
      <c r="G45" s="3" t="str">
        <v>filter_rules</v>
      </c>
      <c r="H45" s="3" t="str">
        <v>1.节目名称，例：山村鬼事、出马仙
2.节目名称+集数，例：山村鬼事第一集
3.节目类型，例：历史、都市
4.主播，例：演播人骨头
5.表演者，例：XXX
6.电台名称，例：都市夜归人
7.城市名称，例：重庆
8.省份名称，例：四川</v>
      </c>
      <c r="I45" s="3">
        <f>"用户UseId筛选{"&amp;G45&amp;"}的有声内容"</f>
      </c>
      <c r="J45" s="3" t="str">
        <v>1.用户23312筛选节目《山村鬼事》的有声内容
2.用户23312筛选山村鬼事第一集的有声内容
3.用户23312筛选历史类型的有声内容
4.用户23312筛选主播演播人骨头的有声内容
5.用户23312筛选表演者张三的有声内容
6.用户23312筛选电台《都市夜归人》的有声内容
7.用户23312筛选重庆的有声内容
8.用户23312筛选四川的有声内容</v>
      </c>
      <c r="M45" s="3" t="str">
        <v>P0</v>
      </c>
      <c r="N45" s="3" t="str">
        <v>V1</v>
      </c>
      <c r="O45" s="94">
        <v>46188</v>
      </c>
      <c r="P45" s="3" t="str">
        <v>用户后面添加对应UserId，可以通过他找到对应的用户信息</v>
      </c>
    </row>
    <row r="46" spans="1:16">
      <c r="A46" s="95" t="str">
        <v>人车交互</v>
      </c>
      <c r="B46" s="95" t="str">
        <v>在线有声</v>
      </c>
      <c r="C46" s="95" t="str">
        <v>控制本地电台开关</v>
      </c>
      <c r="D46" s="95" t="str">
        <v>radio_local_ctrl</v>
      </c>
      <c r="E46" s="92">
        <f>B46&amp;C46</f>
      </c>
      <c r="F46" s="95" t="str">
        <v>用户控制本地电台开关，仅变化时记录</v>
      </c>
      <c r="G46" s="92" t="str">
        <v>operation</v>
      </c>
      <c r="H46" s="95" t="str">
        <v>操作：打开、关闭</v>
      </c>
      <c r="I46" s="95">
        <f>"用户UseId{"&amp;G46&amp;"} 了本地电台"</f>
      </c>
      <c r="J46" s="95" t="str">
        <v>1. 用户23312打开了本地电台
2. 用户23312关闭了本地电台</v>
      </c>
      <c r="M46" s="3" t="str">
        <v>P0</v>
      </c>
      <c r="N46" s="3" t="str">
        <v>V1</v>
      </c>
      <c r="O46" s="94">
        <v>46188</v>
      </c>
      <c r="P46" s="3" t="str">
        <v>用户后面添加对应UserId，可以通过他找到对应的用户信息</v>
      </c>
    </row>
    <row r="47" spans="1:16">
      <c r="A47" s="95" t="str">
        <v>人车交互</v>
      </c>
      <c r="B47" s="95" t="str">
        <v>在线有声</v>
      </c>
      <c r="C47" s="95" t="str">
        <v>控制FM开关</v>
      </c>
      <c r="D47" s="95" t="str">
        <v>radio_fm_ctrl</v>
      </c>
      <c r="E47" s="92">
        <f>B47&amp;C47</f>
      </c>
      <c r="F47" s="95" t="str">
        <v>用户控制FM电台开关，仅变化时记录</v>
      </c>
      <c r="G47" s="92" t="str">
        <v>operation</v>
      </c>
      <c r="H47" s="95" t="str">
        <v>操作：打开、关闭</v>
      </c>
      <c r="I47" s="95">
        <f>"用户UseId{"&amp;G47&amp;"} 了FM电台"</f>
      </c>
      <c r="J47" s="95" t="str">
        <v>1. 用户23312打开了FM电台
2. 用户23312关闭了FM电台</v>
      </c>
      <c r="M47" s="3" t="str">
        <v>P0</v>
      </c>
      <c r="N47" s="3" t="str">
        <v>V1</v>
      </c>
      <c r="O47" s="94">
        <v>46188</v>
      </c>
      <c r="P47" s="3" t="str">
        <v>用户后面添加对应UserId，可以通过他找到对应的用户信息</v>
      </c>
    </row>
    <row r="48" spans="1:16">
      <c r="A48" s="95" t="str">
        <v>人车交互</v>
      </c>
      <c r="B48" s="95" t="str">
        <v>在线有声</v>
      </c>
      <c r="C48" s="95" t="str">
        <v>控制AM开关</v>
      </c>
      <c r="D48" s="95" t="str">
        <v>radio_am_ctrl</v>
      </c>
      <c r="E48" s="92">
        <f>B48&amp;C48</f>
      </c>
      <c r="F48" s="95" t="str">
        <v>用户控制AM电台开关，仅变化时记录</v>
      </c>
      <c r="G48" s="92" t="str">
        <v>operation</v>
      </c>
      <c r="H48" s="95" t="str">
        <v>操作：打开、关闭</v>
      </c>
      <c r="I48" s="95">
        <f>"用户UseId{"&amp;G48&amp;"} 了AM电台"</f>
      </c>
      <c r="J48" s="95" t="str">
        <v>1. 用户23312打开了AM电台
2. 用户23312关闭了AM电台</v>
      </c>
      <c r="M48" s="3" t="str">
        <v>P0</v>
      </c>
      <c r="N48" s="3" t="str">
        <v>V1</v>
      </c>
      <c r="O48" s="94">
        <v>46188</v>
      </c>
      <c r="P48" s="3" t="str">
        <v>用户后面添加对应UserId，可以通过他找到对应的用户信息</v>
      </c>
    </row>
    <row r="49" spans="1:16">
      <c r="A49" s="95" t="str">
        <v>人车交互</v>
      </c>
      <c r="B49" s="95" t="str">
        <v>在线有声</v>
      </c>
      <c r="C49" s="95" t="str">
        <v>控制倍速播放</v>
      </c>
      <c r="D49" s="95" t="str">
        <v>radio_playback_speed</v>
      </c>
      <c r="E49" s="92">
        <f>B49&amp;C49</f>
      </c>
      <c r="F49" s="95" t="str">
        <v>用户设置精准播放倍速，仅变化时记录</v>
      </c>
      <c r="G49" s="92" t="str">
        <v>speed</v>
      </c>
      <c r="H49" s="95" t="str">
        <v>指定倍速；倍速 0.75、1、1.25、1.5、2</v>
      </c>
      <c r="I49" s="95">
        <f>"用户UseId将播放倍速设为 {"&amp;G49&amp;"}x"</f>
      </c>
      <c r="J49" s="95" t="str">
        <v>用户23312将播放倍速设为1.5倍</v>
      </c>
      <c r="M49" s="3" t="str">
        <v>P0</v>
      </c>
      <c r="N49" s="3" t="str">
        <v>V1</v>
      </c>
      <c r="O49" s="94">
        <v>46188</v>
      </c>
      <c r="P49" s="3" t="str">
        <v>用户后面添加对应UserId，可以通过他找到对应的用户信息</v>
      </c>
    </row>
    <row r="50" spans="1:16">
      <c r="A50" s="95" t="str">
        <v>人车交互</v>
      </c>
      <c r="B50" s="95" t="str">
        <v>在线视频</v>
      </c>
      <c r="C50" s="95" t="str">
        <v>条件筛选</v>
      </c>
      <c r="D50" s="3" t="str">
        <v>video_filter_source</v>
      </c>
      <c r="E50" s="92">
        <f>B50&amp;C50</f>
      </c>
      <c r="F50" s="95" t="str">
        <v>用户通过指定条件筛选视频，仅变化时记录</v>
      </c>
      <c r="G50" s="3" t="str">
        <v>filter_rules</v>
      </c>
      <c r="H50" s="3" t="str">
        <v>1.节目名称，例：肖生克的救赎、还珠格格
2.节目名称+集数，例：肖生克的救赎第二集
3.节目类型（频道），例：电影、电视剧、综艺
4.演员或导演，例：周星驰、张艺谋
5.年份，例：90年代、1990年
6.地区，例：香港、内地
7.语言，例：普通话、英语、粤语
8.出品方，例：正午阳光、漫威
9.高分（评分≥9分）
10.付费类型，例：免费、付费（VIP）
11.奖项，例：华表奖、奥斯卡
12.规格，例：院线电影、网络电影、独播剧
13.场景，例：聚会、约会、放松
14.电影+票房，例：5亿、10亿</v>
      </c>
      <c r="I50" s="3">
        <f>"用户UseId筛选{"&amp;G50&amp;"}相关的视频"</f>
      </c>
      <c r="J50" s="3" t="str">
        <v>1.用户23312筛选肖生克的救赎相关的视频
2.用户23312筛选肖生克的救赎第二集相关的视频
3.用户23312筛选电视剧相关的视频
4.用户23312筛选周星驰相关的视频
5.用户23312筛选90年代相关的视频
6.用户23312筛选香港地区相关的视频
7.用户23312筛选粤语相关的视频
8.用户23312筛选漫威出品相关的视频
9.用户23312筛选高分相关的视频
10.用户23312筛选免费相关的视频
11.用户23312筛选奥斯卡获奖相关的视频
12.用户23312筛选网咯电影相关的视频
13.用户23312筛选聚会相关的视频
14.用户23312筛选票房5亿以上相关的视频</v>
      </c>
      <c r="M50" s="3" t="str">
        <v>P0</v>
      </c>
      <c r="N50" s="3" t="str">
        <v>V1</v>
      </c>
      <c r="O50" s="94">
        <v>46188</v>
      </c>
      <c r="P50" s="3" t="str">
        <v>用户后面添加对应UserId，可以通过他找到对应的用户信息</v>
      </c>
    </row>
    <row r="51" spans="1:16">
      <c r="A51" s="95" t="str">
        <v>人车交互</v>
      </c>
      <c r="B51" s="95" t="str">
        <v>在线视频</v>
      </c>
      <c r="C51" s="95" t="str">
        <v>控制片头片尾</v>
      </c>
      <c r="D51" s="95" t="str">
        <v>video_skip_intro_outro</v>
      </c>
      <c r="E51" s="92">
        <f>B51&amp;C51</f>
      </c>
      <c r="F51" s="95" t="str">
        <v>用户跳过片头或片尾，仅变化时记录</v>
      </c>
      <c r="G51" s="3" t="str">
        <v>operation</v>
      </c>
      <c r="H51" s="95" t="str">
        <v>操作：跳过片头、跳过片尾</v>
      </c>
      <c r="I51" s="92">
        <f>"用户UseId播放{《"&amp;G52&amp;"》}{"&amp;G51&amp;"}"</f>
      </c>
      <c r="J51" s="92" t="str">
        <v>1. 用户23312播放《西游记》跳过了片头
2. 用户23312播放《红楼梦》跳过了片尾</v>
      </c>
      <c r="M51" s="3" t="str">
        <v>P0</v>
      </c>
      <c r="N51" s="3" t="str">
        <v>V1</v>
      </c>
      <c r="O51" s="94">
        <v>46188</v>
      </c>
      <c r="P51" s="3" t="str">
        <v>用户后面添加对应UserId，可以通过他找到对应的用户信息</v>
      </c>
    </row>
    <row r="52" spans="7:16">
      <c r="G52" s="3" t="str">
        <v>video_name</v>
      </c>
      <c r="H52" s="3" t="str">
        <v>视频的名字</v>
      </c>
      <c r="I52" s="95"/>
      <c r="J52" s="95"/>
      <c r="O52" s="94">
        <v>46188</v>
      </c>
      <c r="P52" s="3" t="str">
        <v>用户后面添加对应UserId，可以通过他找到对应的用户信息</v>
      </c>
    </row>
    <row r="53" spans="1:16">
      <c r="A53" s="95" t="str">
        <v>人车交互</v>
      </c>
      <c r="B53" s="95" t="str">
        <v>在线视频</v>
      </c>
      <c r="C53" s="95" t="str">
        <v>终止视频节目点播</v>
      </c>
      <c r="D53" s="95" t="str">
        <v>video_stop_video_demand</v>
      </c>
      <c r="E53" s="92">
        <f>B53&amp;C53</f>
      </c>
      <c r="F53" s="95" t="str">
        <v>用户终止当前视频点播，仅变化时记录</v>
      </c>
      <c r="G53" s="3" t="str">
        <v>/</v>
      </c>
      <c r="H53" s="95" t="str">
        <v>终止视频节目点播</v>
      </c>
      <c r="I53" s="95" t="str">
        <v>用户UseId终止了视频点播</v>
      </c>
      <c r="J53" s="95" t="str">
        <v>用户23312终止了视频点播</v>
      </c>
      <c r="M53" s="3" t="str">
        <v>P0</v>
      </c>
      <c r="N53" s="3" t="str">
        <v>V1</v>
      </c>
      <c r="O53" s="94">
        <v>46188</v>
      </c>
      <c r="P53" s="3" t="str">
        <v>用户后面添加对应UserId，可以通过他找到对应的用户信息</v>
      </c>
    </row>
    <row r="54" spans="1:16">
      <c r="A54" s="95" t="str">
        <v>人车交互</v>
      </c>
      <c r="B54" s="95" t="str">
        <v>在线视频</v>
      </c>
      <c r="C54" s="95" t="str">
        <v>控制弹幕</v>
      </c>
      <c r="D54" s="95" t="str">
        <v>video_bullet_screen_ctrl</v>
      </c>
      <c r="E54" s="92">
        <f>B54&amp;C54</f>
      </c>
      <c r="F54" s="95" t="str">
        <v>用户控制弹幕开关，仅变化时记录</v>
      </c>
      <c r="G54" s="3" t="str">
        <v>operation</v>
      </c>
      <c r="H54" s="95" t="str">
        <v>打开、关闭</v>
      </c>
      <c r="I54" s="95">
        <f>"用户UseId{"&amp;G54&amp;"} 了视频弹幕"</f>
      </c>
      <c r="J54" s="95" t="str">
        <v>1. 用户23312打开了视频弹幕
2. 用户23312关闭了视频弹幕</v>
      </c>
      <c r="M54" s="3" t="str">
        <v>P0</v>
      </c>
      <c r="N54" s="3" t="str">
        <v>V1</v>
      </c>
      <c r="O54" s="94">
        <v>46188</v>
      </c>
      <c r="P54" s="3" t="str">
        <v>用户后面添加对应UserId，可以通过他找到对应的用户信息</v>
      </c>
    </row>
    <row r="55" spans="1:16">
      <c r="A55" s="95" t="str">
        <v>人车交互</v>
      </c>
      <c r="B55" s="95" t="str">
        <v>在线视频</v>
      </c>
      <c r="C55" s="95" t="str">
        <v>控制全屏</v>
      </c>
      <c r="D55" s="95" t="str">
        <v>video_fullscreen_ctrl</v>
      </c>
      <c r="E55" s="92">
        <f>B55&amp;C55</f>
      </c>
      <c r="F55" s="95" t="str">
        <v>用户控制视频全屏/退出全屏，仅变化时记录</v>
      </c>
      <c r="G55" s="3" t="str">
        <v>operation</v>
      </c>
      <c r="H55" s="95" t="str">
        <v>进入、退出</v>
      </c>
      <c r="I55" s="95">
        <f>"用户UseId{"&amp;G55&amp;"} 视频全屏模式"</f>
      </c>
      <c r="J55" s="95" t="str">
        <v>1. 用户23312进入视频全屏模式
2. 用户23312退出视频全屏模式</v>
      </c>
      <c r="M55" s="3" t="str">
        <v>P0</v>
      </c>
      <c r="N55" s="3" t="str">
        <v>V1</v>
      </c>
      <c r="O55" s="94">
        <v>46188</v>
      </c>
      <c r="P55" s="3" t="str">
        <v>用户后面添加对应UserId，可以通过他找到对应的用户信息</v>
      </c>
    </row>
    <row r="56" spans="1:16">
      <c r="A56" s="95" t="str">
        <v>人车交互</v>
      </c>
      <c r="B56" s="95" t="str">
        <v>在线视频</v>
      </c>
      <c r="C56" s="95" t="str">
        <v>调节指定分辨率</v>
      </c>
      <c r="D56" s="95" t="str">
        <v>video_adjust_resolution</v>
      </c>
      <c r="E56" s="92">
        <f>B56&amp;C56</f>
      </c>
      <c r="F56" s="95" t="str">
        <v>用户设置指定视频分辨率，仅变化时记录</v>
      </c>
      <c r="G56" s="92" t="str">
        <v>resolution</v>
      </c>
      <c r="H56" s="95" t="str">
        <v>分辨率：流畅、标清、高清、超清、蓝光、360P、720P、1080P、4K</v>
      </c>
      <c r="I56" s="95">
        <f>"用户UseId将视频分辨率设为 {"&amp;G56&amp;"}"</f>
      </c>
      <c r="J56" s="95" t="str">
        <v>用户23312将视频分辨率设为1080P</v>
      </c>
      <c r="M56" s="3" t="str">
        <v>P0</v>
      </c>
      <c r="N56" s="3" t="str">
        <v>V1</v>
      </c>
      <c r="O56" s="94">
        <v>46188</v>
      </c>
      <c r="P56" s="3" t="str">
        <v>用户后面添加对应UserId，可以通过他找到对应的用户信息</v>
      </c>
    </row>
    <row r="57" spans="1:16">
      <c r="A57" s="95" t="str">
        <v>人车交互</v>
      </c>
      <c r="B57" s="95" t="str">
        <v>在线视频</v>
      </c>
      <c r="C57" s="95" t="str">
        <v>控制倍速精准播放</v>
      </c>
      <c r="D57" s="95" t="str">
        <v>video_playback_speed_ctrl</v>
      </c>
      <c r="E57" s="92">
        <f>B57&amp;C57</f>
      </c>
      <c r="F57" s="95" t="str">
        <v>用户设置视频精准播放倍速，仅变化时记录</v>
      </c>
      <c r="G57" s="92" t="str">
        <v>speed</v>
      </c>
      <c r="H57" s="95" t="str">
        <v>指定倍速；倍速 0.75、1、1.25、1.5、2</v>
      </c>
      <c r="I57" s="95">
        <f>"用户UseId将视频播放倍速设为 {"&amp;G57&amp;"}x"</f>
      </c>
      <c r="J57" s="95" t="str">
        <v>用户23312将视频播放倍速设为1.5x</v>
      </c>
      <c r="M57" s="3" t="str">
        <v>P0</v>
      </c>
      <c r="N57" s="3" t="str">
        <v>V1</v>
      </c>
      <c r="O57" s="94">
        <v>46188</v>
      </c>
      <c r="P57" s="3" t="str">
        <v>用户后面添加对应UserId，可以通过他找到对应的用户信息</v>
      </c>
    </row>
  </sheetData>
  <mergeCells count="32">
    <mergeCell ref="J2:J5"/>
    <mergeCell ref="I2:I5"/>
    <mergeCell ref="J6:J9"/>
    <mergeCell ref="I6:I9"/>
    <mergeCell ref="J10:J13"/>
    <mergeCell ref="I10:I13"/>
    <mergeCell ref="J14:J16"/>
    <mergeCell ref="I14:I16"/>
    <mergeCell ref="J17:J19"/>
    <mergeCell ref="I17:I19"/>
    <mergeCell ref="I20:I21"/>
    <mergeCell ref="J20:J21"/>
    <mergeCell ref="J22:J23"/>
    <mergeCell ref="I22:I23"/>
    <mergeCell ref="I24:I25"/>
    <mergeCell ref="J24:J25"/>
    <mergeCell ref="J26:J27"/>
    <mergeCell ref="I26:I27"/>
    <mergeCell ref="I28:I29"/>
    <mergeCell ref="J28:J29"/>
    <mergeCell ref="J30:J31"/>
    <mergeCell ref="I30:I31"/>
    <mergeCell ref="J33:J34"/>
    <mergeCell ref="I33:I34"/>
    <mergeCell ref="I38:I39"/>
    <mergeCell ref="J38:J39"/>
    <mergeCell ref="J40:J41"/>
    <mergeCell ref="I40:I41"/>
    <mergeCell ref="I42:I43"/>
    <mergeCell ref="J42:J43"/>
    <mergeCell ref="I51:I52"/>
    <mergeCell ref="J51:J5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9.285714285714286" style="1" customWidth="1"/>
    <col min="2" max="2" width="22.571428571428573" style="1" customWidth="1"/>
    <col min="3" max="3" width="30.09090909090909" style="1" customWidth="1"/>
    <col min="4" max="4" width="25.285714285714285" style="1" customWidth="1"/>
    <col min="5" max="5" width="42.142857142857146" style="1" customWidth="1"/>
    <col min="6" max="6" width="55.60293230008373" style="1" customWidth="1"/>
    <col min="7" max="7" width="25.285714285714285" style="1" customWidth="1"/>
    <col min="8" max="8" width="31.285714285714285" style="1" customWidth="1"/>
    <col min="9" max="9" width="57.142857142857146" style="1" customWidth="1"/>
    <col min="10" max="10" width="42.857142857142854" style="1" customWidth="1"/>
    <col min="11" max="11" width="14.714285714285714" style="1" customWidth="1"/>
    <col min="12" max="12" width="13.428571428571429" style="1" customWidth="1"/>
    <col min="13" max="13" width="9.428571428571429" style="1" customWidth="1"/>
    <col min="14" max="14" width="11.285714285714286" style="1" customWidth="1"/>
    <col min="15" max="15" width="15" style="1" customWidth="1"/>
    <col min="16" max="16" width="49.42857142857143" style="1" customWidth="1"/>
    <col min="17" max="18" width="15" style="1" customWidth="1"/>
  </cols>
  <sheetData>
    <row r="1" spans="1:16">
      <c r="A1" s="90" t="str">
        <v>一级</v>
      </c>
      <c r="B1" s="90" t="str">
        <v>二级</v>
      </c>
      <c r="C1" s="90" t="str">
        <v>三级</v>
      </c>
      <c r="D1" s="90" t="str">
        <v>事件名称【唯一标识】</v>
      </c>
      <c r="E1" s="90" t="str">
        <v>事件名称（中文）</v>
      </c>
      <c r="F1" s="90" t="str">
        <v>事件说明</v>
      </c>
      <c r="G1" s="90" t="str">
        <v>事件字段(event_value)</v>
      </c>
      <c r="H1" s="90" t="str">
        <v>字段解释</v>
      </c>
      <c r="I1" s="90" t="str">
        <v>自然语言拼接【规则】</v>
      </c>
      <c r="J1" s="90" t="str">
        <v>事件示例</v>
      </c>
      <c r="K1" s="90" t="str">
        <v>SLS校对情况</v>
      </c>
      <c r="L1" s="90" t="str">
        <v>ZJ校对情况</v>
      </c>
      <c r="M1" s="90" t="str">
        <v>优先级</v>
      </c>
      <c r="N1" s="90" t="str">
        <v>输出版本</v>
      </c>
      <c r="O1" s="90" t="str">
        <v>输出版本日期</v>
      </c>
      <c r="P1" s="90" t="str">
        <v>备注</v>
      </c>
    </row>
    <row r="2" spans="1:16">
      <c r="A2" s="25" t="str">
        <v>人车交互</v>
      </c>
      <c r="B2" s="25" t="str">
        <v>无麦K歌</v>
      </c>
      <c r="C2" s="25" t="str">
        <v>打开/关闭应用</v>
      </c>
      <c r="D2" s="25" t="str">
        <v>nomic_kok_open_app</v>
      </c>
      <c r="E2" s="25">
        <f>B2&amp;C2</f>
      </c>
      <c r="F2" s="25" t="str">
        <v>用户打开/关闭无麦K歌功能，仅变化时记录</v>
      </c>
      <c r="G2" s="25" t="str">
        <v>operation</v>
      </c>
      <c r="H2" s="25" t="str">
        <v>打开、关闭</v>
      </c>
      <c r="I2" s="25" t="str">
        <v>用户{operation}无麦K歌</v>
      </c>
      <c r="J2" s="25" t="str">
        <v>用户23312打开无麦K歌</v>
      </c>
      <c r="M2" s="3" t="str">
        <v>P0</v>
      </c>
      <c r="N2" s="3" t="str">
        <v>V1</v>
      </c>
      <c r="O2" s="94">
        <v>46188</v>
      </c>
      <c r="P2" s="3" t="str">
        <v>用户后面添加对应UserId，可以通过他找到对应的用户信息</v>
      </c>
    </row>
    <row r="3" spans="1:16">
      <c r="A3" s="25" t="str">
        <v>人车交互</v>
      </c>
      <c r="B3" s="25" t="str">
        <v>无麦K歌</v>
      </c>
      <c r="C3" s="25" t="str">
        <v>打开/关闭调音台</v>
      </c>
      <c r="D3" s="25" t="str">
        <v>nomic_kok_open_mixer</v>
      </c>
      <c r="E3" s="25">
        <f>B3&amp;C3</f>
      </c>
      <c r="F3" s="25" t="str">
        <v>用户打开/关闭调音台，仅变化时记录</v>
      </c>
      <c r="G3" s="25" t="str">
        <v>operation</v>
      </c>
      <c r="H3" s="25" t="str">
        <v>打开、关闭</v>
      </c>
      <c r="I3" s="25" t="str">
        <v>用户{operation}无麦K歌调音台</v>
      </c>
      <c r="J3" s="25" t="str">
        <v>用户23312打开无麦K歌调音台</v>
      </c>
      <c r="M3" s="3" t="str">
        <v>P0</v>
      </c>
      <c r="N3" s="3" t="str">
        <v>V1</v>
      </c>
      <c r="O3" s="94">
        <v>46188</v>
      </c>
      <c r="P3" s="3" t="str">
        <v>用户后面添加对应UserId，可以通过他找到对应的用户信息</v>
      </c>
    </row>
    <row r="4" spans="1:16">
      <c r="A4" s="25" t="str">
        <v>人车交互</v>
      </c>
      <c r="B4" s="25" t="str">
        <v>无麦K歌</v>
      </c>
      <c r="C4" s="25" t="str">
        <v>打开/关闭原唱</v>
      </c>
      <c r="D4" s="25" t="str">
        <v>nomic_kok_open_ori_song</v>
      </c>
      <c r="E4" s="25">
        <f>B4&amp;C4</f>
      </c>
      <c r="F4" s="25" t="str">
        <v>用户打开/关闭原唱，仅变化时记录</v>
      </c>
      <c r="G4" s="25" t="str">
        <v>operation</v>
      </c>
      <c r="H4" s="25" t="str">
        <v>打开、关闭</v>
      </c>
      <c r="I4" s="25" t="str">
        <v>用户{operation}无麦K歌原唱</v>
      </c>
      <c r="J4" s="25" t="str">
        <v>用户23312打开无麦K歌原唱</v>
      </c>
      <c r="M4" s="3" t="str">
        <v>P0</v>
      </c>
      <c r="N4" s="3" t="str">
        <v>V1</v>
      </c>
      <c r="O4" s="94">
        <v>46188</v>
      </c>
      <c r="P4" s="3" t="str">
        <v>用户后面添加对应UserId，可以通过他找到对应的用户信息</v>
      </c>
    </row>
    <row r="5" spans="1:16">
      <c r="A5" s="25" t="str">
        <v>人车交互</v>
      </c>
      <c r="B5" s="25" t="str">
        <v>无麦K歌</v>
      </c>
      <c r="C5" s="25" t="str">
        <v>调整麦克风音量</v>
      </c>
      <c r="D5" s="25" t="str">
        <v>nomic_kok_adj_mic_vol</v>
      </c>
      <c r="E5" s="25">
        <f>B5&amp;C5</f>
      </c>
      <c r="F5" s="25" t="str">
        <v>用户将麦克风音量设置为指定值，仅变化时记录</v>
      </c>
      <c r="G5" s="25" t="str">
        <v>volumn</v>
      </c>
      <c r="H5" s="25" t="str">
        <v>用户设置的音量数值(0~100)</v>
      </c>
      <c r="I5" s="25" t="str">
        <v>用户调节无麦K歌麦克风音量{volumn}，音量范围(0~100)</v>
      </c>
      <c r="J5" s="25" t="str">
        <v>用户23312调节无麦K歌麦克风音量80，音量范围(0~100)</v>
      </c>
      <c r="M5" s="3" t="str">
        <v>P0</v>
      </c>
      <c r="N5" s="3" t="str">
        <v>V1</v>
      </c>
      <c r="O5" s="94">
        <v>46188</v>
      </c>
      <c r="P5" s="3" t="str">
        <v>用户后面添加对应UserId，可以通过他找到对应的用户信息</v>
      </c>
    </row>
    <row r="6" spans="1:16">
      <c r="A6" s="25" t="str">
        <v>人车交互</v>
      </c>
      <c r="B6" s="25" t="str">
        <v>无麦K歌</v>
      </c>
      <c r="C6" s="25" t="str">
        <v>调整伴奏音量</v>
      </c>
      <c r="D6" s="25" t="str">
        <v>nomic_kok_adj_acc_vol</v>
      </c>
      <c r="E6" s="25">
        <f>B6&amp;C6</f>
      </c>
      <c r="F6" s="25" t="str">
        <v>用户将伴奏音量设置为指定值，仅变化时记录</v>
      </c>
      <c r="G6" s="25" t="str">
        <v>volumn</v>
      </c>
      <c r="H6" s="25" t="str">
        <v>用户设置的音量数值(0~100)</v>
      </c>
      <c r="I6" s="25" t="str">
        <v>用户调节无麦K歌伴奏音量到{volumn}，音量范围(0~100)</v>
      </c>
      <c r="J6" s="25" t="str">
        <v>用户23312调节无麦K歌伴奏音量到60，音量范围(0~100)</v>
      </c>
      <c r="M6" s="3" t="str">
        <v>P0</v>
      </c>
      <c r="N6" s="3" t="str">
        <v>V1</v>
      </c>
      <c r="O6" s="94">
        <v>46188</v>
      </c>
      <c r="P6" s="3" t="str">
        <v>用户后面添加对应UserId，可以通过他找到对应的用户信息</v>
      </c>
    </row>
    <row r="7" spans="1:16">
      <c r="A7" s="25" t="str">
        <v>人车交互</v>
      </c>
      <c r="B7" s="25" t="str">
        <v>无麦K歌</v>
      </c>
      <c r="C7" s="25" t="str">
        <v>打开/关闭氛围声</v>
      </c>
      <c r="D7" s="25" t="str">
        <v>nomic_kok_open_atm_snd</v>
      </c>
      <c r="E7" s="25">
        <f>B7&amp;C7</f>
      </c>
      <c r="F7" s="25" t="str">
        <v>用户打开/关闭氛围声，仅变化时记录</v>
      </c>
      <c r="G7" s="25" t="str">
        <v>operation</v>
      </c>
      <c r="H7" s="25" t="str">
        <v>打开、关闭</v>
      </c>
      <c r="I7" s="25" t="str">
        <v>用户{operation}无麦K歌氛围声</v>
      </c>
      <c r="J7" s="25" t="str">
        <v>用户23312打开无麦K歌氛围声</v>
      </c>
      <c r="M7" s="3" t="str">
        <v>P0</v>
      </c>
      <c r="N7" s="3" t="str">
        <v>V1</v>
      </c>
      <c r="O7" s="94">
        <v>46188</v>
      </c>
      <c r="P7" s="3" t="str">
        <v>用户后面添加对应UserId，可以通过他找到对应的用户信息</v>
      </c>
    </row>
    <row r="8" spans="1:16">
      <c r="A8" s="25" t="str">
        <v>人车交互</v>
      </c>
      <c r="B8" s="25" t="str">
        <v>无麦K歌</v>
      </c>
      <c r="C8" s="25" t="str">
        <v>切换氛围声类型</v>
      </c>
      <c r="D8" s="25" t="str">
        <v>nomic_kok_swt_atm_type</v>
      </c>
      <c r="E8" s="25">
        <f>B8&amp;C8</f>
      </c>
      <c r="F8" s="25" t="str">
        <v>用户切换氛围声类型，仅变化时记录</v>
      </c>
      <c r="G8" s="25" t="str">
        <v>type</v>
      </c>
      <c r="H8" s="25" t="str">
        <v>音效类型：用户选择的氛围声类型</v>
      </c>
      <c r="I8" s="25" t="str">
        <v>用户设置无麦K歌氛围声类型：{type}</v>
      </c>
      <c r="J8" s="25" t="str">
        <v>用户23312设置无麦K歌氛围声类型：演唱会</v>
      </c>
      <c r="M8" s="3" t="str">
        <v>P0</v>
      </c>
      <c r="N8" s="3" t="str">
        <v>V1</v>
      </c>
      <c r="O8" s="94">
        <v>46188</v>
      </c>
      <c r="P8" s="3" t="str">
        <v>用户后面添加对应UserId，可以通过他找到对应的用户信息</v>
      </c>
    </row>
    <row r="9" spans="1:16">
      <c r="A9" s="25" t="str">
        <v>人车交互</v>
      </c>
      <c r="B9" s="25" t="str">
        <v>无麦K歌</v>
      </c>
      <c r="C9" s="25" t="str">
        <v>打开/关闭混响</v>
      </c>
      <c r="D9" s="25" t="str">
        <v>nomic_kok_open_reverb</v>
      </c>
      <c r="E9" s="25">
        <f>B9&amp;C9</f>
      </c>
      <c r="F9" s="25" t="str">
        <v>用户打开/关闭混响，仅变化时记录</v>
      </c>
      <c r="G9" s="25" t="str">
        <v>operation</v>
      </c>
      <c r="H9" s="25" t="str">
        <v>打开、关闭</v>
      </c>
      <c r="I9" s="25" t="str">
        <v>用户{operation}无麦K歌混响</v>
      </c>
      <c r="J9" s="25" t="str">
        <v>用户23312打开无麦K歌混响</v>
      </c>
      <c r="M9" s="3" t="str">
        <v>P0</v>
      </c>
      <c r="N9" s="3" t="str">
        <v>V1</v>
      </c>
      <c r="O9" s="94">
        <v>46188</v>
      </c>
      <c r="P9" s="3" t="str">
        <v>用户后面添加对应UserId，可以通过他找到对应的用户信息</v>
      </c>
    </row>
    <row r="10" spans="1:16">
      <c r="A10" s="25" t="str">
        <v>人车交互</v>
      </c>
      <c r="B10" s="25" t="str">
        <v>无麦K歌</v>
      </c>
      <c r="C10" s="25" t="str">
        <v>切换混响类型</v>
      </c>
      <c r="D10" s="25" t="str">
        <v>nomic_kok_swt_rev_type</v>
      </c>
      <c r="E10" s="25">
        <f>B10&amp;C10</f>
      </c>
      <c r="F10" s="25" t="str">
        <v>用户切换混响类型，仅变化时记录</v>
      </c>
      <c r="G10" s="25" t="str">
        <v>reverbType</v>
      </c>
      <c r="H10" s="25" t="str">
        <v>混响类型：用户选择的混响类型</v>
      </c>
      <c r="I10" s="25" t="str">
        <v>用户设置无麦K歌混响类型：{reverbType}</v>
      </c>
      <c r="J10" s="25" t="str">
        <v>用户23312设置无麦K歌混响类型：KTV</v>
      </c>
      <c r="M10" s="3" t="str">
        <v>P0</v>
      </c>
      <c r="N10" s="3" t="str">
        <v>V1</v>
      </c>
      <c r="O10" s="94">
        <v>46188</v>
      </c>
      <c r="P10" s="3" t="str">
        <v>用户后面添加对应UserId，可以通过他找到对应的用户信息</v>
      </c>
    </row>
    <row r="11" spans="1:16">
      <c r="A11" s="25" t="str">
        <v>人车交互</v>
      </c>
      <c r="B11" s="25" t="str">
        <v>无麦K歌</v>
      </c>
      <c r="C11" s="25" t="str">
        <v>打开/关闭AI智能伴唱</v>
      </c>
      <c r="D11" s="25" t="str">
        <v>nomic_kok_open_ai_cho</v>
      </c>
      <c r="E11" s="25">
        <f>B11&amp;C11</f>
      </c>
      <c r="F11" s="25" t="str">
        <v>用户打开/关闭AI智能伴唱，仅变化时记录</v>
      </c>
      <c r="G11" s="25" t="str">
        <v>operation</v>
      </c>
      <c r="H11" s="25" t="str">
        <v>打开、关闭</v>
      </c>
      <c r="I11" s="25" t="str">
        <v>用户{operation}无麦K歌AI智能伴唱</v>
      </c>
      <c r="J11" s="25" t="str">
        <v>用户23312打开无麦K歌AI智能伴唱</v>
      </c>
      <c r="M11" s="3" t="str">
        <v>P0</v>
      </c>
      <c r="N11" s="3" t="str">
        <v>V1</v>
      </c>
      <c r="O11" s="94">
        <v>46188</v>
      </c>
      <c r="P11" s="3" t="str">
        <v>用户后面添加对应UserId，可以通过他找到对应的用户信息</v>
      </c>
    </row>
    <row r="12" spans="1:16">
      <c r="A12" s="25" t="str">
        <v>人车交互</v>
      </c>
      <c r="B12" s="25" t="str">
        <v>无麦K歌</v>
      </c>
      <c r="C12" s="25" t="str">
        <v>打开/关闭AI修音</v>
      </c>
      <c r="D12" s="25" t="str">
        <v>nomic_kok_open_ai_tun</v>
      </c>
      <c r="E12" s="25">
        <f>B12&amp;C12</f>
      </c>
      <c r="F12" s="25" t="str">
        <v>用户打开/关闭AI修音，仅变化时记录</v>
      </c>
      <c r="G12" s="25" t="str">
        <v>operation</v>
      </c>
      <c r="H12" s="25" t="str">
        <v>打开、关闭</v>
      </c>
      <c r="I12" s="25" t="str">
        <v>用户{operation}无麦K歌AI修音</v>
      </c>
      <c r="J12" s="25" t="str">
        <v>用户23312打开无麦K歌AI修音</v>
      </c>
      <c r="M12" s="3" t="str">
        <v>P0</v>
      </c>
      <c r="N12" s="3" t="str">
        <v>V1</v>
      </c>
      <c r="O12" s="94">
        <v>46188</v>
      </c>
      <c r="P12" s="3" t="str">
        <v>用户后面添加对应UserId，可以通过他找到对应的用户信息</v>
      </c>
    </row>
    <row r="13" spans="1:16">
      <c r="A13" s="25" t="str">
        <v>人车交互</v>
      </c>
      <c r="B13" s="25" t="str">
        <v>无麦K歌</v>
      </c>
      <c r="C13" s="25" t="str">
        <v>打开/关闭车外K歌</v>
      </c>
      <c r="D13" s="25" t="str">
        <v>nomic_kok_open_ext_kok</v>
      </c>
      <c r="E13" s="25">
        <f>B13&amp;C13</f>
      </c>
      <c r="F13" s="25" t="str">
        <v>用户打开/关闭车外K歌，仅变化时记录</v>
      </c>
      <c r="G13" s="25" t="str">
        <v>operation</v>
      </c>
      <c r="H13" s="25" t="str">
        <v>打开、关闭</v>
      </c>
      <c r="I13" s="25" t="str">
        <v>用户{operation}车外K歌</v>
      </c>
      <c r="J13" s="25" t="str">
        <v>用户23312打开车外K歌</v>
      </c>
      <c r="M13" s="3" t="str">
        <v>P0</v>
      </c>
      <c r="N13" s="3" t="str">
        <v>V1</v>
      </c>
      <c r="O13" s="94">
        <v>46188</v>
      </c>
      <c r="P13" s="3" t="str">
        <v>用户后面添加对应UserId，可以通过他找到对应的用户信息</v>
      </c>
    </row>
    <row r="14" spans="1:16">
      <c r="A14" s="25" t="str">
        <v>人车交互</v>
      </c>
      <c r="B14" s="25" t="str">
        <v>无麦K歌</v>
      </c>
      <c r="C14" s="25" t="str">
        <v>开始/停止K歌录制</v>
      </c>
      <c r="D14" s="25" t="str">
        <v>nomic_kok_sta_rec</v>
      </c>
      <c r="E14" s="25">
        <f>B14&amp;C14</f>
      </c>
      <c r="F14" s="25" t="str">
        <v>用户开始/停止K歌录制，仅变化时记录</v>
      </c>
      <c r="G14" s="25" t="str">
        <v>operation</v>
      </c>
      <c r="H14" s="25" t="str">
        <v>打开、关闭</v>
      </c>
      <c r="I14" s="25" t="str">
        <v>用户{operation}无麦K歌录制</v>
      </c>
      <c r="J14" s="25" t="str">
        <v>用户23312打开无麦K歌录制</v>
      </c>
      <c r="M14" s="3" t="str">
        <v>P0</v>
      </c>
      <c r="N14" s="3" t="str">
        <v>V1</v>
      </c>
      <c r="O14" s="94">
        <v>46188</v>
      </c>
      <c r="P14" s="3" t="str">
        <v>用户后面添加对应UserId，可以通过他找到对应的用户信息</v>
      </c>
    </row>
    <row r="15" spans="1:16">
      <c r="A15" s="25" t="str">
        <v>人车交互</v>
      </c>
      <c r="B15" s="25" t="str">
        <v>无麦K歌</v>
      </c>
      <c r="C15" s="25" t="str">
        <v>切换麦克风收音区域</v>
      </c>
      <c r="D15" s="25" t="str">
        <v>nomic_kok_swt_cap_area</v>
      </c>
      <c r="E15" s="25">
        <f>B15&amp;C15</f>
      </c>
      <c r="F15" s="25" t="str">
        <v>用户切换麦克风收音区域，仅变化时记录</v>
      </c>
      <c r="G15" s="25" t="str">
        <v>micArea</v>
      </c>
      <c r="H15" s="25" t="str">
        <v>收音区域：用户选择的收音区域</v>
      </c>
      <c r="I15" s="25" t="str">
        <v>用户切换无麦K歌麦克风收音区域为{micArea}</v>
      </c>
      <c r="J15" s="25" t="str">
        <v>用户23312切换无麦K歌麦克风收音区域为主驾</v>
      </c>
      <c r="M15" s="3" t="str">
        <v>P0</v>
      </c>
      <c r="N15" s="3" t="str">
        <v>V1</v>
      </c>
      <c r="O15" s="94">
        <v>46188</v>
      </c>
      <c r="P15" s="3" t="str">
        <v>用户后面添加对应UserId，可以通过他找到对应的用户信息</v>
      </c>
    </row>
    <row r="16" spans="1:16">
      <c r="A16" s="25" t="str">
        <v>人车交互</v>
      </c>
      <c r="B16" s="25" t="str">
        <v>打开关闭app</v>
      </c>
      <c r="C16" s="25" t="str">
        <v>全民K歌</v>
      </c>
      <c r="D16" s="25" t="str">
        <v>app_ctl_qmk</v>
      </c>
      <c r="E16" s="25">
        <f>B16&amp;"-"&amp;C16</f>
      </c>
      <c r="F16" s="25">
        <f>"用户打开/关闭"&amp;C16&amp;"应用，仅变化时记录"</f>
      </c>
      <c r="G16" s="25" t="str">
        <v>operation</v>
      </c>
      <c r="H16" s="25" t="str">
        <v>打开、关闭</v>
      </c>
      <c r="I16" s="25">
        <f>"用户{"&amp;G16&amp;"}"&amp;C16&amp;"app"</f>
      </c>
      <c r="J16" s="25">
        <f>"用户23312打开"&amp;C16&amp;"app"</f>
      </c>
      <c r="M16" s="3" t="str">
        <v>P0</v>
      </c>
      <c r="N16" s="3" t="str">
        <v>V1</v>
      </c>
      <c r="O16" s="94">
        <v>46188</v>
      </c>
      <c r="P16" s="3" t="str">
        <v>用户后面添加对应UserId，可以通过他找到对应的用户信息</v>
      </c>
    </row>
    <row r="17" spans="1:16">
      <c r="A17" s="25" t="str">
        <v>人车交互</v>
      </c>
      <c r="B17" s="25" t="str">
        <v>打开关闭app</v>
      </c>
      <c r="C17" s="25" t="str">
        <v>车鱼视听</v>
      </c>
      <c r="D17" s="25" t="str">
        <v>app_ctl_cyav</v>
      </c>
      <c r="E17" s="25">
        <f>B17&amp;"-"&amp;C17</f>
      </c>
      <c r="F17" s="25">
        <f>"用户打开/关闭"&amp;C17&amp;"应用，仅变化时记录"</f>
      </c>
      <c r="G17" s="25" t="str">
        <v>operation</v>
      </c>
      <c r="H17" s="25" t="str">
        <v>打开、关闭</v>
      </c>
      <c r="I17" s="25">
        <f>"用户{"&amp;G17&amp;"}"&amp;C17&amp;"app"</f>
      </c>
      <c r="J17" s="25">
        <f>"用户23312打开"&amp;C17&amp;"app"</f>
      </c>
      <c r="M17" s="3" t="str">
        <v>P0</v>
      </c>
      <c r="N17" s="3" t="str">
        <v>V1</v>
      </c>
      <c r="O17" s="94">
        <v>46188</v>
      </c>
      <c r="P17" s="3" t="str">
        <v>用户后面添加对应UserId，可以通过他找到对应的用户信息</v>
      </c>
    </row>
    <row r="18" spans="1:16">
      <c r="A18" s="25" t="str">
        <v>人车交互</v>
      </c>
      <c r="B18" s="25" t="str">
        <v>打开关闭app</v>
      </c>
      <c r="C18" s="25" t="str">
        <v>美团</v>
      </c>
      <c r="D18" s="25" t="str">
        <v>app_ctl_meituan</v>
      </c>
      <c r="E18" s="25">
        <f>B18&amp;"-"&amp;C18</f>
      </c>
      <c r="F18" s="25">
        <f>"用户打开/关闭"&amp;C18&amp;"应用，仅变化时记录"</f>
      </c>
      <c r="G18" s="25" t="str">
        <v>operation</v>
      </c>
      <c r="H18" s="25" t="str">
        <v>打开、关闭</v>
      </c>
      <c r="I18" s="25">
        <f>"用户{"&amp;G18&amp;"}"&amp;C18&amp;"app"</f>
      </c>
      <c r="J18" s="25">
        <f>"用户23312打开"&amp;C18&amp;"app"</f>
      </c>
      <c r="M18" s="3" t="str">
        <v>P0</v>
      </c>
      <c r="N18" s="3" t="str">
        <v>V1</v>
      </c>
      <c r="O18" s="94">
        <v>46188</v>
      </c>
      <c r="P18" s="3" t="str">
        <v>用户后面添加对应UserId，可以通过他找到对应的用户信息</v>
      </c>
    </row>
    <row r="19" spans="1:16">
      <c r="A19" s="25" t="str">
        <v>人车交互</v>
      </c>
      <c r="B19" s="25" t="str">
        <v>打开关闭app</v>
      </c>
      <c r="C19" s="25" t="str">
        <v>腾讯视频</v>
      </c>
      <c r="D19" s="25" t="str">
        <v>app_ctl_tencentvideo</v>
      </c>
      <c r="E19" s="25">
        <f>B19&amp;"-"&amp;C19</f>
      </c>
      <c r="F19" s="25">
        <f>"用户打开/关闭"&amp;C19&amp;"应用，仅变化时记录"</f>
      </c>
      <c r="G19" s="25" t="str">
        <v>operation</v>
      </c>
      <c r="H19" s="25" t="str">
        <v>打开、关闭</v>
      </c>
      <c r="I19" s="25">
        <f>"用户{"&amp;G19&amp;"}"&amp;C19&amp;"app"</f>
      </c>
      <c r="J19" s="25">
        <f>"用户23312打开"&amp;C19&amp;"app"</f>
      </c>
      <c r="M19" s="3" t="str">
        <v>P0</v>
      </c>
      <c r="N19" s="3" t="str">
        <v>V1</v>
      </c>
      <c r="O19" s="94">
        <v>46188</v>
      </c>
      <c r="P19" s="3" t="str">
        <v>用户后面添加对应UserId，可以通过他找到对应的用户信息</v>
      </c>
    </row>
    <row r="20" spans="1:16">
      <c r="A20" s="25" t="str">
        <v>人车交互</v>
      </c>
      <c r="B20" s="25" t="str">
        <v>打开关闭app</v>
      </c>
      <c r="C20" s="25" t="str">
        <v>汽水音乐</v>
      </c>
      <c r="D20" s="25" t="str">
        <v>app_ctl_sqmusic</v>
      </c>
      <c r="E20" s="25">
        <f>B20&amp;"-"&amp;C20</f>
      </c>
      <c r="F20" s="25">
        <f>"用户打开/关闭"&amp;C20&amp;"应用，仅变化时记录"</f>
      </c>
      <c r="G20" s="25" t="str">
        <v>operation</v>
      </c>
      <c r="H20" s="25" t="str">
        <v>打开、关闭</v>
      </c>
      <c r="I20" s="25">
        <f>"用户{"&amp;G20&amp;"}"&amp;C20&amp;"app"</f>
      </c>
      <c r="J20" s="25">
        <f>"用户23312打开"&amp;C20&amp;"app"</f>
      </c>
      <c r="M20" s="3" t="str">
        <v>P0</v>
      </c>
      <c r="N20" s="3" t="str">
        <v>V1</v>
      </c>
      <c r="O20" s="94">
        <v>46188</v>
      </c>
      <c r="P20" s="3" t="str">
        <v>用户后面添加对应UserId，可以通过他找到对应的用户信息</v>
      </c>
    </row>
    <row r="21" spans="1:16">
      <c r="A21" s="25" t="str">
        <v>人车交互</v>
      </c>
      <c r="B21" s="25" t="str">
        <v>打开关闭app</v>
      </c>
      <c r="C21" s="25" t="str">
        <v>网易云音乐</v>
      </c>
      <c r="D21" s="25" t="str">
        <v>app_ctl_wangyimusic</v>
      </c>
      <c r="E21" s="25">
        <f>B21&amp;"-"&amp;C21</f>
      </c>
      <c r="F21" s="25">
        <f>"用户打开/关闭"&amp;C21&amp;"应用，仅变化时记录"</f>
      </c>
      <c r="G21" s="25" t="str">
        <v>operation</v>
      </c>
      <c r="H21" s="25" t="str">
        <v>打开、关闭</v>
      </c>
      <c r="I21" s="25">
        <f>"用户{"&amp;G21&amp;"}"&amp;C21&amp;"app"</f>
      </c>
      <c r="J21" s="25">
        <f>"用户23312打开"&amp;C21&amp;"app"</f>
      </c>
      <c r="M21" s="3" t="str">
        <v>P0</v>
      </c>
      <c r="N21" s="3" t="str">
        <v>V1</v>
      </c>
      <c r="O21" s="94">
        <v>46188</v>
      </c>
      <c r="P21" s="3" t="str">
        <v>用户后面添加对应UserId，可以通过他找到对应的用户信息</v>
      </c>
    </row>
    <row r="22" spans="1:16">
      <c r="A22" s="25" t="str">
        <v>人车交互</v>
      </c>
      <c r="B22" s="25" t="str">
        <v>打开关闭app</v>
      </c>
      <c r="C22" s="25" t="str">
        <v>QQ音乐</v>
      </c>
      <c r="D22" s="25" t="str">
        <v>app_ctl_qqmusic</v>
      </c>
      <c r="E22" s="25">
        <f>B22&amp;"-"&amp;C22</f>
      </c>
      <c r="F22" s="25">
        <f>"用户打开/关闭"&amp;C22&amp;"应用，仅变化时记录"</f>
      </c>
      <c r="G22" s="25" t="str">
        <v>operation</v>
      </c>
      <c r="H22" s="25" t="str">
        <v>打开、关闭</v>
      </c>
      <c r="I22" s="25">
        <f>"用户{"&amp;G22&amp;"}"&amp;C22&amp;"app"</f>
      </c>
      <c r="J22" s="25">
        <f>"用户23312打开"&amp;C22&amp;"app"</f>
      </c>
      <c r="M22" s="3" t="str">
        <v>P0</v>
      </c>
      <c r="N22" s="3" t="str">
        <v>V1</v>
      </c>
      <c r="O22" s="94">
        <v>46188</v>
      </c>
      <c r="P22" s="3" t="str">
        <v>用户后面添加对应UserId，可以通过他找到对应的用户信息</v>
      </c>
    </row>
    <row r="23" spans="1:16">
      <c r="A23" s="25" t="str">
        <v>人车交互</v>
      </c>
      <c r="B23" s="25" t="str">
        <v>打开关闭app</v>
      </c>
      <c r="C23" s="25" t="str">
        <v>酷狗音乐</v>
      </c>
      <c r="D23" s="25" t="str">
        <v>app_ctl_youku</v>
      </c>
      <c r="E23" s="25">
        <f>B23&amp;"-"&amp;C23</f>
      </c>
      <c r="F23" s="25">
        <f>"用户打开/关闭"&amp;C23&amp;"应用，仅变化时记录"</f>
      </c>
      <c r="G23" s="25" t="str">
        <v>operation</v>
      </c>
      <c r="H23" s="25" t="str">
        <v>打开、关闭</v>
      </c>
      <c r="I23" s="25">
        <f>"用户{"&amp;G23&amp;"}"&amp;C23&amp;"app"</f>
      </c>
      <c r="J23" s="25">
        <f>"用户23312打开"&amp;C23&amp;"app"</f>
      </c>
      <c r="M23" s="3" t="str">
        <v>P0</v>
      </c>
      <c r="N23" s="3" t="str">
        <v>V1</v>
      </c>
      <c r="O23" s="94">
        <v>46188</v>
      </c>
      <c r="P23" s="3" t="str">
        <v>用户后面添加对应UserId，可以通过他找到对应的用户信息</v>
      </c>
    </row>
    <row r="24" spans="1:16">
      <c r="A24" s="25" t="str">
        <v>人车交互</v>
      </c>
      <c r="B24" s="25" t="str">
        <v>打开关闭app</v>
      </c>
      <c r="C24" s="25" t="str">
        <v>哔哩哔哩</v>
      </c>
      <c r="D24" s="25" t="str">
        <v>app_ctl_bilibili</v>
      </c>
      <c r="E24" s="25">
        <f>B24&amp;"-"&amp;C24</f>
      </c>
      <c r="F24" s="25">
        <f>"用户打开/关闭"&amp;C24&amp;"应用，仅变化时记录"</f>
      </c>
      <c r="G24" s="25" t="str">
        <v>operation</v>
      </c>
      <c r="H24" s="25" t="str">
        <v>打开、关闭</v>
      </c>
      <c r="I24" s="25">
        <f>"用户{"&amp;G24&amp;"}"&amp;C24&amp;"app"</f>
      </c>
      <c r="J24" s="25">
        <f>"用户23312打开"&amp;C24&amp;"app"</f>
      </c>
      <c r="M24" s="3" t="str">
        <v>P0</v>
      </c>
      <c r="N24" s="3" t="str">
        <v>V1</v>
      </c>
      <c r="O24" s="94">
        <v>46188</v>
      </c>
      <c r="P24" s="3" t="str">
        <v>用户后面添加对应UserId，可以通过他找到对应的用户信息</v>
      </c>
    </row>
    <row r="25" spans="1:16">
      <c r="A25" s="25" t="str">
        <v>人车交互</v>
      </c>
      <c r="B25" s="25" t="str">
        <v>打开关闭app</v>
      </c>
      <c r="C25" s="25" t="str">
        <v>小宇宙</v>
      </c>
      <c r="D25" s="25" t="str">
        <v>app_ctl_xyz</v>
      </c>
      <c r="E25" s="25">
        <f>B25&amp;"-"&amp;C25</f>
      </c>
      <c r="F25" s="25">
        <f>"用户打开/关闭"&amp;C25&amp;"应用，仅变化时记录"</f>
      </c>
      <c r="G25" s="25" t="str">
        <v>operation</v>
      </c>
      <c r="H25" s="25" t="str">
        <v>打开、关闭</v>
      </c>
      <c r="I25" s="25">
        <f>"用户{"&amp;G25&amp;"}"&amp;C25&amp;"app"</f>
      </c>
      <c r="J25" s="25">
        <f>"用户23312打开"&amp;C25&amp;"app"</f>
      </c>
      <c r="M25" s="3" t="str">
        <v>P0</v>
      </c>
      <c r="N25" s="3" t="str">
        <v>V1</v>
      </c>
      <c r="O25" s="94">
        <v>46188</v>
      </c>
      <c r="P25" s="3" t="str">
        <v>用户后面添加对应UserId，可以通过他找到对应的用户信息</v>
      </c>
    </row>
    <row r="26" spans="1:16">
      <c r="A26" s="25" t="str">
        <v>人车交互</v>
      </c>
      <c r="B26" s="25" t="str">
        <v>打开关闭app</v>
      </c>
      <c r="C26" s="25" t="str">
        <v>雷石KTV</v>
      </c>
      <c r="D26" s="25" t="str">
        <v>app_ctl_lsktv</v>
      </c>
      <c r="E26" s="25">
        <f>B26&amp;"-"&amp;C26</f>
      </c>
      <c r="F26" s="25">
        <f>"用户打开/关闭"&amp;C26&amp;"应用，仅变化时记录"</f>
      </c>
      <c r="G26" s="25" t="str">
        <v>operation</v>
      </c>
      <c r="H26" s="25" t="str">
        <v>打开、关闭</v>
      </c>
      <c r="I26" s="25">
        <f>"用户{"&amp;G26&amp;"}"&amp;C26&amp;"app"</f>
      </c>
      <c r="J26" s="25">
        <f>"用户23312打开"&amp;C26&amp;"app"</f>
      </c>
      <c r="M26" s="3" t="str">
        <v>P0</v>
      </c>
      <c r="N26" s="3" t="str">
        <v>V1</v>
      </c>
      <c r="O26" s="94">
        <v>46188</v>
      </c>
      <c r="P26" s="3" t="str">
        <v>用户后面添加对应UserId，可以通过他找到对应的用户信息</v>
      </c>
    </row>
    <row r="27" spans="1:16">
      <c r="A27" s="25" t="str">
        <v>人车交互</v>
      </c>
      <c r="B27" s="25" t="str">
        <v>打开关闭app</v>
      </c>
      <c r="C27" s="25" t="str">
        <v>怀旧街机</v>
      </c>
      <c r="D27" s="25" t="str">
        <v>app_ctl_arcade</v>
      </c>
      <c r="E27" s="25">
        <f>B27&amp;"-"&amp;C27</f>
      </c>
      <c r="F27" s="25">
        <f>"用户打开/关闭"&amp;C27&amp;"应用，仅变化时记录"</f>
      </c>
      <c r="G27" s="25" t="str">
        <v>operation</v>
      </c>
      <c r="H27" s="25" t="str">
        <v>打开、关闭</v>
      </c>
      <c r="I27" s="25">
        <f>"用户{"&amp;G27&amp;"}"&amp;C27&amp;"app"</f>
      </c>
      <c r="J27" s="25">
        <f>"用户23312打开"&amp;C27&amp;"app"</f>
      </c>
      <c r="M27" s="3" t="str">
        <v>P0</v>
      </c>
      <c r="N27" s="3" t="str">
        <v>V1</v>
      </c>
      <c r="O27" s="94">
        <v>46188</v>
      </c>
      <c r="P27" s="3" t="str">
        <v>用户后面添加对应UserId，可以通过他找到对应的用户信息</v>
      </c>
    </row>
    <row r="28" spans="1:16">
      <c r="A28" s="25" t="str">
        <v>人车交互</v>
      </c>
      <c r="B28" s="25" t="str">
        <v>打开关闭app</v>
      </c>
      <c r="C28" s="17" t="str">
        <v>支付宝车载助手</v>
      </c>
      <c r="D28" s="25" t="str">
        <v>app_ctl_alipay_car</v>
      </c>
      <c r="E28" s="25">
        <f>B28&amp;"-"&amp;C28</f>
      </c>
      <c r="F28" s="25">
        <f>"用户打开/关闭"&amp;C28&amp;"应用，仅变化时记录"</f>
      </c>
      <c r="G28" s="25" t="str">
        <v>operation</v>
      </c>
      <c r="H28" s="25" t="str">
        <v>打开、关闭</v>
      </c>
      <c r="I28" s="25">
        <f>"用户{"&amp;G28&amp;"}"&amp;C28&amp;"app"</f>
      </c>
      <c r="J28" s="25">
        <f>"用户23312打开"&amp;C28&amp;"app"</f>
      </c>
      <c r="M28" s="3" t="str">
        <v>P0</v>
      </c>
      <c r="N28" s="3" t="str">
        <v>V1</v>
      </c>
      <c r="O28" s="94">
        <v>46188</v>
      </c>
      <c r="P28" s="3" t="str">
        <v>用户后面添加对应UserId，可以通过他找到对应的用户信息</v>
      </c>
    </row>
    <row r="29" spans="1:16">
      <c r="A29" s="25" t="str">
        <v>人车交互</v>
      </c>
      <c r="B29" s="25" t="str">
        <v>打开关闭app</v>
      </c>
      <c r="C29" s="25" t="str">
        <v>高德地图</v>
      </c>
      <c r="D29" s="25" t="str">
        <v>app_ctl_amap</v>
      </c>
      <c r="E29" s="25">
        <f>B29&amp;"-"&amp;C29</f>
      </c>
      <c r="F29" s="25">
        <f>"用户打开/关闭"&amp;C29&amp;"应用，仅变化时记录"</f>
      </c>
      <c r="G29" s="25" t="str">
        <v>operation</v>
      </c>
      <c r="H29" s="25" t="str">
        <v>打开、关闭</v>
      </c>
      <c r="I29" s="25">
        <f>"用户{"&amp;G29&amp;"}"&amp;C29&amp;"app"</f>
      </c>
      <c r="J29" s="25">
        <f>"用户23312打开"&amp;C29&amp;"app"</f>
      </c>
      <c r="M29" s="3" t="str">
        <v>P0</v>
      </c>
      <c r="N29" s="3" t="str">
        <v>V1</v>
      </c>
      <c r="O29" s="94">
        <v>46188</v>
      </c>
      <c r="P29" s="3" t="str">
        <v>用户后面添加对应UserId，可以通过他找到对应的用户信息</v>
      </c>
    </row>
    <row r="30" spans="1:16">
      <c r="A30" s="25" t="str">
        <v>人车交互</v>
      </c>
      <c r="B30" s="25" t="str">
        <v>打开关闭app</v>
      </c>
      <c r="C30" s="25" t="str">
        <v>车辆设置（设置）</v>
      </c>
      <c r="D30" s="25" t="str">
        <v>app_ctl_car_set</v>
      </c>
      <c r="E30" s="25">
        <f>B30&amp;"-"&amp;C30</f>
      </c>
      <c r="F30" s="25">
        <f>"用户打开/关闭"&amp;C30&amp;"应用，仅变化时记录"</f>
      </c>
      <c r="G30" s="25" t="str">
        <v>operation</v>
      </c>
      <c r="H30" s="25" t="str">
        <v>打开、关闭</v>
      </c>
      <c r="I30" s="25">
        <f>"用户{"&amp;G30&amp;"}"&amp;C30&amp;"app"</f>
      </c>
      <c r="J30" s="25">
        <f>"用户23312打开"&amp;C30&amp;"app"</f>
      </c>
      <c r="M30" s="3" t="str">
        <v>P0</v>
      </c>
      <c r="N30" s="3" t="str">
        <v>V1</v>
      </c>
      <c r="O30" s="94">
        <v>46188</v>
      </c>
      <c r="P30" s="3" t="str">
        <v>用户后面添加对应UserId，可以通过他找到对应的用户信息</v>
      </c>
    </row>
    <row r="31" spans="1:16">
      <c r="A31" s="25" t="str">
        <v>人车交互</v>
      </c>
      <c r="B31" s="25" t="str">
        <v>打开关闭app</v>
      </c>
      <c r="C31" s="25" t="str">
        <v>DVR</v>
      </c>
      <c r="D31" s="25" t="str">
        <v>app_ctl_dvr</v>
      </c>
      <c r="E31" s="25">
        <f>B31&amp;"-"&amp;C31</f>
      </c>
      <c r="F31" s="25">
        <f>"用户打开/关闭"&amp;C31&amp;"应用，仅变化时记录"</f>
      </c>
      <c r="G31" s="25" t="str">
        <v>operation</v>
      </c>
      <c r="H31" s="25" t="str">
        <v>打开、关闭</v>
      </c>
      <c r="I31" s="25">
        <f>"用户{"&amp;G31&amp;"}"&amp;C31&amp;"app"</f>
      </c>
      <c r="J31" s="25">
        <f>"用户23312打开"&amp;C31&amp;"app"</f>
      </c>
      <c r="M31" s="3" t="str">
        <v>P0</v>
      </c>
      <c r="N31" s="3" t="str">
        <v>V1</v>
      </c>
      <c r="O31" s="94">
        <v>46188</v>
      </c>
      <c r="P31" s="3" t="str">
        <v>用户后面添加对应UserId，可以通过他找到对应的用户信息</v>
      </c>
    </row>
    <row r="32" spans="1:16">
      <c r="A32" s="25" t="str">
        <v>人车交互</v>
      </c>
      <c r="B32" s="25" t="str">
        <v>打开关闭app</v>
      </c>
      <c r="C32" s="25" t="str">
        <v>相册</v>
      </c>
      <c r="D32" s="25" t="str">
        <v>app_ctl_album</v>
      </c>
      <c r="E32" s="25">
        <f>B32&amp;"-"&amp;C32</f>
      </c>
      <c r="F32" s="25">
        <f>"用户打开/关闭"&amp;C32&amp;"应用，仅变化时记录"</f>
      </c>
      <c r="G32" s="25" t="str">
        <v>operation</v>
      </c>
      <c r="H32" s="25" t="str">
        <v>打开、关闭</v>
      </c>
      <c r="I32" s="25">
        <f>"用户{"&amp;G32&amp;"}"&amp;C32&amp;"app"</f>
      </c>
      <c r="J32" s="25">
        <f>"用户23312打开"&amp;C32&amp;"app"</f>
      </c>
      <c r="M32" s="3" t="str">
        <v>P0</v>
      </c>
      <c r="N32" s="3" t="str">
        <v>V1</v>
      </c>
      <c r="O32" s="94">
        <v>46188</v>
      </c>
      <c r="P32" s="3" t="str">
        <v>用户后面添加对应UserId，可以通过他找到对应的用户信息</v>
      </c>
    </row>
    <row r="33" spans="1:16">
      <c r="A33" s="25" t="str">
        <v>人车交互</v>
      </c>
      <c r="B33" s="25" t="str">
        <v>打开关闭app</v>
      </c>
      <c r="C33" s="25" t="str">
        <v>打开底盘APP（名字待定）</v>
      </c>
      <c r="D33" s="25" t="str">
        <v>app_ctl_chassis</v>
      </c>
      <c r="E33" s="25">
        <f>B33&amp;"-"&amp;C33</f>
      </c>
      <c r="F33" s="25">
        <f>"用户打开/关闭"&amp;C33&amp;"应用，仅变化时记录"</f>
      </c>
      <c r="G33" s="25" t="str">
        <v>operation</v>
      </c>
      <c r="H33" s="25" t="str">
        <v>打开、关闭</v>
      </c>
      <c r="I33" s="25">
        <f>"用户{"&amp;G33&amp;"}"&amp;C33&amp;"app"</f>
      </c>
      <c r="J33" s="25">
        <f>"用户23312打开"&amp;C33&amp;"app"</f>
      </c>
      <c r="M33" s="3" t="str">
        <v>P0</v>
      </c>
      <c r="N33" s="3" t="str">
        <v>V1</v>
      </c>
      <c r="O33" s="94">
        <v>46188</v>
      </c>
      <c r="P33" s="3" t="str">
        <v>用户后面添加对应UserId，可以通过他找到对应的用户信息</v>
      </c>
    </row>
    <row r="34" spans="1:16">
      <c r="A34" s="25" t="str">
        <v>人车交互</v>
      </c>
      <c r="B34" s="25" t="str">
        <v>打开关闭app</v>
      </c>
      <c r="C34" s="25" t="str">
        <v>SR </v>
      </c>
      <c r="D34" s="25" t="str">
        <v>app_ctl_sr</v>
      </c>
      <c r="E34" s="25">
        <f>B34&amp;"-"&amp;C34</f>
      </c>
      <c r="F34" s="25">
        <f>"用户打开/关闭"&amp;C34&amp;"应用，仅变化时记录"</f>
      </c>
      <c r="G34" s="25" t="str">
        <v>operation</v>
      </c>
      <c r="H34" s="25" t="str">
        <v>打开、关闭</v>
      </c>
      <c r="I34" s="25">
        <f>"用户{"&amp;G34&amp;"}"&amp;C34&amp;"app"</f>
      </c>
      <c r="J34" s="25">
        <f>"用户23312打开"&amp;C34&amp;"app"</f>
      </c>
      <c r="M34" s="3" t="str">
        <v>P0</v>
      </c>
      <c r="N34" s="3" t="str">
        <v>V1</v>
      </c>
      <c r="O34" s="94">
        <v>46188</v>
      </c>
      <c r="P34" s="3" t="str">
        <v>用户后面添加对应UserId，可以通过他找到对应的用户信息</v>
      </c>
    </row>
    <row r="35" spans="1:16">
      <c r="A35" s="25" t="str">
        <v>人车交互</v>
      </c>
      <c r="B35" s="25" t="str">
        <v>打开关闭app</v>
      </c>
      <c r="C35" s="25" t="str">
        <v>AVM</v>
      </c>
      <c r="D35" s="25" t="str">
        <v>app_ctl_avm</v>
      </c>
      <c r="E35" s="25">
        <f>B35&amp;"-"&amp;C35</f>
      </c>
      <c r="F35" s="25">
        <f>"用户打开/关闭"&amp;C35&amp;"应用，仅变化时记录"</f>
      </c>
      <c r="G35" s="25" t="str">
        <v>operation</v>
      </c>
      <c r="H35" s="25" t="str">
        <v>打开、关闭</v>
      </c>
      <c r="I35" s="25">
        <f>"用户{"&amp;G35&amp;"}"&amp;C35&amp;"app"</f>
      </c>
      <c r="J35" s="25">
        <f>"用户23312打开"&amp;C35&amp;"app"</f>
      </c>
      <c r="M35" s="3" t="str">
        <v>P0</v>
      </c>
      <c r="N35" s="3" t="str">
        <v>V1</v>
      </c>
      <c r="O35" s="94">
        <v>46188</v>
      </c>
      <c r="P35" s="3" t="str">
        <v>用户后面添加对应UserId，可以通过他找到对应的用户信息</v>
      </c>
    </row>
    <row r="36" spans="1:16">
      <c r="A36" s="25" t="str">
        <v>人车交互</v>
      </c>
      <c r="B36" s="25" t="str">
        <v>打开关闭app</v>
      </c>
      <c r="C36" s="25" t="str">
        <v>城市谜语-待定</v>
      </c>
      <c r="D36" s="25" t="str">
        <v>app_ctl_city_riddle</v>
      </c>
      <c r="E36" s="25">
        <f>B36&amp;"-"&amp;C36</f>
      </c>
      <c r="F36" s="25">
        <f>"用户打开/关闭"&amp;C36&amp;"应用，仅变化时记录"</f>
      </c>
      <c r="G36" s="25" t="str">
        <v>operation</v>
      </c>
      <c r="H36" s="25" t="str">
        <v>打开、关闭</v>
      </c>
      <c r="I36" s="25">
        <f>"用户{"&amp;G36&amp;"}"&amp;C36&amp;"app"</f>
      </c>
      <c r="J36" s="25">
        <f>"用户23312打开"&amp;C36&amp;"app"</f>
      </c>
      <c r="M36" s="3" t="str">
        <v>P0</v>
      </c>
      <c r="N36" s="3" t="str">
        <v>V1</v>
      </c>
      <c r="O36" s="94">
        <v>46188</v>
      </c>
      <c r="P36" s="3" t="str">
        <v>用户后面添加对应UserId，可以通过他找到对应的用户信息</v>
      </c>
    </row>
    <row r="37" spans="1:16">
      <c r="A37" s="25" t="str">
        <v>人车交互</v>
      </c>
      <c r="B37" s="25" t="str">
        <v>打开关闭app</v>
      </c>
      <c r="C37" s="25" t="str">
        <v>AI导演</v>
      </c>
      <c r="D37" s="25" t="str">
        <v>app_ctl_ai_dir</v>
      </c>
      <c r="E37" s="25">
        <f>B37&amp;"-"&amp;C37</f>
      </c>
      <c r="F37" s="25">
        <f>"用户打开/关闭"&amp;C37&amp;"应用，仅变化时记录"</f>
      </c>
      <c r="G37" s="25" t="str">
        <v>operation</v>
      </c>
      <c r="H37" s="25" t="str">
        <v>打开、关闭</v>
      </c>
      <c r="I37" s="25">
        <f>"用户{"&amp;G37&amp;"}"&amp;C37&amp;"app"</f>
      </c>
      <c r="J37" s="25">
        <f>"用户23312打开"&amp;C37&amp;"app"</f>
      </c>
      <c r="M37" s="3" t="str">
        <v>P0</v>
      </c>
      <c r="N37" s="3" t="str">
        <v>V1</v>
      </c>
      <c r="O37" s="94">
        <v>46188</v>
      </c>
      <c r="P37" s="3" t="str">
        <v>用户后面添加对应UserId，可以通过他找到对应的用户信息</v>
      </c>
    </row>
    <row r="38" spans="1:16">
      <c r="A38" s="25" t="str">
        <v>人车交互</v>
      </c>
      <c r="B38" s="25" t="str">
        <v>打开关闭app</v>
      </c>
      <c r="C38" s="25" t="str">
        <v>Hicar</v>
      </c>
      <c r="D38" s="25" t="str">
        <v>app_ctl_hicar</v>
      </c>
      <c r="E38" s="25">
        <f>B38&amp;"-"&amp;C38</f>
      </c>
      <c r="F38" s="25">
        <f>"用户打开/关闭"&amp;C38&amp;"应用，仅变化时记录"</f>
      </c>
      <c r="G38" s="25" t="str">
        <v>operation</v>
      </c>
      <c r="H38" s="25" t="str">
        <v>打开、关闭</v>
      </c>
      <c r="I38" s="25">
        <f>"用户{"&amp;G38&amp;"}"&amp;C38&amp;"app"</f>
      </c>
      <c r="J38" s="25">
        <f>"用户23312打开"&amp;C38&amp;"app"</f>
      </c>
      <c r="M38" s="3" t="str">
        <v>P0</v>
      </c>
      <c r="N38" s="3" t="str">
        <v>V1</v>
      </c>
      <c r="O38" s="94">
        <v>46188</v>
      </c>
      <c r="P38" s="3" t="str">
        <v>用户后面添加对应UserId，可以通过他找到对应的用户信息</v>
      </c>
    </row>
    <row r="39" spans="1:16">
      <c r="A39" s="25" t="str">
        <v>人车交互</v>
      </c>
      <c r="B39" s="25" t="str">
        <v>打开关闭app</v>
      </c>
      <c r="C39" s="25" t="str">
        <v>Carlink</v>
      </c>
      <c r="D39" s="25" t="str">
        <v>app_ctl_carlink</v>
      </c>
      <c r="E39" s="25">
        <f>B39&amp;"-"&amp;C39</f>
      </c>
      <c r="F39" s="25">
        <f>"用户打开/关闭"&amp;C39&amp;"应用，仅变化时记录"</f>
      </c>
      <c r="G39" s="25" t="str">
        <v>operation</v>
      </c>
      <c r="H39" s="25" t="str">
        <v>打开、关闭</v>
      </c>
      <c r="I39" s="25">
        <f>"用户{"&amp;G39&amp;"}"&amp;C39&amp;"app"</f>
      </c>
      <c r="J39" s="25">
        <f>"用户23312打开"&amp;C39&amp;"app"</f>
      </c>
      <c r="M39" s="3" t="str">
        <v>P0</v>
      </c>
      <c r="N39" s="3" t="str">
        <v>V1</v>
      </c>
      <c r="O39" s="94">
        <v>46188</v>
      </c>
      <c r="P39" s="3" t="str">
        <v>用户后面添加对应UserId，可以通过他找到对应的用户信息</v>
      </c>
    </row>
    <row r="40" spans="1:16">
      <c r="A40" s="25" t="str">
        <v>人车交互</v>
      </c>
      <c r="B40" s="25" t="str">
        <v>打开关闭app</v>
      </c>
      <c r="C40" s="25" t="str">
        <v>Carplay</v>
      </c>
      <c r="D40" s="25" t="str">
        <v>app_ctl_carplay</v>
      </c>
      <c r="E40" s="25">
        <f>B40&amp;"-"&amp;C40</f>
      </c>
      <c r="F40" s="25">
        <f>"用户打开/关闭"&amp;C40&amp;"应用，仅变化时记录"</f>
      </c>
      <c r="G40" s="25" t="str">
        <v>operation</v>
      </c>
      <c r="H40" s="25" t="str">
        <v>打开、关闭</v>
      </c>
      <c r="I40" s="25">
        <f>"用户{"&amp;G40&amp;"}"&amp;C40&amp;"app"</f>
      </c>
      <c r="J40" s="25">
        <f>"用户23312打开"&amp;C40&amp;"app"</f>
      </c>
      <c r="M40" s="3" t="str">
        <v>P0</v>
      </c>
      <c r="N40" s="3" t="str">
        <v>V1</v>
      </c>
      <c r="O40" s="94">
        <v>46188</v>
      </c>
      <c r="P40" s="3" t="str">
        <v>用户后面添加对应UserId，可以通过他找到对应的用户信息</v>
      </c>
    </row>
    <row r="41" spans="1:16">
      <c r="A41" s="25" t="str">
        <v>人车交互</v>
      </c>
      <c r="B41" s="25" t="str">
        <v>打开关闭app</v>
      </c>
      <c r="C41" s="25" t="str">
        <v>DLNA</v>
      </c>
      <c r="D41" s="25" t="str">
        <v>app_ctl_dlna</v>
      </c>
      <c r="E41" s="25">
        <f>B41&amp;"-"&amp;C41</f>
      </c>
      <c r="F41" s="25">
        <f>"用户打开/关闭"&amp;C41&amp;"应用，仅变化时记录"</f>
      </c>
      <c r="G41" s="25" t="str">
        <v>operation</v>
      </c>
      <c r="H41" s="25" t="str">
        <v>打开、关闭</v>
      </c>
      <c r="I41" s="25">
        <f>"用户{"&amp;G41&amp;"}"&amp;C41&amp;"app"</f>
      </c>
      <c r="J41" s="25">
        <f>"用户23312打开"&amp;C41&amp;"app"</f>
      </c>
      <c r="M41" s="3" t="str">
        <v>P0</v>
      </c>
      <c r="N41" s="3" t="str">
        <v>V1</v>
      </c>
      <c r="O41" s="94">
        <v>46188</v>
      </c>
      <c r="P41" s="3" t="str">
        <v>用户后面添加对应UserId，可以通过他找到对应的用户信息</v>
      </c>
    </row>
    <row r="42" spans="1:16">
      <c r="A42" s="25" t="str">
        <v>人车交互</v>
      </c>
      <c r="B42" s="25" t="str">
        <v>打开关闭app</v>
      </c>
      <c r="C42" s="25" t="str">
        <v>有线投屏APP</v>
      </c>
      <c r="D42" s="25" t="str">
        <v>app_ctl_wire_cast</v>
      </c>
      <c r="E42" s="25">
        <f>B42&amp;"-"&amp;C42</f>
      </c>
      <c r="F42" s="25">
        <f>"用户打开/关闭"&amp;C42&amp;"应用，仅变化时记录"</f>
      </c>
      <c r="G42" s="25" t="str">
        <v>operation</v>
      </c>
      <c r="H42" s="25" t="str">
        <v>打开、关闭</v>
      </c>
      <c r="I42" s="25">
        <f>"用户{"&amp;G42&amp;"}"&amp;C42&amp;"app"</f>
      </c>
      <c r="J42" s="25">
        <f>"用户23312打开"&amp;C42&amp;"app"</f>
      </c>
      <c r="M42" s="3" t="str">
        <v>P0</v>
      </c>
      <c r="N42" s="3" t="str">
        <v>V1</v>
      </c>
      <c r="O42" s="94">
        <v>46188</v>
      </c>
      <c r="P42" s="3" t="str">
        <v>用户后面添加对应UserId，可以通过他找到对应的用户信息</v>
      </c>
    </row>
    <row r="43" spans="1:16">
      <c r="A43" s="25" t="str">
        <v>人车交互</v>
      </c>
      <c r="B43" s="25" t="str">
        <v>打开关闭app</v>
      </c>
      <c r="C43" s="17" t="str">
        <v>音频聚合应用—具体名字待定</v>
      </c>
      <c r="D43" s="25" t="str">
        <v>app_ctl_audio_agg</v>
      </c>
      <c r="E43" s="25">
        <f>B43&amp;"-"&amp;C43</f>
      </c>
      <c r="F43" s="25">
        <f>"用户打开/关闭"&amp;C43&amp;"应用，仅变化时记录"</f>
      </c>
      <c r="G43" s="25" t="str">
        <v>operation</v>
      </c>
      <c r="H43" s="25" t="str">
        <v>打开、关闭</v>
      </c>
      <c r="I43" s="25">
        <f>"用户{"&amp;G43&amp;"}"&amp;C43&amp;"app"</f>
      </c>
      <c r="J43" s="25">
        <f>"用户23312打开"&amp;C43&amp;"app"</f>
      </c>
      <c r="M43" s="3" t="str">
        <v>P0</v>
      </c>
      <c r="N43" s="3" t="str">
        <v>V1</v>
      </c>
      <c r="O43" s="94">
        <v>46188</v>
      </c>
      <c r="P43" s="3" t="str">
        <v>用户后面添加对应UserId，可以通过他找到对应的用户信息</v>
      </c>
    </row>
    <row r="44" spans="1:16">
      <c r="A44" s="25" t="str">
        <v>人车交互</v>
      </c>
      <c r="B44" s="25" t="str">
        <v>打开关闭app</v>
      </c>
      <c r="C44" s="17" t="str">
        <v>应用商店</v>
      </c>
      <c r="D44" s="25" t="str">
        <v>app_ctl_app_store</v>
      </c>
      <c r="E44" s="25">
        <f>B44&amp;"-"&amp;C44</f>
      </c>
      <c r="F44" s="25">
        <f>"用户打开/关闭"&amp;C44&amp;"应用，仅变化时记录"</f>
      </c>
      <c r="G44" s="25" t="str">
        <v>operation</v>
      </c>
      <c r="H44" s="25" t="str">
        <v>打开、关闭</v>
      </c>
      <c r="I44" s="25">
        <f>"用户{"&amp;G44&amp;"}"&amp;C44&amp;"app"</f>
      </c>
      <c r="J44" s="25">
        <f>"用户23312打开"&amp;C44&amp;"app"</f>
      </c>
      <c r="M44" s="3" t="str">
        <v>P0</v>
      </c>
      <c r="N44" s="3" t="str">
        <v>V1</v>
      </c>
      <c r="O44" s="94">
        <v>46188</v>
      </c>
      <c r="P44" s="3" t="str">
        <v>用户后面添加对应UserId，可以通过他找到对应的用户信息</v>
      </c>
    </row>
    <row r="45" spans="1:16">
      <c r="A45" s="25" t="str">
        <v>人车交互</v>
      </c>
      <c r="B45" s="25" t="str">
        <v>打开关闭app</v>
      </c>
      <c r="C45" s="25" t="str">
        <v>相机</v>
      </c>
      <c r="D45" s="25" t="str">
        <v>app_ctl_camera</v>
      </c>
      <c r="E45" s="25">
        <f>B45&amp;"-"&amp;C45</f>
      </c>
      <c r="F45" s="25">
        <f>"用户打开/关闭"&amp;C45&amp;"应用，仅变化时记录"</f>
      </c>
      <c r="G45" s="25" t="str">
        <v>operation</v>
      </c>
      <c r="H45" s="25" t="str">
        <v>打开、关闭</v>
      </c>
      <c r="I45" s="25">
        <f>"用户{"&amp;G45&amp;"}"&amp;C45&amp;"app"</f>
      </c>
      <c r="J45" s="25">
        <f>"用户23312打开"&amp;C45&amp;"app"</f>
      </c>
      <c r="M45" s="3" t="str">
        <v>P0</v>
      </c>
      <c r="N45" s="3" t="str">
        <v>V1</v>
      </c>
      <c r="O45" s="94">
        <v>46188</v>
      </c>
      <c r="P45" s="3" t="str">
        <v>用户后面添加对应UserId，可以通过他找到对应的用户信息</v>
      </c>
    </row>
    <row r="46" spans="1:16">
      <c r="A46" s="25" t="str">
        <v>人车交互</v>
      </c>
      <c r="B46" s="25" t="str">
        <v>打开关闭app</v>
      </c>
      <c r="C46" s="25" t="str">
        <v>智能设备</v>
      </c>
      <c r="D46" s="25" t="str">
        <v>app_ctl_smart_dev</v>
      </c>
      <c r="E46" s="25">
        <f>B46&amp;"-"&amp;C46</f>
      </c>
      <c r="F46" s="25">
        <f>"用户打开/关闭"&amp;C46&amp;"应用，仅变化时记录"</f>
      </c>
      <c r="G46" s="25" t="str">
        <v>operation</v>
      </c>
      <c r="H46" s="25" t="str">
        <v>打开、关闭</v>
      </c>
      <c r="I46" s="25">
        <f>"用户{"&amp;G46&amp;"}"&amp;C46&amp;"app"</f>
      </c>
      <c r="J46" s="25">
        <f>"用户23312打开"&amp;C46&amp;"app"</f>
      </c>
      <c r="M46" s="3" t="str">
        <v>P0</v>
      </c>
      <c r="N46" s="3" t="str">
        <v>V1</v>
      </c>
      <c r="O46" s="94">
        <v>46188</v>
      </c>
      <c r="P46" s="3" t="str">
        <v>用户后面添加对应UserId，可以通过他找到对应的用户信息</v>
      </c>
    </row>
    <row r="47" spans="1:16">
      <c r="A47" s="25" t="str">
        <v>人车交互</v>
      </c>
      <c r="B47" s="25" t="str">
        <v>打开关闭app</v>
      </c>
      <c r="C47" s="25" t="str">
        <v>车主指南（用户中心）</v>
      </c>
      <c r="D47" s="25" t="str">
        <v>app_ctl_user_ctr</v>
      </c>
      <c r="E47" s="25">
        <f>B47&amp;"-"&amp;C47</f>
      </c>
      <c r="F47" s="25">
        <f>"用户打开/关闭"&amp;C47&amp;"应用，仅变化时记录"</f>
      </c>
      <c r="G47" s="25" t="str">
        <v>operation</v>
      </c>
      <c r="H47" s="25" t="str">
        <v>打开、关闭</v>
      </c>
      <c r="I47" s="25">
        <f>"用户{"&amp;G47&amp;"}"&amp;C47&amp;"app"</f>
      </c>
      <c r="J47" s="25">
        <f>"用户23312打开"&amp;C47&amp;"app"</f>
      </c>
      <c r="M47" s="3" t="str">
        <v>P0</v>
      </c>
      <c r="N47" s="3" t="str">
        <v>V1</v>
      </c>
      <c r="O47" s="94">
        <v>46188</v>
      </c>
      <c r="P47" s="3" t="str">
        <v>用户后面添加对应UserId，可以通过他找到对应的用户信息</v>
      </c>
    </row>
    <row r="48" spans="1:16">
      <c r="A48" s="25" t="str">
        <v>人车交互</v>
      </c>
      <c r="B48" s="25" t="str">
        <v>打开关闭app</v>
      </c>
      <c r="C48" s="17" t="str">
        <v>支付宝小程序（e.g, 支付宝车生活）</v>
      </c>
      <c r="D48" s="25" t="str">
        <v>app_ctl_alipay_min</v>
      </c>
      <c r="E48" s="25">
        <f>B48&amp;"-"&amp;C48</f>
      </c>
      <c r="F48" s="25">
        <f>"用户打开/关闭"&amp;C48&amp;"应用，仅变化时记录"</f>
      </c>
      <c r="G48" s="25" t="str">
        <v>operation</v>
      </c>
      <c r="H48" s="25" t="str">
        <v>打开、关闭</v>
      </c>
      <c r="I48" s="25">
        <f>"用户{"&amp;G48&amp;"}"&amp;C48&amp;"app"</f>
      </c>
      <c r="J48" s="25">
        <f>"用户23312打开"&amp;C48&amp;"app"</f>
      </c>
      <c r="M48" s="3" t="str">
        <v>P0</v>
      </c>
      <c r="N48" s="3" t="str">
        <v>V1</v>
      </c>
      <c r="O48" s="94">
        <v>46188</v>
      </c>
      <c r="P48" s="3" t="str">
        <v>用户后面添加对应UserId，可以通过他找到对应的用户信息</v>
      </c>
    </row>
    <row r="49" spans="1:16">
      <c r="A49" s="3" t="str">
        <v>人车交互</v>
      </c>
      <c r="B49" s="3" t="str">
        <v>下载/卸载/更新第三方app</v>
      </c>
      <c r="C49" s="25" t="str">
        <v>车鱼视听</v>
      </c>
      <c r="D49" s="25" t="str">
        <v>app_opt_cyav</v>
      </c>
      <c r="E49" s="25">
        <f>B49&amp;"-"&amp;C49</f>
      </c>
      <c r="F49" s="25">
        <f>"用户下载/卸载/更新"&amp;C49&amp;"应用，仅变化时记录"</f>
      </c>
      <c r="G49" s="25" t="str">
        <v>operation</v>
      </c>
      <c r="H49" s="3" t="str">
        <v>下载、卸载、更新</v>
      </c>
      <c r="I49" s="25">
        <f>"用户{"&amp;G49&amp;"}"&amp;C49&amp;"app"</f>
      </c>
      <c r="J49" s="25">
        <f>"用户23312更新"&amp;C49&amp;"app"</f>
      </c>
      <c r="M49" s="3" t="str">
        <v>P0</v>
      </c>
      <c r="N49" s="3" t="str">
        <v>V1</v>
      </c>
      <c r="O49" s="94">
        <v>46188</v>
      </c>
      <c r="P49" s="3" t="str">
        <v>用户后面添加对应UserId，可以通过他找到对应的用户信息</v>
      </c>
    </row>
    <row r="50" spans="1:16">
      <c r="A50" s="25" t="str">
        <v>人车交互</v>
      </c>
      <c r="B50" s="25" t="str">
        <v>下载/卸载/更新第三方app</v>
      </c>
      <c r="C50" s="25" t="str">
        <v>美团</v>
      </c>
      <c r="D50" s="25" t="str">
        <v>app_opt_meituan</v>
      </c>
      <c r="E50" s="25">
        <f>B50&amp;"-"&amp;C50</f>
      </c>
      <c r="F50" s="25">
        <f>"用户下载/卸载/更新"&amp;C50&amp;"应用，仅变化时记录"</f>
      </c>
      <c r="G50" s="25" t="str">
        <v>operation</v>
      </c>
      <c r="H50" s="25" t="str">
        <v>下载、卸载、更新</v>
      </c>
      <c r="I50" s="25">
        <f>"用户{"&amp;G50&amp;"}"&amp;C50&amp;"app"</f>
      </c>
      <c r="J50" s="25">
        <f>"用户23312下载"&amp;C50&amp;"app"</f>
      </c>
      <c r="M50" s="3" t="str">
        <v>P0</v>
      </c>
      <c r="N50" s="3" t="str">
        <v>V1</v>
      </c>
      <c r="O50" s="94">
        <v>46188</v>
      </c>
      <c r="P50" s="3" t="str">
        <v>用户后面添加对应UserId，可以通过他找到对应的用户信息</v>
      </c>
    </row>
    <row r="51" spans="1:16">
      <c r="A51" s="3" t="str">
        <v>人车交互</v>
      </c>
      <c r="B51" s="3" t="str">
        <v>下载/卸载/更新第三方app</v>
      </c>
      <c r="C51" s="25" t="str">
        <v>腾讯视频</v>
      </c>
      <c r="D51" s="25" t="str">
        <v>app_opt_tencentvideo</v>
      </c>
      <c r="E51" s="25">
        <f>B51&amp;"-"&amp;C51</f>
      </c>
      <c r="F51" s="25">
        <f>"用户下载/卸载/更新"&amp;C51&amp;"应用，仅变化时记录"</f>
      </c>
      <c r="G51" s="25" t="str">
        <v>operation</v>
      </c>
      <c r="H51" s="3" t="str">
        <v>下载、卸载、更新</v>
      </c>
      <c r="I51" s="25">
        <f>"用户{"&amp;G51&amp;"}"&amp;C51&amp;"app"</f>
      </c>
      <c r="J51" s="25">
        <f>"用户23312卸载"&amp;C51&amp;"app"</f>
      </c>
      <c r="M51" s="3" t="str">
        <v>P0</v>
      </c>
      <c r="N51" s="3" t="str">
        <v>V1</v>
      </c>
      <c r="O51" s="94">
        <v>46188</v>
      </c>
      <c r="P51" s="3" t="str">
        <v>用户后面添加对应UserId，可以通过他找到对应的用户信息</v>
      </c>
    </row>
    <row r="52" spans="1:16">
      <c r="A52" s="3" t="str">
        <v>人车交互</v>
      </c>
      <c r="B52" s="3" t="str">
        <v>下载/卸载/更新第三方app</v>
      </c>
      <c r="C52" s="25" t="str">
        <v>汽水音乐</v>
      </c>
      <c r="D52" s="25" t="str">
        <v>app_opt_sqmusic</v>
      </c>
      <c r="E52" s="25">
        <f>B52&amp;"-"&amp;C52</f>
      </c>
      <c r="F52" s="25">
        <f>"用户下载/卸载/更新"&amp;C52&amp;"应用，仅变化时记录"</f>
      </c>
      <c r="G52" s="25" t="str">
        <v>operation</v>
      </c>
      <c r="H52" s="3" t="str">
        <v>下载、卸载、更新</v>
      </c>
      <c r="I52" s="25">
        <f>"用户{"&amp;G52&amp;"}"&amp;C52&amp;"app"</f>
      </c>
      <c r="J52" s="25">
        <f>"用户23312更新"&amp;C52&amp;"app"</f>
      </c>
      <c r="M52" s="3" t="str">
        <v>P0</v>
      </c>
      <c r="N52" s="3" t="str">
        <v>V1</v>
      </c>
      <c r="O52" s="94">
        <v>46188</v>
      </c>
      <c r="P52" s="3" t="str">
        <v>用户后面添加对应UserId，可以通过他找到对应的用户信息</v>
      </c>
    </row>
    <row r="53" spans="1:16">
      <c r="A53" s="3" t="str">
        <v>人车交互</v>
      </c>
      <c r="B53" s="3" t="str">
        <v>下载/卸载/更新第三方app</v>
      </c>
      <c r="C53" s="25" t="str">
        <v>网易云音乐</v>
      </c>
      <c r="D53" s="25" t="str">
        <v>app_opt_wangyimusic</v>
      </c>
      <c r="E53" s="25">
        <f>B53&amp;"-"&amp;C53</f>
      </c>
      <c r="F53" s="25">
        <f>"用户下载/卸载/更新"&amp;C53&amp;"应用，仅变化时记录"</f>
      </c>
      <c r="G53" s="25" t="str">
        <v>operation</v>
      </c>
      <c r="H53" s="3" t="str">
        <v>下载、卸载、更新</v>
      </c>
      <c r="I53" s="25">
        <f>"用户{"&amp;G53&amp;"}"&amp;C53&amp;"app"</f>
      </c>
      <c r="J53" s="25">
        <f>"用户23312更新"&amp;C53&amp;"app"</f>
      </c>
      <c r="M53" s="3" t="str">
        <v>P0</v>
      </c>
      <c r="N53" s="3" t="str">
        <v>V1</v>
      </c>
      <c r="O53" s="94">
        <v>46188</v>
      </c>
      <c r="P53" s="3" t="str">
        <v>用户后面添加对应UserId，可以通过他找到对应的用户信息</v>
      </c>
    </row>
    <row r="54" spans="1:16">
      <c r="A54" s="3" t="str">
        <v>人车交互</v>
      </c>
      <c r="B54" s="3" t="str">
        <v>下载/卸载/更新第三方app</v>
      </c>
      <c r="C54" s="25" t="str">
        <v>QQ音乐</v>
      </c>
      <c r="D54" s="25" t="str">
        <v>app_opt_qqmusic</v>
      </c>
      <c r="E54" s="25">
        <f>B54&amp;"-"&amp;C54</f>
      </c>
      <c r="F54" s="25">
        <f>"用户下载/卸载/更新"&amp;C54&amp;"应用，仅变化时记录"</f>
      </c>
      <c r="G54" s="25" t="str">
        <v>operation</v>
      </c>
      <c r="H54" s="3" t="str">
        <v>下载、卸载、更新</v>
      </c>
      <c r="I54" s="25">
        <f>"用户{"&amp;G54&amp;"}"&amp;C54&amp;"app"</f>
      </c>
      <c r="J54" s="25">
        <f>"用户23312更新"&amp;C54&amp;"app"</f>
      </c>
      <c r="M54" s="3" t="str">
        <v>P0</v>
      </c>
      <c r="N54" s="3" t="str">
        <v>V1</v>
      </c>
      <c r="O54" s="94">
        <v>46188</v>
      </c>
      <c r="P54" s="3" t="str">
        <v>用户后面添加对应UserId，可以通过他找到对应的用户信息</v>
      </c>
    </row>
    <row r="55" spans="1:16">
      <c r="A55" s="3" t="str">
        <v>人车交互</v>
      </c>
      <c r="B55" s="3" t="str">
        <v>下载/卸载/更新第三方app</v>
      </c>
      <c r="C55" s="25" t="str">
        <v>酷狗音乐</v>
      </c>
      <c r="D55" s="25" t="str">
        <v>app_opt_youku</v>
      </c>
      <c r="E55" s="25">
        <f>B55&amp;"-"&amp;C55</f>
      </c>
      <c r="F55" s="25">
        <f>"用户下载/卸载/更新"&amp;C55&amp;"应用，仅变化时记录"</f>
      </c>
      <c r="G55" s="25" t="str">
        <v>operation</v>
      </c>
      <c r="H55" s="3" t="str">
        <v>下载、卸载、更新</v>
      </c>
      <c r="I55" s="25">
        <f>"用户{"&amp;G55&amp;"}"&amp;C55&amp;"app"</f>
      </c>
      <c r="J55" s="25">
        <f>"用户23312更新"&amp;C55&amp;"app"</f>
      </c>
      <c r="M55" s="3" t="str">
        <v>P0</v>
      </c>
      <c r="N55" s="3" t="str">
        <v>V1</v>
      </c>
      <c r="O55" s="94">
        <v>46188</v>
      </c>
      <c r="P55" s="3" t="str">
        <v>用户后面添加对应UserId，可以通过他找到对应的用户信息</v>
      </c>
    </row>
    <row r="56" spans="1:16">
      <c r="A56" s="3" t="str">
        <v>人车交互</v>
      </c>
      <c r="B56" s="3" t="str">
        <v>下载/卸载/更新第三方app</v>
      </c>
      <c r="C56" s="25" t="str">
        <v>哔哩哔哩</v>
      </c>
      <c r="D56" s="25" t="str">
        <v>app_opt_bilibili</v>
      </c>
      <c r="E56" s="25">
        <f>B56&amp;"-"&amp;C56</f>
      </c>
      <c r="F56" s="25">
        <f>"用户下载/卸载/更新"&amp;C56&amp;"应用，仅变化时记录"</f>
      </c>
      <c r="G56" s="25" t="str">
        <v>operation</v>
      </c>
      <c r="H56" s="3" t="str">
        <v>下载、卸载、更新</v>
      </c>
      <c r="I56" s="25">
        <f>"用户{"&amp;G56&amp;"}"&amp;C56&amp;"app"</f>
      </c>
      <c r="J56" s="25">
        <f>"用户23312更新"&amp;C56&amp;"app"</f>
      </c>
      <c r="M56" s="3" t="str">
        <v>P0</v>
      </c>
      <c r="N56" s="3" t="str">
        <v>V1</v>
      </c>
      <c r="O56" s="94">
        <v>46188</v>
      </c>
      <c r="P56" s="3" t="str">
        <v>用户后面添加对应UserId，可以通过他找到对应的用户信息</v>
      </c>
    </row>
    <row r="57" spans="1:16">
      <c r="A57" s="3" t="str">
        <v>人车交互</v>
      </c>
      <c r="B57" s="3" t="str">
        <v>下载/卸载/更新第三方app</v>
      </c>
      <c r="C57" s="25" t="str">
        <v>小宇宙</v>
      </c>
      <c r="D57" s="25" t="str">
        <v>app_opt_xyz</v>
      </c>
      <c r="E57" s="25">
        <f>B57&amp;"-"&amp;C57</f>
      </c>
      <c r="F57" s="25">
        <f>"用户下载/卸载/更新"&amp;C57&amp;"应用，仅变化时记录"</f>
      </c>
      <c r="G57" s="25" t="str">
        <v>operation</v>
      </c>
      <c r="H57" s="3" t="str">
        <v>下载、卸载、更新</v>
      </c>
      <c r="I57" s="25">
        <f>"用户{"&amp;G57&amp;"}"&amp;C57&amp;"app"</f>
      </c>
      <c r="J57" s="25">
        <f>"用户23312更新"&amp;C57&amp;"app"</f>
      </c>
      <c r="M57" s="3" t="str">
        <v>P0</v>
      </c>
      <c r="N57" s="3" t="str">
        <v>V1</v>
      </c>
      <c r="O57" s="94">
        <v>46188</v>
      </c>
      <c r="P57" s="3" t="str">
        <v>用户后面添加对应UserId，可以通过他找到对应的用户信息</v>
      </c>
    </row>
    <row r="58" spans="1:16">
      <c r="A58" s="3" t="str">
        <v>人车交互</v>
      </c>
      <c r="B58" s="3" t="str">
        <v>下载/卸载/更新第三方app</v>
      </c>
      <c r="C58" s="25" t="str">
        <v>雷石KTV</v>
      </c>
      <c r="D58" s="25" t="str">
        <v>app_opt_lsktv</v>
      </c>
      <c r="E58" s="25">
        <f>B58&amp;"-"&amp;C58</f>
      </c>
      <c r="F58" s="25">
        <f>"用户下载/卸载/更新"&amp;C58&amp;"应用，仅变化时记录"</f>
      </c>
      <c r="G58" s="25" t="str">
        <v>operation</v>
      </c>
      <c r="H58" s="3" t="str">
        <v>下载、卸载、更新</v>
      </c>
      <c r="I58" s="25">
        <f>"用户{"&amp;G58&amp;"}"&amp;C58&amp;"app"</f>
      </c>
      <c r="J58" s="25">
        <f>"用户23312更新"&amp;C58&amp;"app"</f>
      </c>
      <c r="M58" s="3" t="str">
        <v>P0</v>
      </c>
      <c r="N58" s="3" t="str">
        <v>V1</v>
      </c>
      <c r="O58" s="94">
        <v>46188</v>
      </c>
      <c r="P58" s="3" t="str">
        <v>用户后面添加对应UserId，可以通过他找到对应的用户信息</v>
      </c>
    </row>
    <row r="59" spans="1:16">
      <c r="A59" s="3" t="str">
        <v>人车交互</v>
      </c>
      <c r="B59" s="3" t="str">
        <v>下载/卸载/更新第三方app</v>
      </c>
      <c r="C59" s="25" t="str">
        <v>怀旧街机</v>
      </c>
      <c r="D59" s="25" t="str">
        <v>app_opt_arcade</v>
      </c>
      <c r="E59" s="25">
        <f>B59&amp;"-"&amp;C59</f>
      </c>
      <c r="F59" s="25">
        <f>"用户下载/卸载/更新"&amp;C59&amp;"应用，仅变化时记录"</f>
      </c>
      <c r="G59" s="25" t="str">
        <v>operation</v>
      </c>
      <c r="H59" s="3" t="str">
        <v>下载、卸载、更新</v>
      </c>
      <c r="I59" s="25">
        <f>"用户{"&amp;G59&amp;"}"&amp;C59&amp;"app"</f>
      </c>
      <c r="J59" s="25">
        <f>"用户23312更新"&amp;C59&amp;"app"</f>
      </c>
      <c r="M59" s="3" t="str">
        <v>P0</v>
      </c>
      <c r="N59" s="3" t="str">
        <v>V1</v>
      </c>
      <c r="O59" s="94">
        <v>46188</v>
      </c>
      <c r="P59" s="3" t="str">
        <v>用户后面添加对应UserId，可以通过他找到对应的用户信息</v>
      </c>
    </row>
    <row r="60" spans="1:16">
      <c r="A60" s="3" t="str">
        <v>人车交互</v>
      </c>
      <c r="B60" s="3" t="str">
        <v>下载/卸载/更新第三方app</v>
      </c>
      <c r="C60" s="17" t="str">
        <v>支付宝车载助手</v>
      </c>
      <c r="D60" s="25" t="str">
        <v>app_opt_alipay_car</v>
      </c>
      <c r="E60" s="25">
        <f>B60&amp;"-"&amp;C60</f>
      </c>
      <c r="F60" s="25">
        <f>"用户下载/卸载/更新"&amp;C60&amp;"应用，仅变化时记录"</f>
      </c>
      <c r="G60" s="25" t="str">
        <v>operation</v>
      </c>
      <c r="H60" s="3" t="str">
        <v>下载、卸载、更新</v>
      </c>
      <c r="I60" s="25">
        <f>"用户{"&amp;G60&amp;"}"&amp;C60&amp;"app"</f>
      </c>
      <c r="J60" s="25">
        <f>"用户23312卸载"&amp;C60&amp;"app"</f>
      </c>
      <c r="M60" s="3" t="str">
        <v>P0</v>
      </c>
      <c r="N60" s="3" t="str">
        <v>V1</v>
      </c>
      <c r="O60" s="94">
        <v>46188</v>
      </c>
      <c r="P60" s="3" t="str">
        <v>用户后面添加对应UserId，可以通过他找到对应的用户信息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9.285714285714286" style="1" customWidth="1"/>
    <col min="2" max="2" width="14.285714285714286" style="1" customWidth="1"/>
    <col min="3" max="3" width="24.857142857142858" style="1" customWidth="1"/>
    <col min="4" max="4" width="24.142857142857142" style="1" customWidth="1"/>
    <col min="5" max="5" width="27.428571428571427" style="1" customWidth="1"/>
    <col min="6" max="6" width="51.42857142857143" style="1" customWidth="1"/>
    <col min="7" max="7" width="24.571428571428573" style="1" customWidth="1"/>
    <col min="8" max="8" width="39.857142857142854" style="1" customWidth="1"/>
    <col min="9" max="9" width="54.86868903210734" style="1" customWidth="1"/>
    <col min="10" max="10" width="43.285714285714285" style="1" customWidth="1"/>
    <col min="11" max="11" width="14.714285714285714" style="1" customWidth="1"/>
    <col min="12" max="12" width="13.428571428571429" style="1" customWidth="1"/>
    <col min="13" max="15" width="15" style="1" customWidth="1"/>
    <col min="16" max="16" width="49.42857142857143" style="1" customWidth="1"/>
  </cols>
  <sheetData>
    <row r="1" spans="1:16">
      <c r="A1" s="90" t="str">
        <v>一级</v>
      </c>
      <c r="B1" s="90" t="str">
        <v>二级</v>
      </c>
      <c r="C1" s="90" t="str">
        <v>三级</v>
      </c>
      <c r="D1" s="90" t="str">
        <v>事件名称【唯一标识】</v>
      </c>
      <c r="E1" s="90" t="str">
        <v>事件名称（中文）</v>
      </c>
      <c r="F1" s="90" t="str">
        <v>事件说明</v>
      </c>
      <c r="G1" s="90" t="str">
        <v>事件字段(event_value)</v>
      </c>
      <c r="H1" s="90" t="str">
        <v>字段解释</v>
      </c>
      <c r="I1" s="90" t="str">
        <v>自然语言拼接【规则】</v>
      </c>
      <c r="J1" s="90" t="str">
        <v>事件示例</v>
      </c>
      <c r="K1" s="90" t="str">
        <v>SLS校对情况</v>
      </c>
      <c r="L1" s="90" t="str">
        <v>ZJ校对情况</v>
      </c>
      <c r="M1" s="90" t="str">
        <v>优先级</v>
      </c>
      <c r="N1" s="90" t="str">
        <v>输出版本</v>
      </c>
      <c r="O1" s="90" t="str">
        <v>输出版本日期</v>
      </c>
      <c r="P1" s="90" t="str">
        <v>备注</v>
      </c>
    </row>
    <row r="2" spans="1:16">
      <c r="A2" s="25" t="str">
        <v>人车交互</v>
      </c>
      <c r="B2" s="25" t="str">
        <v>导航信息搜索</v>
      </c>
      <c r="C2" s="25" t="str">
        <v>搜索POI名称</v>
      </c>
      <c r="D2" s="25" t="str">
        <v>nav_poi_name</v>
      </c>
      <c r="E2" s="25">
        <f>B2&amp;C2</f>
      </c>
      <c r="F2" s="25" t="str">
        <v>用户输入或选择POI的名称，仅变化时记录</v>
      </c>
      <c r="G2" s="25" t="str">
        <v>navPoiName</v>
      </c>
      <c r="H2" s="25" t="str">
        <v>输入或选择标签内容不为空
例如:手动输入海底捞、十八梯板凳面
例如:选择标签, 餐饮/充电站/停车场/加油站等</v>
      </c>
      <c r="I2" s="25">
        <f>"用户导航搜索POI点：{"&amp;G2&amp;"}"</f>
      </c>
      <c r="J2" s="25" t="str">
        <v>1.用户23312导航搜索POI点：海底捞
2.用户23312导航搜索POI点：停车场</v>
      </c>
      <c r="M2" s="3" t="str">
        <v>P0</v>
      </c>
      <c r="N2" s="3" t="str">
        <v>V1</v>
      </c>
      <c r="O2" s="94">
        <v>46188</v>
      </c>
      <c r="P2" s="3" t="str">
        <v>用户后面添加对应UserId，可以通过他找到对应的用户信息</v>
      </c>
    </row>
    <row r="3" spans="1:16">
      <c r="A3" s="25" t="str">
        <v>人车交互</v>
      </c>
      <c r="B3" s="25" t="str">
        <v>导航目的地设置</v>
      </c>
      <c r="C3" s="25" t="str">
        <v>导航至指定地址</v>
      </c>
      <c r="D3" s="25" t="str">
        <v>nav_poi_addr</v>
      </c>
      <c r="E3" s="25">
        <f>B3&amp;C3</f>
      </c>
      <c r="F3" s="25" t="str">
        <v>用户输入详细地址，并确认设置成目的地，仅变化时记录</v>
      </c>
      <c r="G3" s="25" t="str">
        <v>navPoiAddr</v>
      </c>
      <c r="H3" s="25" t="str">
        <v>用户输入的地址文本，内容不为空</v>
      </c>
      <c r="I3" s="25">
        <f>"用户执行导航至{"&amp;G3&amp;"}"</f>
      </c>
      <c r="J3" s="25" t="str">
        <v>用户23312执行导航至重庆市渝北区金渝大道</v>
      </c>
      <c r="M3" s="3" t="str">
        <v>P0</v>
      </c>
      <c r="N3" s="3" t="str">
        <v>V1</v>
      </c>
      <c r="O3" s="94">
        <v>46188</v>
      </c>
      <c r="P3" s="3" t="str">
        <v>用户后面添加对应UserId，可以通过他找到对应的用户信息</v>
      </c>
    </row>
    <row r="4" spans="1:16">
      <c r="A4" s="25" t="str">
        <v>人车交互</v>
      </c>
      <c r="B4" s="25" t="str">
        <v>导航目的地设置</v>
      </c>
      <c r="C4" s="25" t="str">
        <v>导航历史目的地</v>
      </c>
      <c r="D4" s="25" t="str">
        <v>nav_history_dest</v>
      </c>
      <c r="E4" s="25">
        <f>B4&amp;C4</f>
      </c>
      <c r="F4" s="25" t="str">
        <v>用户从历史记录列表手动选择为目的地，仅变化时记录</v>
      </c>
      <c r="G4" s="25" t="str">
        <v>navHistoryDest</v>
      </c>
      <c r="H4" s="25" t="str">
        <v>历史记录条目文本内容</v>
      </c>
      <c r="I4" s="25">
        <f>"用户选择导航至历史目的地{"&amp;G4&amp;"}"</f>
      </c>
      <c r="J4" s="25" t="str">
        <v>用户23312选择导航至历史目的地赛力斯总部</v>
      </c>
      <c r="M4" s="3" t="str">
        <v>P0</v>
      </c>
      <c r="N4" s="3" t="str">
        <v>V1</v>
      </c>
      <c r="O4" s="94">
        <v>46188</v>
      </c>
      <c r="P4" s="3" t="str">
        <v>用户后面添加对应UserId，可以通过他找到对应的用户信息</v>
      </c>
    </row>
    <row r="5" spans="1:16">
      <c r="A5" s="25" t="str">
        <v>人车交互</v>
      </c>
      <c r="B5" s="25" t="str">
        <v>导航目的地设置</v>
      </c>
      <c r="C5" s="25" t="str">
        <v>导航收藏点</v>
      </c>
      <c r="D5" s="25" t="str">
        <v>nav_fav_dest</v>
      </c>
      <c r="E5" s="25">
        <f>B5&amp;C5</f>
      </c>
      <c r="F5" s="25" t="str">
        <v>用户从收藏列表手动选择收藏地点作为目的地，仅变化时记录</v>
      </c>
      <c r="G5" s="25" t="str">
        <v>navFavDest</v>
      </c>
      <c r="H5" s="25" t="str">
        <v>收藏列表条目文本内容</v>
      </c>
      <c r="I5" s="25">
        <f>"用户选择导航至历史目的地{"&amp;G5&amp;"}"</f>
      </c>
      <c r="J5" s="25" t="str">
        <v>用户23312选择导航至收藏点目的地龙江猪脚饭</v>
      </c>
      <c r="M5" s="3" t="str">
        <v>P0</v>
      </c>
      <c r="N5" s="3" t="str">
        <v>V1</v>
      </c>
      <c r="O5" s="94">
        <v>46188</v>
      </c>
      <c r="P5" s="3" t="str">
        <v>用户后面添加对应UserId，可以通过他找到对应的用户信息</v>
      </c>
    </row>
    <row r="6" spans="1:16">
      <c r="A6" s="25" t="str">
        <v>人车交互</v>
      </c>
      <c r="B6" s="25" t="str">
        <v>导航目的地设置</v>
      </c>
      <c r="C6" s="25" t="str">
        <v>导航回家 / 公司</v>
      </c>
      <c r="D6" s="25" t="str">
        <v>nav_go_home_company</v>
      </c>
      <c r="E6" s="25">
        <f>B6&amp;C6</f>
      </c>
      <c r="F6" s="25" t="str">
        <v>用户点击首页家/公司快捷入口作为目的地，仅变化时记录</v>
      </c>
      <c r="G6" s="25" t="str">
        <v>navGoHomeCompany</v>
      </c>
      <c r="H6" s="25" t="str">
        <v>家/公司</v>
      </c>
      <c r="I6" s="25">
        <f>"用户执行导航{"&amp;G6&amp;"}"</f>
      </c>
      <c r="J6" s="25" t="str">
        <v>1.用户23312执行导航回家
2.用户23312执行导航公司</v>
      </c>
      <c r="M6" s="3" t="str">
        <v>P0</v>
      </c>
      <c r="N6" s="3" t="str">
        <v>V1</v>
      </c>
      <c r="O6" s="94">
        <v>46188</v>
      </c>
      <c r="P6" s="3" t="str">
        <v>用户后面添加对应UserId，可以通过他找到对应的用户信息</v>
      </c>
    </row>
    <row r="7" spans="1:16">
      <c r="A7" s="25" t="str">
        <v>人车交互</v>
      </c>
      <c r="B7" s="25" t="str">
        <v>导航目的地设置</v>
      </c>
      <c r="C7" s="25" t="str">
        <v>更换目的地</v>
      </c>
      <c r="D7" s="25" t="str">
        <v>nav_change_dest</v>
      </c>
      <c r="E7" s="25">
        <f>B7&amp;C7</f>
      </c>
      <c r="F7" s="25" t="str">
        <v>导航中用户手动修改当前行驶目的地，仅变化时记录</v>
      </c>
      <c r="G7" s="25" t="str">
        <v>navChangeDest</v>
      </c>
      <c r="H7" s="25" t="str">
        <v>输入修改的目的地文本内容</v>
      </c>
      <c r="I7" s="25">
        <f>"用户导航中更换目的地为{"&amp;G7&amp;"}"</f>
      </c>
      <c r="J7" s="25" t="str">
        <v>用户23312导航中更换目的地为江北机场</v>
      </c>
      <c r="M7" s="3" t="str">
        <v>P0</v>
      </c>
      <c r="N7" s="3" t="str">
        <v>V1</v>
      </c>
      <c r="O7" s="94">
        <v>46188</v>
      </c>
      <c r="P7" s="3" t="str">
        <v>用户后面添加对应UserId，可以通过他找到对应的用户信息</v>
      </c>
    </row>
    <row r="8" spans="1:16">
      <c r="A8" s="25" t="str">
        <v>人车交互</v>
      </c>
      <c r="B8" s="25" t="str">
        <v>路线规划管理</v>
      </c>
      <c r="C8" s="25" t="str">
        <v>路线偏好设置</v>
      </c>
      <c r="D8" s="25" t="str">
        <v>nav_route_pref</v>
      </c>
      <c r="E8" s="25">
        <f>B8&amp;C8</f>
      </c>
      <c r="F8" s="25" t="str">
        <v>用户手动选择路线通行偏好</v>
      </c>
      <c r="G8" s="25" t="str">
        <v>navRoutePref</v>
      </c>
      <c r="H8" s="25" t="str">
        <v>高速优先/少收费/躲避拥堵/不走高速</v>
      </c>
      <c r="I8" s="25">
        <f>"用户设置导航路线偏好：{"&amp;G8&amp;"}"</f>
      </c>
      <c r="J8" s="25" t="str">
        <v>用户23312设置导航路线偏好：高速优先</v>
      </c>
      <c r="M8" s="3" t="str">
        <v>P0</v>
      </c>
      <c r="N8" s="3" t="str">
        <v>V1</v>
      </c>
      <c r="O8" s="94">
        <v>46188</v>
      </c>
      <c r="P8" s="3" t="str">
        <v>用户后面添加对应UserId，可以通过他找到对应的用户信息</v>
      </c>
    </row>
    <row r="9" spans="1:16">
      <c r="A9" s="25" t="str">
        <v>人车交互</v>
      </c>
      <c r="B9" s="25" t="str">
        <v>路线规划管理</v>
      </c>
      <c r="C9" s="25" t="str">
        <v>切换备选路线</v>
      </c>
      <c r="D9" s="25" t="str">
        <v>nav_route_switch</v>
      </c>
      <c r="E9" s="25">
        <f>B9&amp;C9</f>
      </c>
      <c r="F9" s="25" t="str">
        <v>用户在路线方案页，手动切换成不同的规划路线</v>
      </c>
      <c r="G9" s="25" t="str">
        <v>navRouteNum</v>
      </c>
      <c r="H9" s="25" t="str">
        <v>选中的路线方案序号</v>
      </c>
      <c r="I9" s="25">
        <f>"用户导航切换备选路线，采用{"&amp;G9&amp;"}：{"&amp;G10&amp;"}"</f>
      </c>
      <c r="J9" s="25" t="str">
        <v>用户23312导航切换备选路线，采用方案2：避免拥堵线路</v>
      </c>
      <c r="M9" s="3" t="str">
        <v>P0</v>
      </c>
      <c r="N9" s="3" t="str">
        <v>V1</v>
      </c>
      <c r="O9" s="94">
        <v>46188</v>
      </c>
      <c r="P9" s="3" t="str">
        <v>用户后面添加对应UserId，可以通过他找到对应的用户信息</v>
      </c>
    </row>
    <row r="10" spans="7:16">
      <c r="G10" s="25" t="str">
        <v>navRouteDesc</v>
      </c>
      <c r="H10" s="25" t="str">
        <v>选中的路线方案内容描述</v>
      </c>
      <c r="I10" s="25"/>
      <c r="J10" s="25"/>
      <c r="M10" s="3" t="str">
        <v>P0</v>
      </c>
      <c r="N10" s="3" t="str">
        <v>V1</v>
      </c>
      <c r="O10" s="94">
        <v>46188</v>
      </c>
      <c r="P10" s="3" t="str">
        <v>用户后面添加对应UserId，可以通过他找到对应的用户信息</v>
      </c>
    </row>
    <row r="11" spans="1:16">
      <c r="A11" s="25" t="str">
        <v>人车交互</v>
      </c>
      <c r="B11" s="25" t="str">
        <v>路线规划管理</v>
      </c>
      <c r="C11" s="25" t="str">
        <v>刷新路线</v>
      </c>
      <c r="D11" s="25" t="str">
        <v>nav_route_refresh</v>
      </c>
      <c r="E11" s="25">
        <f>B11&amp;C11</f>
      </c>
      <c r="F11" s="25" t="str">
        <v>用户手动触发路线重新规划</v>
      </c>
      <c r="G11" s="25" t="str">
        <v>navRouteRefresh</v>
      </c>
      <c r="H11" s="25" t="str">
        <v>刷新路线</v>
      </c>
      <c r="I11" s="25">
        <f>"用户导航手动{"&amp;G11&amp;"}"</f>
      </c>
      <c r="J11" s="25" t="str">
        <v>用户23312导航手动刷新路线</v>
      </c>
      <c r="M11" s="3" t="str">
        <v>P0</v>
      </c>
      <c r="N11" s="3" t="str">
        <v>V1</v>
      </c>
      <c r="O11" s="94">
        <v>46188</v>
      </c>
      <c r="P11" s="3" t="str">
        <v>用户后面添加对应UserId，可以通过他找到对应的用户信息</v>
      </c>
    </row>
    <row r="12" spans="1:16">
      <c r="A12" s="25" t="str">
        <v>人车交互</v>
      </c>
      <c r="B12" s="25" t="str">
        <v>导航启停控制</v>
      </c>
      <c r="C12" s="25" t="str">
        <v>导航状态控制</v>
      </c>
      <c r="D12" s="25" t="str">
        <v>nav_state_ctrl</v>
      </c>
      <c r="E12" s="25">
        <f>B12&amp;C12</f>
      </c>
      <c r="F12" s="25" t="str">
        <v>用户手动改变当前控制导航的状态</v>
      </c>
      <c r="G12" s="25" t="str">
        <v>navStateCtrl</v>
      </c>
      <c r="H12" s="25" t="str">
        <v>开始导航/结束导航/继续导航</v>
      </c>
      <c r="I12" s="25">
        <f>"用户{"&amp;G12&amp;"}"</f>
      </c>
      <c r="J12" s="25" t="str">
        <v>1.用户23312开始导航
2.用户23312结束导航
3.用户23312继续导航</v>
      </c>
      <c r="M12" s="3" t="str">
        <v>P0</v>
      </c>
      <c r="N12" s="3" t="str">
        <v>V1</v>
      </c>
      <c r="O12" s="94">
        <v>46188</v>
      </c>
      <c r="P12" s="3" t="str">
        <v>用户后面添加对应UserId，可以通过他找到对应的用户信息</v>
      </c>
    </row>
    <row r="13" spans="1:16">
      <c r="A13" s="25" t="str">
        <v>人车交互</v>
      </c>
      <c r="B13" s="25" t="str">
        <v>途经点管理</v>
      </c>
      <c r="C13" s="25" t="str">
        <v>添加途经点</v>
      </c>
      <c r="D13" s="25" t="str">
        <v>nav_add_waypoint</v>
      </c>
      <c r="E13" s="25">
        <f>B13&amp;C13</f>
      </c>
      <c r="F13" s="25" t="str">
        <v>用户手动搜索/选择某个地址为新增途经点</v>
      </c>
      <c r="G13" s="25" t="str">
        <v>navAddWaypoint</v>
      </c>
      <c r="H13" s="25" t="str">
        <v>搜索后新增途经点的名称</v>
      </c>
      <c r="I13" s="25">
        <f>"用户添加途经点{"&amp;G13&amp;"}"</f>
      </c>
      <c r="J13" s="25" t="str">
        <v>用户23312添加途经点加油站</v>
      </c>
      <c r="M13" s="3" t="str">
        <v>P0</v>
      </c>
      <c r="N13" s="3" t="str">
        <v>V1</v>
      </c>
      <c r="O13" s="94">
        <v>46188</v>
      </c>
      <c r="P13" s="3" t="str">
        <v>用户后面添加对应UserId，可以通过他找到对应的用户信息</v>
      </c>
    </row>
    <row r="14" spans="1:16">
      <c r="A14" s="25" t="str">
        <v>人车交互</v>
      </c>
      <c r="B14" s="25" t="str">
        <v>途经点管理</v>
      </c>
      <c r="C14" s="25" t="str">
        <v>删除途经点</v>
      </c>
      <c r="D14" s="25" t="str">
        <v>nav_del_waypoint</v>
      </c>
      <c r="E14" s="25">
        <f>B14&amp;C14</f>
      </c>
      <c r="F14" s="25" t="str">
        <v>用户手动移除某一个途经点</v>
      </c>
      <c r="G14" s="25" t="str">
        <v>navDelWaypoint</v>
      </c>
      <c r="H14" s="25" t="str">
        <v>删除途经点的名称</v>
      </c>
      <c r="I14" s="25">
        <f>"用户删除途经点{"&amp;G14&amp;"}"</f>
      </c>
      <c r="J14" s="25" t="str">
        <v>用户23312删除途经点加油站</v>
      </c>
      <c r="M14" s="3" t="str">
        <v>P0</v>
      </c>
      <c r="N14" s="3" t="str">
        <v>V1</v>
      </c>
      <c r="O14" s="94">
        <v>46188</v>
      </c>
      <c r="P14" s="3" t="str">
        <v>用户后面添加对应UserId，可以通过他找到对应的用户信息</v>
      </c>
    </row>
    <row r="15" spans="1:16">
      <c r="A15" s="25" t="str">
        <v>人车交互</v>
      </c>
      <c r="B15" s="25" t="str">
        <v>途经点管理</v>
      </c>
      <c r="C15" s="25" t="str">
        <v>修改途经点</v>
      </c>
      <c r="D15" s="25" t="str">
        <v>nav_clear_waypoint</v>
      </c>
      <c r="E15" s="25">
        <f>B15&amp;C15</f>
      </c>
      <c r="F15" s="25" t="str">
        <v>用户手动搜索/选择修改某个途经点</v>
      </c>
      <c r="G15" s="25" t="str">
        <v>navNewWaypoint</v>
      </c>
      <c r="H15" s="25" t="str">
        <v>搜索后修改途经点的名称</v>
      </c>
      <c r="I15" s="25">
        <f>"用户修改原途经点{"&amp;G15&amp;"}为{"&amp;G16&amp;"}"</f>
      </c>
      <c r="J15" s="25" t="str">
        <v>用户23312修改原途经点加油站为公司</v>
      </c>
      <c r="M15" s="3" t="str">
        <v>P0</v>
      </c>
      <c r="N15" s="3" t="str">
        <v>V1</v>
      </c>
      <c r="O15" s="94">
        <v>46188</v>
      </c>
      <c r="P15" s="3" t="str">
        <v>用户后面添加对应UserId，可以通过他找到对应的用户信息</v>
      </c>
    </row>
    <row r="16" spans="7:16">
      <c r="G16" s="25" t="str">
        <v>navOrginWaypoint</v>
      </c>
      <c r="H16" s="25" t="str">
        <v>原途径点的名称</v>
      </c>
      <c r="I16" s="25"/>
      <c r="J16" s="25"/>
      <c r="M16" s="3" t="str">
        <v>P0</v>
      </c>
      <c r="N16" s="3" t="str">
        <v>V1</v>
      </c>
      <c r="O16" s="94">
        <v>46188</v>
      </c>
      <c r="P16" s="3" t="str">
        <v>用户后面添加对应UserId，可以通过他找到对应的用户信息</v>
      </c>
    </row>
    <row r="17" spans="1:16">
      <c r="A17" s="25" t="str">
        <v>人车交互</v>
      </c>
      <c r="B17" s="25" t="str">
        <v>常用地址管理</v>
      </c>
      <c r="C17" s="25" t="str">
        <v>设置常用地址</v>
      </c>
      <c r="D17" s="25" t="str">
        <v>nav_address_setting</v>
      </c>
      <c r="E17" s="25">
        <f>B17&amp;C17</f>
      </c>
      <c r="F17" s="25" t="str">
        <v>用户地址管理中设置的地点标签，名称</v>
      </c>
      <c r="G17" s="25" t="str">
        <v>navAddressTag</v>
      </c>
      <c r="H17" s="25" t="str">
        <v>任意不为空的字符串(如：家/公司/自定义)</v>
      </c>
      <c r="I17" s="25">
        <f>"用户设置常用地址标签：{"&amp;G17&amp;"}，地址：{"&amp;G18&amp;"}"</f>
      </c>
      <c r="J17" s="25" t="str">
        <v>用户23312设置常用地址标签：父母家，地址：协创雅苑</v>
      </c>
      <c r="M17" s="3" t="str">
        <v>P0</v>
      </c>
      <c r="N17" s="3" t="str">
        <v>V1</v>
      </c>
      <c r="O17" s="94">
        <v>46188</v>
      </c>
      <c r="P17" s="3" t="str">
        <v>用户后面添加对应UserId，可以通过他找到对应的用户信息</v>
      </c>
    </row>
    <row r="18" spans="5:16">
      <c r="E18" s="25">
        <f>B18&amp;C18</f>
      </c>
      <c r="G18" s="25" t="str">
        <v>navAddressName</v>
      </c>
      <c r="H18" s="25" t="str">
        <v>任意不为空的字符串(如：协创雅苑)</v>
      </c>
      <c r="I18" s="25"/>
      <c r="J18" s="25"/>
      <c r="M18" s="3" t="str">
        <v>P0</v>
      </c>
      <c r="N18" s="3" t="str">
        <v>V1</v>
      </c>
      <c r="O18" s="94">
        <v>46188</v>
      </c>
      <c r="P18" s="3" t="str">
        <v>用户后面添加对应UserId，可以通过他找到对应的用户信息</v>
      </c>
    </row>
    <row r="19" spans="1:16">
      <c r="A19" s="25" t="str">
        <v>人车交互</v>
      </c>
      <c r="B19" s="25" t="str">
        <v>收藏点位管理</v>
      </c>
      <c r="C19" s="25" t="str">
        <v>收藏地址名称</v>
      </c>
      <c r="D19" s="25" t="str">
        <v>nav_favorite_name</v>
      </c>
      <c r="E19" s="25">
        <f>B19&amp;C19</f>
      </c>
      <c r="F19" s="25" t="str">
        <v>用户点击导航界面的收藏按钮，收藏的地点名称</v>
      </c>
      <c r="G19" s="25" t="str">
        <v>navfavoriteName</v>
      </c>
      <c r="H19" s="25" t="str">
        <v>任意不为空的字符串(如：两江新区赛力斯总部)</v>
      </c>
      <c r="I19" s="25">
        <f>"用户导航{"&amp;G20&amp;"}地址："&amp;G19&amp;""</f>
      </c>
      <c r="J19" s="25" t="str">
        <v>1.用户23312导航收藏地址：赛力斯总部
2.用户23312导航取消收藏地址：两江新区龙湖天街</v>
      </c>
      <c r="M19" s="3" t="str">
        <v>P0</v>
      </c>
      <c r="N19" s="3" t="str">
        <v>V1</v>
      </c>
      <c r="O19" s="94">
        <v>46188</v>
      </c>
      <c r="P19" s="3" t="str">
        <v>用户后面添加对应UserId，可以通过他找到对应的用户信息</v>
      </c>
    </row>
    <row r="20" spans="7:16">
      <c r="G20" s="91" t="str">
        <v>operation</v>
      </c>
      <c r="H20" s="25" t="str">
        <v>收藏、取消收藏</v>
      </c>
      <c r="I20" s="25"/>
      <c r="J20" s="25"/>
      <c r="M20" s="3" t="str">
        <v>P0</v>
      </c>
      <c r="N20" s="3" t="str">
        <v>V1</v>
      </c>
      <c r="O20" s="94">
        <v>46188</v>
      </c>
      <c r="P20" s="3" t="str">
        <v>用户后面添加对应UserId，可以通过他找到对应的用户信息</v>
      </c>
    </row>
    <row r="21" spans="1:16">
      <c r="A21" s="25" t="str">
        <v>人车交互</v>
      </c>
      <c r="B21" s="25" t="str">
        <v>地图设置</v>
      </c>
      <c r="C21" s="25" t="str">
        <v>导航静音开关状态</v>
      </c>
      <c r="D21" s="25" t="str">
        <v>nav_mute_ctrl</v>
      </c>
      <c r="E21" s="25">
        <f>B21&amp;C21</f>
      </c>
      <c r="F21" s="25" t="str">
        <v>用户手动点击操作导航静音开关</v>
      </c>
      <c r="G21" s="91" t="str">
        <v>operation</v>
      </c>
      <c r="H21" s="25" t="str">
        <v>打开、关闭</v>
      </c>
      <c r="I21" s="25">
        <f>"用户{"&amp;G21&amp;"}地图导航静音开关"</f>
      </c>
      <c r="J21" s="25" t="str">
        <v>用户23312打开地图导航静音开关</v>
      </c>
      <c r="M21" s="3" t="str">
        <v>P0</v>
      </c>
      <c r="N21" s="3" t="str">
        <v>V1</v>
      </c>
      <c r="O21" s="94">
        <v>46188</v>
      </c>
      <c r="P21" s="3" t="str">
        <v>用户后面添加对应UserId，可以通过他找到对应的用户信息</v>
      </c>
    </row>
    <row r="22" spans="1:16">
      <c r="A22" s="25" t="str">
        <v>人车交互</v>
      </c>
      <c r="B22" s="25" t="str">
        <v>地图设置</v>
      </c>
      <c r="C22" s="25" t="str">
        <v>光柱图开关</v>
      </c>
      <c r="D22" s="25" t="str">
        <v>nav_pillar_ctrl</v>
      </c>
      <c r="E22" s="25">
        <f>B22&amp;C22</f>
      </c>
      <c r="F22" s="25" t="str">
        <v>用户在地图设置页手动打开/关闭光柱图功能</v>
      </c>
      <c r="G22" s="91" t="str">
        <v>operation</v>
      </c>
      <c r="H22" s="25" t="str">
        <v>打开、关闭</v>
      </c>
      <c r="I22" s="25">
        <f>"用户{"&amp;G22&amp;"}地图光柱图开关"</f>
      </c>
      <c r="J22" s="25" t="str">
        <v>用户23312关闭地图光柱图开关</v>
      </c>
      <c r="M22" s="3" t="str">
        <v>P0</v>
      </c>
      <c r="N22" s="3" t="str">
        <v>V1</v>
      </c>
      <c r="O22" s="94">
        <v>46188</v>
      </c>
      <c r="P22" s="3" t="str">
        <v>用户后面添加对应UserId，可以通过他找到对应的用户信息</v>
      </c>
    </row>
    <row r="23" spans="1:16">
      <c r="A23" s="25" t="str">
        <v>人车交互</v>
      </c>
      <c r="B23" s="25" t="str">
        <v>地图设置</v>
      </c>
      <c r="C23" s="25" t="str">
        <v>电子眼播报开关</v>
      </c>
      <c r="D23" s="25" t="str">
        <v>nav_camera_broadcast_ctrl</v>
      </c>
      <c r="E23" s="25">
        <f>B23&amp;C23</f>
      </c>
      <c r="F23" s="25" t="str">
        <v>用户在地图设置页手动打开/关闭电子眼播报</v>
      </c>
      <c r="G23" s="91" t="str">
        <v>operation</v>
      </c>
      <c r="H23" s="25" t="str">
        <v>打开、关闭</v>
      </c>
      <c r="I23" s="25">
        <f>"用户{"&amp;G23&amp;"}地图电子眼播报开关"</f>
      </c>
      <c r="J23" s="25" t="str">
        <v>用户23312打开地图电子眼播报开关</v>
      </c>
      <c r="M23" s="3" t="str">
        <v>P0</v>
      </c>
      <c r="N23" s="3" t="str">
        <v>V1</v>
      </c>
      <c r="O23" s="94">
        <v>46188</v>
      </c>
      <c r="P23" s="3" t="str">
        <v>用户后面添加对应UserId，可以通过他找到对应的用户信息</v>
      </c>
    </row>
    <row r="24" spans="1:16">
      <c r="A24" s="25" t="str">
        <v>人车交互</v>
      </c>
      <c r="B24" s="25" t="str">
        <v>地图设置</v>
      </c>
      <c r="C24" s="25" t="str">
        <v>安全提醒开关</v>
      </c>
      <c r="D24" s="25" t="str">
        <v>nav_safety_reminder_ctrl</v>
      </c>
      <c r="E24" s="25">
        <f>B24&amp;C24</f>
      </c>
      <c r="F24" s="25" t="str">
        <v>用户在地图设置页手动打开/关闭安全提醒播报</v>
      </c>
      <c r="G24" s="91" t="str">
        <v>operation</v>
      </c>
      <c r="H24" s="25" t="str">
        <v>打开、关闭</v>
      </c>
      <c r="I24" s="25">
        <f>"用户{"&amp;G24&amp;"}地图安全提醒开关"</f>
      </c>
      <c r="J24" s="25" t="str">
        <v>用户23312打开地图安全提醒开关</v>
      </c>
      <c r="M24" s="3" t="str">
        <v>P0</v>
      </c>
      <c r="N24" s="3" t="str">
        <v>V1</v>
      </c>
      <c r="O24" s="94">
        <v>46188</v>
      </c>
      <c r="P24" s="3" t="str">
        <v>用户后面添加对应UserId，可以通过他找到对应的用户信息</v>
      </c>
    </row>
    <row r="25" spans="1:16">
      <c r="A25" s="25" t="str">
        <v>人车交互</v>
      </c>
      <c r="B25" s="25" t="str">
        <v>地图设置</v>
      </c>
      <c r="C25" s="25" t="str">
        <v>实时路况开关</v>
      </c>
      <c r="D25" s="25" t="str">
        <v>nav_traffic_info_ctrl</v>
      </c>
      <c r="E25" s="25">
        <f>B25&amp;C25</f>
      </c>
      <c r="F25" s="25" t="str">
        <v>用户在地图设置页手动打开/关闭实时路况图层</v>
      </c>
      <c r="G25" s="91" t="str">
        <v>operation</v>
      </c>
      <c r="H25" s="25" t="str">
        <v>打开、关闭</v>
      </c>
      <c r="I25" s="25">
        <f>"用户{"&amp;G25&amp;"}地图实时路况开关"</f>
      </c>
      <c r="J25" s="25" t="str">
        <v>用户23312打开地图实时路况开关</v>
      </c>
      <c r="M25" s="3" t="str">
        <v>P0</v>
      </c>
      <c r="N25" s="3" t="str">
        <v>V1</v>
      </c>
      <c r="O25" s="94">
        <v>46188</v>
      </c>
      <c r="P25" s="3" t="str">
        <v>用户后面添加对应UserId，可以通过他找到对应的用户信息</v>
      </c>
    </row>
    <row r="26" spans="1:16">
      <c r="A26" s="25" t="str">
        <v>人车交互</v>
      </c>
      <c r="B26" s="25" t="str">
        <v>地图设置</v>
      </c>
      <c r="C26" s="25" t="str">
        <v>巡航播报开关</v>
      </c>
      <c r="D26" s="25" t="str">
        <v>nav_cruise_broadcast_ctrl</v>
      </c>
      <c r="E26" s="25">
        <f>B26&amp;C26</f>
      </c>
      <c r="F26" s="25" t="str">
        <v>用户在地图设置页手动打开/关闭巡航播报功能</v>
      </c>
      <c r="G26" s="91" t="str">
        <v>operation</v>
      </c>
      <c r="H26" s="25" t="str">
        <v>打开、关闭</v>
      </c>
      <c r="I26" s="25">
        <f>"用户{"&amp;G26&amp;"}地图巡航播报开关"</f>
      </c>
      <c r="J26" s="25" t="str">
        <v>用户23312关闭地图巡航播报开关</v>
      </c>
      <c r="M26" s="3" t="str">
        <v>P0</v>
      </c>
      <c r="N26" s="3" t="str">
        <v>V1</v>
      </c>
      <c r="O26" s="94">
        <v>46188</v>
      </c>
      <c r="P26" s="3" t="str">
        <v>用户后面添加对应UserId，可以通过他找到对应的用户信息</v>
      </c>
    </row>
    <row r="27" spans="1:16">
      <c r="A27" s="25" t="str">
        <v>人车交互</v>
      </c>
      <c r="B27" s="25" t="str">
        <v>地图设置</v>
      </c>
      <c r="C27" s="25" t="str">
        <v>避开限行开关</v>
      </c>
      <c r="D27" s="25" t="str">
        <v>nav_avoid_restriction_ctrl</v>
      </c>
      <c r="E27" s="25">
        <f>B27&amp;C27</f>
      </c>
      <c r="F27" s="25" t="str">
        <v>用户在地图设置页手动打开/关闭避开限行策略</v>
      </c>
      <c r="G27" s="91" t="str">
        <v>operation</v>
      </c>
      <c r="H27" s="25" t="str">
        <v>打开、关闭</v>
      </c>
      <c r="I27" s="25">
        <f>"用户{"&amp;G27&amp;"}地图避开限行开关"</f>
      </c>
      <c r="J27" s="25" t="str">
        <v>用户23312打开地图避开限行开关</v>
      </c>
      <c r="M27" s="3" t="str">
        <v>P0</v>
      </c>
      <c r="N27" s="3" t="str">
        <v>V1</v>
      </c>
      <c r="O27" s="94">
        <v>46188</v>
      </c>
      <c r="P27" s="3" t="str">
        <v>用户后面添加对应UserId，可以通过他找到对应的用户信息</v>
      </c>
    </row>
    <row r="28" spans="1:16">
      <c r="A28" s="25" t="str">
        <v>人车交互</v>
      </c>
      <c r="B28" s="25" t="str">
        <v>导航应用</v>
      </c>
      <c r="C28" s="25" t="str">
        <v>导航自动比例尺开关</v>
      </c>
      <c r="D28" s="25" t="str">
        <v>nav_auto_scale_ctrl</v>
      </c>
      <c r="E28" s="25">
        <f>B28&amp;C28</f>
      </c>
      <c r="F28" s="25" t="str">
        <v>用户在地图设置页手动打开/关闭导航自动比例尺</v>
      </c>
      <c r="G28" s="91" t="str">
        <v>operation</v>
      </c>
      <c r="H28" s="25" t="str">
        <v>打开、关闭</v>
      </c>
      <c r="I28" s="25">
        <f>"用户{"&amp;G28&amp;"}地图导航自动比例尺开关"</f>
      </c>
      <c r="J28" s="25" t="str">
        <v>用户23312打开地图导航自动比例尺开关</v>
      </c>
      <c r="M28" s="3" t="str">
        <v>P0</v>
      </c>
      <c r="N28" s="3" t="str">
        <v>V1</v>
      </c>
      <c r="O28" s="94">
        <v>46188</v>
      </c>
      <c r="P28" s="3" t="str">
        <v>用户后面添加对应UserId，可以通过他找到对应的用户信息</v>
      </c>
    </row>
    <row r="29" spans="1:16">
      <c r="A29" s="25" t="str">
        <v>人车交互</v>
      </c>
      <c r="B29" s="25" t="str">
        <v>导航应用</v>
      </c>
      <c r="C29" s="25" t="str">
        <v>车道级导航开关</v>
      </c>
      <c r="D29" s="25" t="str">
        <v>nav_lane_level_ctrl</v>
      </c>
      <c r="E29" s="25">
        <f>B29&amp;C29</f>
      </c>
      <c r="F29" s="25" t="str">
        <v>用户在地图设置页手动打开/关闭车道级导航功能</v>
      </c>
      <c r="G29" s="91" t="str">
        <v>operation</v>
      </c>
      <c r="H29" s="25" t="str">
        <v>打开、关闭</v>
      </c>
      <c r="I29" s="25">
        <f>"用户{"&amp;G29&amp;"}地图车道级导航开关"</f>
      </c>
      <c r="J29" s="25" t="str">
        <v>用户23312打开地图车道级导航开关</v>
      </c>
      <c r="M29" s="3" t="str">
        <v>P0</v>
      </c>
      <c r="N29" s="3" t="str">
        <v>V1</v>
      </c>
      <c r="O29" s="94">
        <v>46188</v>
      </c>
      <c r="P29" s="3" t="str">
        <v>用户后面添加对应UserId，可以通过他找到对应的用户信息</v>
      </c>
    </row>
    <row r="30" spans="1:16">
      <c r="A30" s="25" t="str">
        <v>人车交互</v>
      </c>
      <c r="B30" s="25" t="str">
        <v>导航应用</v>
      </c>
      <c r="C30" s="25" t="str">
        <v>播报风格切换</v>
      </c>
      <c r="D30" s="25" t="str">
        <v>nav_broadcast_style_switch</v>
      </c>
      <c r="E30" s="25">
        <f>B30&amp;C30</f>
      </c>
      <c r="F30" s="25" t="str">
        <v>用户在地图设置页手动切换导航语音播报风格</v>
      </c>
      <c r="G30" s="25" t="str">
        <v>navBroadcastStyleSwitch</v>
      </c>
      <c r="H30" s="25" t="str">
        <v>详细、简洁、极简等</v>
      </c>
      <c r="I30" s="25">
        <f>"用户设置导航播报风格：{"&amp;G30&amp;"}"</f>
      </c>
      <c r="J30" s="25" t="str">
        <v>用户23312设置导航播报风格：简洁</v>
      </c>
      <c r="M30" s="3" t="str">
        <v>P0</v>
      </c>
      <c r="N30" s="3" t="str">
        <v>V1</v>
      </c>
      <c r="O30" s="94">
        <v>46188</v>
      </c>
      <c r="P30" s="3" t="str">
        <v>用户后面添加对应UserId，可以通过他找到对应的用户信息</v>
      </c>
    </row>
    <row r="31" spans="1:16">
      <c r="A31" s="25" t="str">
        <v>人车交互</v>
      </c>
      <c r="B31" s="25" t="str">
        <v>导航应用</v>
      </c>
      <c r="C31" s="25" t="str">
        <v>切换车头朝向</v>
      </c>
      <c r="D31" s="25" t="str">
        <v>nav_heading_up_ctrl</v>
      </c>
      <c r="E31" s="25">
        <f>B31&amp;C31</f>
      </c>
      <c r="F31" s="25" t="str">
        <v>用户手动切换地图为车头朝上显示模式</v>
      </c>
      <c r="G31" s="25" t="str">
        <v>navHeadingUpCtrl</v>
      </c>
      <c r="H31" s="25" t="str">
        <v>车头朝上、正北朝上</v>
      </c>
      <c r="I31" s="25">
        <f>"用户设置地图切换车头朝向操作：{"&amp;G31&amp;"}"</f>
      </c>
      <c r="J31" s="25" t="str">
        <v>用户23312设置地图切换车头朝向操作：车头朝上</v>
      </c>
      <c r="M31" s="3" t="str">
        <v>P0</v>
      </c>
      <c r="N31" s="3" t="str">
        <v>V1</v>
      </c>
      <c r="O31" s="94">
        <v>46188</v>
      </c>
      <c r="P31" s="3" t="str">
        <v>用户后面添加对应UserId，可以通过他找到对应的用户信息</v>
      </c>
    </row>
    <row r="32" spans="1:16">
      <c r="A32" s="25" t="str">
        <v>人车交互</v>
      </c>
      <c r="B32" s="25" t="str">
        <v>导航应用</v>
      </c>
      <c r="C32" s="25" t="str">
        <v>切换地图视角</v>
      </c>
      <c r="D32" s="25" t="str">
        <v>nav_map_view_switch</v>
      </c>
      <c r="E32" s="25">
        <f>B32&amp;C32</f>
      </c>
      <c r="F32" s="25" t="str">
        <v>用户手动切换2D/3D等地图显示视角</v>
      </c>
      <c r="G32" s="25" t="str">
        <v>navMapViewSwitch</v>
      </c>
      <c r="H32" s="25" t="str">
        <v>2D平面、3D立体</v>
      </c>
      <c r="I32" s="25">
        <f>"用户设置地图切换地图视角操作：{"&amp;G32&amp;"}"</f>
      </c>
      <c r="J32" s="25" t="str">
        <v>用户23312设置地图切换地图视角操作：3D立体</v>
      </c>
      <c r="M32" s="3" t="str">
        <v>P0</v>
      </c>
      <c r="N32" s="3" t="str">
        <v>V1</v>
      </c>
      <c r="O32" s="94">
        <v>46188</v>
      </c>
      <c r="P32" s="3" t="str">
        <v>用户后面添加对应UserId，可以通过他找到对应的用户信息</v>
      </c>
    </row>
    <row r="33" spans="1:16">
      <c r="A33" s="25" t="str">
        <v>人车交互</v>
      </c>
      <c r="B33" s="25" t="str">
        <v>导航应用</v>
      </c>
      <c r="C33" s="25" t="str">
        <v>自车位定位控制</v>
      </c>
      <c r="D33" s="25" t="str">
        <v>nav_self_location_ctrl</v>
      </c>
      <c r="E33" s="25">
        <f>B33&amp;C33</f>
      </c>
      <c r="F33" s="25" t="str">
        <v>用户手动触发当前车辆位置定位校准</v>
      </c>
      <c r="G33" s="25" t="str">
        <v>navSelfLocationCtrl</v>
      </c>
      <c r="H33" s="25" t="str">
        <v>触发、取消触发</v>
      </c>
      <c r="I33" s="25">
        <f>"用户{"&amp;G33&amp;"}自车位定位控制操作"</f>
      </c>
      <c r="J33" s="25" t="str">
        <v>用户23312触发自车位定位控制操作</v>
      </c>
      <c r="M33" s="3" t="str">
        <v>P0</v>
      </c>
      <c r="N33" s="3" t="str">
        <v>V1</v>
      </c>
      <c r="O33" s="94">
        <v>46188</v>
      </c>
      <c r="P33" s="3" t="str">
        <v>用户后面添加对应UserId，可以通过他找到对应的用户信息</v>
      </c>
    </row>
    <row r="34" spans="1:16">
      <c r="A34" s="25" t="str">
        <v>人车交互</v>
      </c>
      <c r="B34" s="25" t="str">
        <v>导航应用</v>
      </c>
      <c r="C34" s="25" t="str">
        <v>SR 导航开关</v>
      </c>
      <c r="D34" s="25" t="str">
        <v>nav_sr_ctrl</v>
      </c>
      <c r="E34" s="25">
        <f>B34&amp;C34</f>
      </c>
      <c r="F34" s="25" t="str">
        <v>用户手动打开或关闭SR增强现实导航功能</v>
      </c>
      <c r="G34" s="91" t="str">
        <v>operation</v>
      </c>
      <c r="H34" s="25" t="str">
        <v>打开、关闭</v>
      </c>
      <c r="I34" s="25">
        <f>"用户{"&amp;G34&amp;"}SR导航开关"</f>
      </c>
      <c r="J34" s="25" t="str">
        <v>用户23312打开SR导航开关</v>
      </c>
      <c r="M34" s="3" t="str">
        <v>P0</v>
      </c>
      <c r="N34" s="3" t="str">
        <v>V1</v>
      </c>
      <c r="O34" s="94">
        <v>46188</v>
      </c>
      <c r="P34" s="3" t="str">
        <v>用户后面添加对应UserId，可以通过他找到对应的用户信息</v>
      </c>
    </row>
  </sheetData>
  <mergeCells count="8">
    <mergeCell ref="I9:I10"/>
    <mergeCell ref="J9:J10"/>
    <mergeCell ref="J15:J16"/>
    <mergeCell ref="I15:I16"/>
    <mergeCell ref="J17:J18"/>
    <mergeCell ref="I17:I18"/>
    <mergeCell ref="I19:I20"/>
    <mergeCell ref="J19:J2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8.714285714285714" style="1" customWidth="1"/>
    <col min="2" max="2" width="17.142857142857142" style="1" customWidth="1"/>
    <col min="3" max="3" width="32.42857142857143" style="1" customWidth="1"/>
    <col min="4" max="4" width="38.98701298701299" style="1" customWidth="1"/>
    <col min="5" max="5" width="36.88311688311689" style="1" customWidth="1"/>
    <col min="6" max="6" width="57.60093654471466" style="1" customWidth="1"/>
    <col min="7" max="7" width="24.571428571428573" style="1" customWidth="1"/>
    <col min="8" max="8" width="39.996845732977754" style="1" customWidth="1"/>
    <col min="9" max="9" width="50.857142857142854" style="1" customWidth="1"/>
    <col min="10" max="10" width="53.68253968253963" style="1" customWidth="1"/>
    <col min="11" max="11" width="14.714285714285714" style="1" customWidth="1"/>
    <col min="12" max="12" width="13.428571428571429" style="1" customWidth="1"/>
    <col min="13" max="13" width="9.428571428571429" style="1" customWidth="1"/>
    <col min="14" max="14" width="11.285714285714286" style="1" customWidth="1"/>
    <col min="15" max="15" width="15" style="1" customWidth="1"/>
    <col min="16" max="16" width="49.42857142857143" style="1" customWidth="1"/>
  </cols>
  <sheetData>
    <row r="1" spans="1:16">
      <c r="A1" s="90" t="str">
        <v>一级</v>
      </c>
      <c r="B1" s="90" t="str">
        <v>二级</v>
      </c>
      <c r="C1" s="90" t="str">
        <v>三级</v>
      </c>
      <c r="D1" s="96" t="str">
        <v>事件名称【唯一标识】</v>
      </c>
      <c r="E1" s="90" t="str">
        <v>事件名称（中文）</v>
      </c>
      <c r="F1" s="90" t="str">
        <v>事件说明</v>
      </c>
      <c r="G1" s="90" t="str">
        <v>事件字段(event_value)</v>
      </c>
      <c r="H1" s="90" t="str">
        <v>字段解释</v>
      </c>
      <c r="I1" s="90" t="str">
        <v>自然语言拼接【规则】</v>
      </c>
      <c r="J1" s="90" t="str">
        <v>事件示例</v>
      </c>
      <c r="K1" s="90" t="str">
        <v>SLS校对情况</v>
      </c>
      <c r="L1" s="90" t="str">
        <v>ZJ校对情况</v>
      </c>
      <c r="M1" s="90" t="str">
        <v>优先级</v>
      </c>
      <c r="N1" s="90" t="str">
        <v>输出版本</v>
      </c>
      <c r="O1" s="90" t="str">
        <v>输出版本日期</v>
      </c>
      <c r="P1" s="90" t="str">
        <v>备注</v>
      </c>
    </row>
    <row r="2" spans="1:16">
      <c r="A2" s="25" t="str">
        <v>人车交互</v>
      </c>
      <c r="B2" s="25" t="str">
        <v>车外灯光</v>
      </c>
      <c r="C2" s="25" t="str">
        <v>近光灯控制</v>
      </c>
      <c r="D2" s="25" t="str">
        <v>external_light_lowbeam_ctrl</v>
      </c>
      <c r="E2" s="25">
        <f>B2&amp;C2</f>
      </c>
      <c r="F2" s="25" t="str">
        <v>用户点击切换近光灯控制状态，仅变化时记录</v>
      </c>
      <c r="G2" s="25" t="str">
        <v>operation</v>
      </c>
      <c r="H2" s="25" t="str">
        <v>打开/关闭</v>
      </c>
      <c r="I2" s="25" t="str">
        <v>用户{operation}了近光灯</v>
      </c>
      <c r="J2" s="25" t="str">
        <v>用户 23312 打开了近光灯</v>
      </c>
      <c r="M2" s="3" t="str">
        <v>P0</v>
      </c>
      <c r="N2" s="3" t="str">
        <v>V1</v>
      </c>
      <c r="O2" s="94">
        <v>46188</v>
      </c>
      <c r="P2" s="3" t="str">
        <v>用户后面添加对应UserId，可以通过他找到对应的用户信息</v>
      </c>
    </row>
    <row r="3" spans="1:16">
      <c r="A3" s="25" t="str">
        <v>人车交互</v>
      </c>
      <c r="B3" s="25" t="str">
        <v>车外灯光</v>
      </c>
      <c r="C3" s="25" t="str">
        <v>位置灯控制</v>
      </c>
      <c r="D3" s="25" t="str">
        <v>external_light_position_ctrl</v>
      </c>
      <c r="E3" s="25">
        <f>B3&amp;C3</f>
      </c>
      <c r="F3" s="25" t="str">
        <v>用户点击切换位置灯控制状态，仅变化时记录</v>
      </c>
      <c r="G3" s="25" t="str">
        <v>operation</v>
      </c>
      <c r="H3" s="25" t="str">
        <v>打开/关闭</v>
      </c>
      <c r="I3" s="25" t="str">
        <v>用户{operation}了位置灯</v>
      </c>
      <c r="J3" s="25" t="str">
        <v>用户 23312 打开了位置灯</v>
      </c>
      <c r="M3" s="3" t="str">
        <v>P0</v>
      </c>
      <c r="N3" s="3" t="str">
        <v>V1</v>
      </c>
      <c r="O3" s="94">
        <v>46188</v>
      </c>
      <c r="P3" s="3" t="str">
        <v>用户后面添加对应UserId，可以通过他找到对应的用户信息</v>
      </c>
    </row>
    <row r="4" spans="1:16">
      <c r="A4" s="25" t="str">
        <v>人车交互</v>
      </c>
      <c r="B4" s="25" t="str">
        <v>车外灯光</v>
      </c>
      <c r="C4" s="25" t="str">
        <v>自动大灯控制</v>
      </c>
      <c r="D4" s="25" t="str">
        <v>external_light_auto_headlamp_ctrl</v>
      </c>
      <c r="E4" s="25">
        <f>B4&amp;C4</f>
      </c>
      <c r="F4" s="25" t="str">
        <v>用户点击切换自动大灯控制状态，仅变化时记录</v>
      </c>
      <c r="G4" s="25" t="str">
        <v>operation</v>
      </c>
      <c r="H4" s="25" t="str">
        <v>打开/关闭</v>
      </c>
      <c r="I4" s="25" t="str">
        <v>用户{operation}了自动大灯</v>
      </c>
      <c r="J4" s="25" t="str">
        <v>用户 23312 打开了自动大灯</v>
      </c>
      <c r="M4" s="3" t="str">
        <v>P0</v>
      </c>
      <c r="N4" s="3" t="str">
        <v>V1</v>
      </c>
      <c r="O4" s="94">
        <v>46188</v>
      </c>
      <c r="P4" s="3" t="str">
        <v>用户后面添加对应UserId，可以通过他找到对应的用户信息</v>
      </c>
    </row>
    <row r="5" spans="1:16">
      <c r="A5" s="25" t="str">
        <v>人车交互</v>
      </c>
      <c r="B5" s="25" t="str">
        <v>车外灯光</v>
      </c>
      <c r="C5" s="25" t="str">
        <v>自适应远光灯</v>
      </c>
      <c r="D5" s="25" t="str">
        <v>external_light_adap_highbeam_ctrl</v>
      </c>
      <c r="E5" s="25">
        <f>B5&amp;C5</f>
      </c>
      <c r="F5" s="25" t="str">
        <v>用户点击切换自适应远光灯状态，仅变化时记录</v>
      </c>
      <c r="G5" s="25" t="str">
        <v>operation</v>
      </c>
      <c r="H5" s="25" t="str">
        <v>打开/关闭</v>
      </c>
      <c r="I5" s="25" t="str">
        <v>用户{operation}了自适应远光灯</v>
      </c>
      <c r="J5" s="25" t="str">
        <v>用户 23312 打开了自适应远光灯</v>
      </c>
      <c r="M5" s="3" t="str">
        <v>P0</v>
      </c>
      <c r="N5" s="3" t="str">
        <v>V1</v>
      </c>
      <c r="O5" s="94">
        <v>46188</v>
      </c>
      <c r="P5" s="3" t="str">
        <v>用户后面添加对应UserId，可以通过他找到对应的用户信息</v>
      </c>
    </row>
    <row r="6" spans="1:16">
      <c r="A6" s="25" t="str">
        <v>人车交互</v>
      </c>
      <c r="B6" s="25" t="str">
        <v>车外灯光</v>
      </c>
      <c r="C6" s="25" t="str">
        <v>后雾灯</v>
      </c>
      <c r="D6" s="25" t="str">
        <v>external_light_rear_foglamp_ctrl</v>
      </c>
      <c r="E6" s="25">
        <f>B6&amp;C6</f>
      </c>
      <c r="F6" s="25" t="str">
        <v>用户点击切换后雾灯状态，仅变化时记录</v>
      </c>
      <c r="G6" s="25" t="str">
        <v>operation</v>
      </c>
      <c r="H6" s="25" t="str">
        <v>打开/关闭</v>
      </c>
      <c r="I6" s="25" t="str">
        <v>用户{operation}了后雾灯</v>
      </c>
      <c r="J6" s="25" t="str">
        <v>用户 23312 关闭了后雾灯</v>
      </c>
      <c r="M6" s="3" t="str">
        <v>P0</v>
      </c>
      <c r="N6" s="3" t="str">
        <v>V1</v>
      </c>
      <c r="O6" s="94">
        <v>46188</v>
      </c>
      <c r="P6" s="3" t="str">
        <v>用户后面添加对应UserId，可以通过他找到对应的用户信息</v>
      </c>
    </row>
    <row r="7" spans="1:16">
      <c r="A7" s="17" t="str">
        <v>人车交互</v>
      </c>
      <c r="B7" s="17" t="str">
        <v>车外灯光</v>
      </c>
      <c r="C7" s="17" t="str">
        <v>大灯高度调节</v>
      </c>
      <c r="D7" s="25" t="str">
        <v>external_light_headlamp_height_adj</v>
      </c>
      <c r="E7" s="17">
        <f>B7&amp;C7</f>
      </c>
      <c r="F7" s="17" t="str">
        <v>用户点击切换大灯高度调节，仅变化时记录</v>
      </c>
      <c r="G7" s="17" t="str">
        <v>value</v>
      </c>
      <c r="H7" s="17" t="str">
        <v>1.近一点（低一点）/远一点（高一点）
2.近/较近/较远/远
3.最近/最远</v>
      </c>
      <c r="I7" s="17" t="str">
        <v>用户将大灯高度调节{value}</v>
      </c>
      <c r="J7" s="25" t="str">
        <v>1. 用户 23312 将大灯高度调节远一点
2. 用户 23312 将大灯高度调节较远
3. 用户 23312 将大灯高度调节最远</v>
      </c>
      <c r="M7" s="3" t="str">
        <v>P0</v>
      </c>
      <c r="N7" s="3" t="str">
        <v>V1</v>
      </c>
      <c r="O7" s="94">
        <v>46188</v>
      </c>
      <c r="P7" s="3" t="str">
        <v>用户后面添加对应UserId，可以通过他找到对应的用户信息</v>
      </c>
    </row>
    <row r="8" spans="1:16">
      <c r="A8" s="17" t="str">
        <v>人车交互</v>
      </c>
      <c r="B8" s="17" t="str">
        <v>车外灯光</v>
      </c>
      <c r="C8" s="17" t="str">
        <v>伴我回家调节</v>
      </c>
      <c r="D8" s="25" t="str">
        <v>external_light_followhome_set</v>
      </c>
      <c r="E8" s="17">
        <f>B8&amp;C8</f>
      </c>
      <c r="F8" s="17" t="str">
        <v>用户点击切换伴我回家调节状态，仅变化时记录</v>
      </c>
      <c r="G8" s="17" t="str">
        <v>value</v>
      </c>
      <c r="H8" s="17" t="str">
        <v>1.时长短一些/时长长一些
2.关闭/15秒/30秒/60秒
3.最短15秒/最长60秒</v>
      </c>
      <c r="I8" s="17" t="str">
        <v>用户将伴我回家设置{operation}</v>
      </c>
      <c r="J8" s="25" t="str">
        <v>1. 用户 23312 将伴我回家设置时长长一些
2. 用户 23312 将伴我回家设置15秒
3. 用户 23312 将伴我回家设置最长60秒</v>
      </c>
      <c r="M8" s="3" t="str">
        <v>P0</v>
      </c>
      <c r="N8" s="3" t="str">
        <v>V1</v>
      </c>
      <c r="O8" s="94">
        <v>46188</v>
      </c>
      <c r="P8" s="3" t="str">
        <v>用户后面添加对应UserId，可以通过他找到对应的用户信息</v>
      </c>
    </row>
    <row r="9" spans="1:16">
      <c r="A9" s="25" t="str">
        <v>人车交互</v>
      </c>
      <c r="B9" s="25" t="str">
        <v>车外灯光</v>
      </c>
      <c r="C9" s="25" t="str">
        <v>ADS灯</v>
      </c>
      <c r="D9" s="25" t="str">
        <v>external_light_ads_lamp_ctrl</v>
      </c>
      <c r="E9" s="25">
        <f>B9&amp;C9</f>
      </c>
      <c r="F9" s="25" t="str">
        <v>用户点击切换ADS灯状态，仅变化时记录</v>
      </c>
      <c r="G9" s="25" t="str">
        <v>operation</v>
      </c>
      <c r="H9" s="25" t="str">
        <v>全开/全关/仅前灯</v>
      </c>
      <c r="I9" s="25" t="str">
        <v>用户ADS灯（小蓝灯/自动驾驶灯）{operation}</v>
      </c>
      <c r="J9" s="25" t="str">
        <v>用户 23312ADS 灯（小蓝灯 / 自动驾驶灯）全开</v>
      </c>
      <c r="M9" s="3" t="str">
        <v>P0</v>
      </c>
      <c r="N9" s="3" t="str">
        <v>V1</v>
      </c>
      <c r="O9" s="94">
        <v>46188</v>
      </c>
      <c r="P9" s="3" t="str">
        <v>用户后面添加对应UserId，可以通过他找到对应的用户信息</v>
      </c>
    </row>
    <row r="10" spans="1:16">
      <c r="A10" s="25" t="str">
        <v>人车交互</v>
      </c>
      <c r="B10" s="25" t="str">
        <v>ISD灯光—灵眸大灯</v>
      </c>
      <c r="C10" s="25" t="str">
        <v>ISD开关</v>
      </c>
      <c r="D10" s="25" t="str">
        <v>isd_eyelamp_main_switch</v>
      </c>
      <c r="E10" s="25">
        <f>B10&amp;C10</f>
      </c>
      <c r="F10" s="25" t="str">
        <v>用户点击切换ISD开关状态，仅变化时记录</v>
      </c>
      <c r="G10" s="25" t="str">
        <v>operation</v>
      </c>
      <c r="H10" s="25" t="str">
        <v>打开/关闭</v>
      </c>
      <c r="I10" s="25" t="str">
        <v>用户{operation}了ISD开关</v>
      </c>
      <c r="J10" s="25" t="str">
        <v>用户 23312 打开了 ISD 开关</v>
      </c>
      <c r="M10" s="3" t="str">
        <v>P0</v>
      </c>
      <c r="N10" s="3" t="str">
        <v>V1</v>
      </c>
      <c r="O10" s="94">
        <v>46188</v>
      </c>
      <c r="P10" s="3" t="str">
        <v>用户后面添加对应UserId，可以通过他找到对应的用户信息</v>
      </c>
    </row>
    <row r="11" spans="1:16">
      <c r="A11" s="25" t="str">
        <v>人车交互</v>
      </c>
      <c r="B11" s="25" t="str">
        <v>ISD灯光—灵眸大灯</v>
      </c>
      <c r="C11" s="25" t="str">
        <v>ISD灯语-迎宾灯语</v>
      </c>
      <c r="D11" s="25" t="str">
        <v>isd_eyelamp_welcome_lantern</v>
      </c>
      <c r="E11" s="25">
        <f>B11&amp;C11</f>
      </c>
      <c r="F11" s="25" t="str">
        <v>用户点击切换ISD灯语-迎宾灯语状态，仅变化时记录</v>
      </c>
      <c r="G11" s="25" t="str">
        <v>operation</v>
      </c>
      <c r="H11" s="25" t="str">
        <v>打开/关闭</v>
      </c>
      <c r="I11" s="25" t="str">
        <v>用户{operation}了ISD迎宾灯语</v>
      </c>
      <c r="J11" s="25" t="str">
        <v>用户 23312 关闭 ISD 迎宾灯语</v>
      </c>
      <c r="M11" s="3" t="str">
        <v>P0</v>
      </c>
      <c r="N11" s="3" t="str">
        <v>V1</v>
      </c>
      <c r="O11" s="94">
        <v>46188</v>
      </c>
      <c r="P11" s="3" t="str">
        <v>用户后面添加对应UserId，可以通过他找到对应的用户信息</v>
      </c>
    </row>
    <row r="12" spans="1:16">
      <c r="A12" s="25" t="str">
        <v>人车交互</v>
      </c>
      <c r="B12" s="25" t="str">
        <v>ISD灯光—灵眸大灯</v>
      </c>
      <c r="C12" s="25" t="str">
        <v>ISD灯语-充电显示灯语</v>
      </c>
      <c r="D12" s="25" t="str">
        <v>isd_eyelamp_charge_lantern</v>
      </c>
      <c r="E12" s="25">
        <f>B12&amp;C12</f>
      </c>
      <c r="F12" s="25" t="str">
        <v>用户点击切换ISD灯语-充电显示灯语状态，仅变化时记录</v>
      </c>
      <c r="G12" s="25" t="str">
        <v>operation</v>
      </c>
      <c r="H12" s="25" t="str">
        <v>打开/关闭</v>
      </c>
      <c r="I12" s="25" t="str">
        <v>用户{operation}了ISD充电显示灯语</v>
      </c>
      <c r="J12" s="25" t="str">
        <v>用户 23312 打开 ISD 充电显示灯语</v>
      </c>
      <c r="M12" s="3" t="str">
        <v>P0</v>
      </c>
      <c r="N12" s="3" t="str">
        <v>V1</v>
      </c>
      <c r="O12" s="94">
        <v>46188</v>
      </c>
      <c r="P12" s="3" t="str">
        <v>用户后面添加对应UserId，可以通过他找到对应的用户信息</v>
      </c>
    </row>
    <row r="13" spans="1:16">
      <c r="A13" s="25" t="str">
        <v>人车交互</v>
      </c>
      <c r="B13" s="25" t="str">
        <v>ISD灯光—灵眸大灯</v>
      </c>
      <c r="C13" s="25" t="str">
        <v>ISD灯语-语音交互灯语</v>
      </c>
      <c r="D13" s="25" t="str">
        <v>isd_eyelamp_voice_lantern</v>
      </c>
      <c r="E13" s="25">
        <f>B13&amp;C13</f>
      </c>
      <c r="F13" s="25" t="str">
        <v>用户点击切换ISD灯语-语音交互灯语状态，仅变化时记录</v>
      </c>
      <c r="G13" s="25" t="str">
        <v>operation</v>
      </c>
      <c r="H13" s="25" t="str">
        <v>打开/关闭</v>
      </c>
      <c r="I13" s="25" t="str">
        <v>用户{operation}了ISD语音交互灯语</v>
      </c>
      <c r="J13" s="25" t="str">
        <v>用户 23312 打开 ISD 语音交互灯语</v>
      </c>
      <c r="M13" s="3" t="str">
        <v>P0</v>
      </c>
      <c r="N13" s="3" t="str">
        <v>V1</v>
      </c>
      <c r="O13" s="94">
        <v>46188</v>
      </c>
      <c r="P13" s="3" t="str">
        <v>用户后面添加对应UserId，可以通过他找到对应的用户信息</v>
      </c>
    </row>
    <row r="14" spans="1:16">
      <c r="A14" s="25" t="str">
        <v>人车交互</v>
      </c>
      <c r="B14" s="25" t="str">
        <v>logo灯</v>
      </c>
      <c r="C14" s="25" t="str">
        <v>场景灯效</v>
      </c>
      <c r="D14" s="25" t="str">
        <v>logo_light_scene_effect</v>
      </c>
      <c r="E14" s="25">
        <f>B14&amp;C14</f>
      </c>
      <c r="F14" s="25" t="str">
        <v>用户点击切换场景灯效状态，仅变化时记录</v>
      </c>
      <c r="G14" s="25" t="str">
        <v>operation</v>
      </c>
      <c r="H14" s="25" t="str">
        <v>打开/关闭</v>
      </c>
      <c r="I14" s="25" t="str">
        <v>用户{operation}logo灯的驻车灯效</v>
      </c>
      <c r="J14" s="25" t="str">
        <v>用户 23312 打开 logo 灯的驻车灯效</v>
      </c>
      <c r="M14" s="3" t="str">
        <v>P0</v>
      </c>
      <c r="N14" s="3" t="str">
        <v>V1</v>
      </c>
      <c r="O14" s="94">
        <v>46188</v>
      </c>
      <c r="P14" s="3" t="str">
        <v>用户后面添加对应UserId，可以通过他找到对应的用户信息</v>
      </c>
    </row>
    <row r="15" spans="1:16">
      <c r="A15" s="25" t="str">
        <v>人车交互</v>
      </c>
      <c r="B15" s="25" t="str">
        <v>车内灯</v>
      </c>
      <c r="C15" s="25" t="str">
        <v>全车内灯控制</v>
      </c>
      <c r="D15" s="25" t="str">
        <v>interior_light_alllamp_ctrl</v>
      </c>
      <c r="E15" s="25">
        <f>B15&amp;C15</f>
      </c>
      <c r="F15" s="25" t="str">
        <v>用户点击切换全车内灯控制状态，仅变化时记录</v>
      </c>
      <c r="G15" s="25" t="str">
        <v>operation</v>
      </c>
      <c r="H15" s="25" t="str">
        <v>全开/全关</v>
      </c>
      <c r="I15" s="25" t="str">
        <v>用户{operation}了全车内灯</v>
      </c>
      <c r="J15" s="25" t="str">
        <v>用户 23312 全开了全车内灯</v>
      </c>
      <c r="M15" s="3" t="str">
        <v>P0</v>
      </c>
      <c r="N15" s="3" t="str">
        <v>V1</v>
      </c>
      <c r="O15" s="94">
        <v>46188</v>
      </c>
      <c r="P15" s="3" t="str">
        <v>用户后面添加对应UserId，可以通过他找到对应的用户信息</v>
      </c>
    </row>
    <row r="16" spans="1:16">
      <c r="A16" s="25" t="str">
        <v>人车交互</v>
      </c>
      <c r="B16" s="25" t="str">
        <v>车内灯</v>
      </c>
      <c r="C16" s="25" t="str">
        <v>氛围灯控制</v>
      </c>
      <c r="D16" s="25" t="str">
        <v>interior_light_ambient_ctrl</v>
      </c>
      <c r="E16" s="25">
        <f>B16&amp;C16</f>
      </c>
      <c r="F16" s="25" t="str">
        <v>用户点击切换氛围灯控制状态，仅变化时记录</v>
      </c>
      <c r="G16" s="25" t="str">
        <v>operation</v>
      </c>
      <c r="H16" s="25" t="str">
        <v>开启/关闭</v>
      </c>
      <c r="I16" s="25" t="str">
        <v>用户{operation}了氛围灯</v>
      </c>
      <c r="J16" s="25" t="str">
        <v>用户 23312 开启了氛围灯</v>
      </c>
      <c r="M16" s="3" t="str">
        <v>P0</v>
      </c>
      <c r="N16" s="3" t="str">
        <v>V1</v>
      </c>
      <c r="O16" s="94">
        <v>46188</v>
      </c>
      <c r="P16" s="3" t="str">
        <v>用户后面添加对应UserId，可以通过他找到对应的用户信息</v>
      </c>
    </row>
    <row r="17" spans="1:16">
      <c r="A17" s="25" t="str">
        <v>人车交互</v>
      </c>
      <c r="B17" s="25" t="str">
        <v>车内灯</v>
      </c>
      <c r="C17" s="25" t="str">
        <v>氛围灯灯效调节</v>
      </c>
      <c r="D17" s="25" t="str">
        <v>interior_light_ambient_effect_adj</v>
      </c>
      <c r="E17" s="25">
        <f>B17&amp;C17</f>
      </c>
      <c r="F17" s="25" t="str">
        <v>用户点击切换氛围灯灯效调节状态，仅变化时记录</v>
      </c>
      <c r="G17" s="25" t="str">
        <v>effect</v>
      </c>
      <c r="H17" s="25" t="str">
        <v>静态常显、流水律动、呼吸渐变、音乐律动</v>
      </c>
      <c r="I17" s="25" t="str">
        <v>用户将氛围灯灯效设置为{effect}</v>
      </c>
      <c r="J17" s="25" t="str">
        <v>用户 23312 将氛围灯灯效设置为静态常显</v>
      </c>
      <c r="M17" s="3" t="str">
        <v>P0</v>
      </c>
      <c r="N17" s="3" t="str">
        <v>V1</v>
      </c>
      <c r="O17" s="94">
        <v>46188</v>
      </c>
      <c r="P17" s="3" t="str">
        <v>用户后面添加对应UserId，可以通过他找到对应的用户信息</v>
      </c>
    </row>
    <row r="18" spans="1:16">
      <c r="A18" s="25" t="str">
        <v>人车交互</v>
      </c>
      <c r="B18" s="25" t="str">
        <v>车内灯</v>
      </c>
      <c r="C18" s="25" t="str">
        <v>氛围灯呼吸频率选择</v>
      </c>
      <c r="D18" s="25" t="str">
        <v>interior_light_ambient_breath_sel</v>
      </c>
      <c r="E18" s="25">
        <f>B18&amp;C18</f>
      </c>
      <c r="F18" s="25" t="str">
        <v>用户点击切换氛围灯呼吸频率选择状态，仅变化时记录</v>
      </c>
      <c r="G18" s="25" t="str">
        <v>frequence</v>
      </c>
      <c r="H18" s="25" t="str">
        <v>快、中、慢</v>
      </c>
      <c r="I18" s="25" t="str">
        <v>用户氛围灯呼吸模式设置为{frequence}</v>
      </c>
      <c r="J18" s="25" t="str">
        <v>用户 23312 氛围灯呼吸模式设置为较快</v>
      </c>
      <c r="M18" s="3" t="str">
        <v>P0</v>
      </c>
      <c r="N18" s="3" t="str">
        <v>V1</v>
      </c>
      <c r="O18" s="94">
        <v>46188</v>
      </c>
      <c r="P18" s="3" t="str">
        <v>用户后面添加对应UserId，可以通过他找到对应的用户信息</v>
      </c>
    </row>
    <row r="19" spans="1:16">
      <c r="A19" s="25" t="str">
        <v>人车交互</v>
      </c>
      <c r="B19" s="25" t="str">
        <v>车内灯</v>
      </c>
      <c r="C19" s="25" t="str">
        <v>氛围灯警示灯效</v>
      </c>
      <c r="D19" s="25" t="str">
        <v>interior_light_ambient_warn_effect</v>
      </c>
      <c r="E19" s="25">
        <f>B19&amp;C19</f>
      </c>
      <c r="F19" s="25" t="str">
        <v>用户点击切换氛围灯警示灯效状态，仅变化时记录</v>
      </c>
      <c r="G19" s="25" t="str">
        <v>operation</v>
      </c>
      <c r="H19" s="25" t="str">
        <v>开门预警、碰撞预警（暂定，后续有补充）</v>
      </c>
      <c r="I19" s="25" t="str">
        <v>用户{operation}了氛围灯警示灯效</v>
      </c>
      <c r="J19" s="25" t="str">
        <v>用户 23312 开门预警了氛围灯警示灯效</v>
      </c>
      <c r="M19" s="3" t="str">
        <v>P0</v>
      </c>
      <c r="N19" s="3" t="str">
        <v>V1</v>
      </c>
      <c r="O19" s="94">
        <v>46188</v>
      </c>
      <c r="P19" s="3" t="str">
        <v>用户后面添加对应UserId，可以通过他找到对应的用户信息</v>
      </c>
    </row>
    <row r="20" spans="1:16">
      <c r="A20" s="25" t="str">
        <v>人车交互</v>
      </c>
      <c r="B20" s="25" t="str">
        <v>车内灯</v>
      </c>
      <c r="C20" s="25" t="str">
        <v>氛围灯亮度绝对值调节</v>
      </c>
      <c r="D20" s="25" t="str">
        <v>interior_light_ambient_bright_adj</v>
      </c>
      <c r="E20" s="25">
        <f>B20&amp;C20</f>
      </c>
      <c r="F20" s="25" t="str">
        <v>用户点击切换氛围灯亮度绝对值调节状态，仅变化时记录</v>
      </c>
      <c r="G20" s="25" t="str">
        <v>value</v>
      </c>
      <c r="H20" s="25" t="str">
        <v>0-100档</v>
      </c>
      <c r="I20" s="25" t="str">
        <v>用户将氛围灯亮度设置为{operation}，范围0-100档</v>
      </c>
      <c r="J20" s="25" t="str">
        <v>用户 23312 将氛围灯亮度设置为 10 档，范围 0-100 档</v>
      </c>
      <c r="M20" s="3" t="str">
        <v>P0</v>
      </c>
      <c r="N20" s="3" t="str">
        <v>V1</v>
      </c>
      <c r="O20" s="94">
        <v>46188</v>
      </c>
      <c r="P20" s="3" t="str">
        <v>用户后面添加对应UserId，可以通过他找到对应的用户信息</v>
      </c>
    </row>
    <row r="21" spans="1:16">
      <c r="A21" s="17" t="str">
        <v>人车交互</v>
      </c>
      <c r="B21" s="17" t="str">
        <v>车内灯</v>
      </c>
      <c r="C21" s="17" t="str">
        <v>氛围灯颜色调节</v>
      </c>
      <c r="D21" s="25" t="str">
        <v>interior_light_ambient_color_adj</v>
      </c>
      <c r="E21" s="17">
        <f>B21&amp;C21</f>
      </c>
      <c r="F21" s="17" t="str">
        <v>用户点击切换氛围灯颜色调节状态，仅变化时记录</v>
      </c>
      <c r="G21" s="17" t="str">
        <v>color</v>
      </c>
      <c r="H21" s="17" t="str">
        <v>256色-具体颜色待定</v>
      </c>
      <c r="I21" s="17" t="str">
        <v>用户将氛围灯颜色调节{operation}</v>
      </c>
      <c r="J21" s="25" t="str">
        <v>用户 23312 将氛围灯颜色调节红色</v>
      </c>
      <c r="M21" s="27" t="str">
        <v>P0</v>
      </c>
      <c r="N21" s="27" t="str">
        <v>V1</v>
      </c>
      <c r="O21" s="94">
        <v>46188</v>
      </c>
      <c r="P21" s="3" t="str">
        <v>用户后面添加对应UserId，可以通过他找到对应的用户信息</v>
      </c>
    </row>
    <row r="22" spans="1:16">
      <c r="A22" s="25" t="str">
        <v>人车交互</v>
      </c>
      <c r="B22" s="25" t="str">
        <v>车内灯</v>
      </c>
      <c r="C22" s="25" t="str">
        <v>氛围灯灯效联动</v>
      </c>
      <c r="D22" s="25" t="str">
        <v>interior_light_ambient_effect_link</v>
      </c>
      <c r="E22" s="25">
        <f>B22&amp;C22</f>
      </c>
      <c r="F22" s="25" t="str">
        <v>用户点击切换氛围灯灯效联动状态，仅变化时记录</v>
      </c>
      <c r="G22" s="25" t="str">
        <v>mode</v>
      </c>
      <c r="H22" s="25" t="str">
        <v>充电特效、语音交互、驾驶模式切换</v>
      </c>
      <c r="I22" s="25" t="str">
        <v>用户氛围灯联动{mode}</v>
      </c>
      <c r="J22" s="25" t="str">
        <v>用户 23312 氛围灯联动驾驶模式切换</v>
      </c>
      <c r="M22" s="3" t="str">
        <v>P0</v>
      </c>
      <c r="N22" s="3" t="str">
        <v>V1</v>
      </c>
      <c r="O22" s="94">
        <v>46188</v>
      </c>
      <c r="P22" s="3" t="str">
        <v>用户后面添加对应UserId，可以通过他找到对应的用户信息</v>
      </c>
    </row>
    <row r="23" spans="1:16">
      <c r="A23" s="25" t="str">
        <v>人车交互</v>
      </c>
      <c r="B23" s="25" t="str">
        <v>车内灯</v>
      </c>
      <c r="C23" s="25" t="str">
        <v>指定阅读灯控制</v>
      </c>
      <c r="D23" s="25" t="str">
        <v>interior_light_readlamp_ctrl</v>
      </c>
      <c r="E23" s="25">
        <f>B23&amp;C23</f>
      </c>
      <c r="F23" s="25" t="str">
        <v>用户点击切换指定阅读灯开启状态，仅变化时记录</v>
      </c>
      <c r="G23" s="25" t="str">
        <v>position</v>
      </c>
      <c r="H23" s="25" t="str">
        <v>主驾/副驾/左后/右后/前排/后排/左排/右排/全部</v>
      </c>
      <c r="I23" s="25" t="str">
        <v>用户{operation}了{position}阅读灯</v>
      </c>
      <c r="J23" s="25" t="str">
        <v>1. 用户 23312 打开了全部阅读灯
2. 用户 23312 关闭了主驾阅读灯</v>
      </c>
      <c r="M23" s="3" t="str">
        <v>P0</v>
      </c>
      <c r="N23" s="3" t="str">
        <v>V1</v>
      </c>
      <c r="O23" s="94">
        <v>46188</v>
      </c>
      <c r="P23" s="3" t="str">
        <v>用户后面添加对应UserId，可以通过他找到对应的用户信息</v>
      </c>
    </row>
    <row r="24" spans="7:16">
      <c r="G24" s="25" t="str">
        <v>operation</v>
      </c>
      <c r="H24" s="25" t="str">
        <v>打开/关闭</v>
      </c>
      <c r="I24" s="25"/>
      <c r="J24" s="25"/>
      <c r="M24" s="3" t="str">
        <v>P0</v>
      </c>
      <c r="N24" s="3" t="str">
        <v>V1</v>
      </c>
      <c r="O24" s="94">
        <v>46188</v>
      </c>
      <c r="P24" s="3" t="str">
        <v>用户后面添加对应UserId，可以通过他找到对应的用户信息</v>
      </c>
    </row>
    <row r="25" spans="1:16">
      <c r="A25" s="25" t="str">
        <v>人车交互</v>
      </c>
      <c r="B25" s="25" t="str">
        <v>车内灯</v>
      </c>
      <c r="C25" s="25" t="str">
        <v>门控顶灯</v>
      </c>
      <c r="D25" s="25" t="str">
        <v>interior_light_door_toplamp_ctrl</v>
      </c>
      <c r="E25" s="25">
        <f>B25&amp;C25</f>
      </c>
      <c r="F25" s="25" t="str">
        <v>用户点击切换门控顶灯状态，仅变化时记录</v>
      </c>
      <c r="G25" s="25" t="str">
        <v>operation</v>
      </c>
      <c r="H25" s="25" t="str">
        <v>打开/关闭</v>
      </c>
      <c r="I25" s="25" t="str">
        <v>用户{operation}门控顶灯</v>
      </c>
      <c r="J25" s="25" t="str">
        <v>用户 23312 打开门控顶灯</v>
      </c>
      <c r="M25" s="3" t="str">
        <v>P0</v>
      </c>
      <c r="N25" s="3" t="str">
        <v>V1</v>
      </c>
      <c r="O25" s="94">
        <v>46188</v>
      </c>
      <c r="P25" s="3" t="str">
        <v>用户后面添加对应UserId，可以通过他找到对应的用户信息</v>
      </c>
    </row>
    <row r="26" spans="1:16">
      <c r="A26" s="25" t="str">
        <v>人车交互</v>
      </c>
      <c r="B26" s="25" t="str">
        <v>DMS</v>
      </c>
      <c r="C26" s="25" t="str">
        <v>驾驶员检测辅助总开关</v>
      </c>
      <c r="D26" s="25" t="str">
        <v>dms_detect_main_switch</v>
      </c>
      <c r="E26" s="25">
        <f>B26&amp;C26</f>
      </c>
      <c r="F26" s="25" t="str">
        <v>用户点击切换驾驶员检测辅助总开关状态，仅变化时记录</v>
      </c>
      <c r="G26" s="25" t="str">
        <v>operation</v>
      </c>
      <c r="H26" s="25" t="str">
        <v>打开/关闭</v>
      </c>
      <c r="I26" s="25" t="str">
        <v>用户{operation}了驾驶员检测辅助总开关</v>
      </c>
      <c r="J26" s="25" t="str">
        <v>用户 23312 打开了驾驶员检测辅助总开关</v>
      </c>
      <c r="M26" s="3" t="str">
        <v>P0</v>
      </c>
      <c r="N26" s="3" t="str">
        <v>V1</v>
      </c>
      <c r="O26" s="94">
        <v>46188</v>
      </c>
      <c r="P26" s="3" t="str">
        <v>用户后面添加对应UserId，可以通过他找到对应的用户信息</v>
      </c>
    </row>
    <row r="27" spans="1:16">
      <c r="A27" s="25" t="str">
        <v>人车交互</v>
      </c>
      <c r="B27" s="25" t="str">
        <v>DMS</v>
      </c>
      <c r="C27" s="25" t="str">
        <v>疲劳监测开关</v>
      </c>
      <c r="D27" s="25" t="str">
        <v>dms_fatigue_detect_switch</v>
      </c>
      <c r="E27" s="25">
        <f>B27&amp;C27</f>
      </c>
      <c r="F27" s="25" t="str">
        <v>用户点击切换疲劳监测开关状态，仅变化时记录</v>
      </c>
      <c r="G27" s="25" t="str">
        <v>operation</v>
      </c>
      <c r="H27" s="25" t="str">
        <v>打开/关闭</v>
      </c>
      <c r="I27" s="25" t="str">
        <v>用户{operation}了疲劳监测开关</v>
      </c>
      <c r="J27" s="25" t="str">
        <v>用户 23312 打开了疲劳监测开关</v>
      </c>
      <c r="M27" s="3" t="str">
        <v>P0</v>
      </c>
      <c r="N27" s="3" t="str">
        <v>V1</v>
      </c>
      <c r="O27" s="94">
        <v>46188</v>
      </c>
      <c r="P27" s="3" t="str">
        <v>用户后面添加对应UserId，可以通过他找到对应的用户信息</v>
      </c>
    </row>
    <row r="28" spans="1:16">
      <c r="A28" s="25" t="str">
        <v>人车交互</v>
      </c>
      <c r="B28" s="25" t="str">
        <v>DMS</v>
      </c>
      <c r="C28" s="25" t="str">
        <v>分神检测</v>
      </c>
      <c r="D28" s="25" t="str">
        <v>dms_distract_detect_switch</v>
      </c>
      <c r="E28" s="25">
        <f>B28&amp;C28</f>
      </c>
      <c r="F28" s="25" t="str">
        <v>用户点击切换分神检测状态，仅变化时记录</v>
      </c>
      <c r="G28" s="25" t="str">
        <v>operation</v>
      </c>
      <c r="H28" s="25" t="str">
        <v>打开/关闭</v>
      </c>
      <c r="I28" s="25" t="str">
        <v>用户{operation}了分神检测</v>
      </c>
      <c r="J28" s="25" t="str">
        <v>用户 23312 打开了分神检测</v>
      </c>
      <c r="M28" s="3" t="str">
        <v>P0</v>
      </c>
      <c r="N28" s="3" t="str">
        <v>V1</v>
      </c>
      <c r="O28" s="94">
        <v>46188</v>
      </c>
      <c r="P28" s="3" t="str">
        <v>用户后面添加对应UserId，可以通过他找到对应的用户信息</v>
      </c>
    </row>
    <row r="29" spans="1:16">
      <c r="A29" s="25" t="str">
        <v>人车交互</v>
      </c>
      <c r="B29" s="25" t="str">
        <v>DMS</v>
      </c>
      <c r="C29" s="25" t="str">
        <v>危险动作检测</v>
      </c>
      <c r="D29" s="25" t="str">
        <v>dms_danger_action_detect</v>
      </c>
      <c r="E29" s="25">
        <f>B29&amp;C29</f>
      </c>
      <c r="F29" s="25" t="str">
        <v>用户点击切换危险动作检测状态，仅变化时记录</v>
      </c>
      <c r="G29" s="25" t="str">
        <v>operation</v>
      </c>
      <c r="H29" s="25" t="str">
        <v>打开/关闭</v>
      </c>
      <c r="I29" s="25" t="str">
        <v>用户{operation}了危险动作检测</v>
      </c>
      <c r="J29" s="25" t="str">
        <v>用户 23312 打开了危险动作检测</v>
      </c>
      <c r="M29" s="3" t="str">
        <v>P0</v>
      </c>
      <c r="N29" s="3" t="str">
        <v>V1</v>
      </c>
      <c r="O29" s="94">
        <v>46188</v>
      </c>
      <c r="P29" s="3" t="str">
        <v>用户后面添加对应UserId，可以通过他找到对应的用户信息</v>
      </c>
    </row>
    <row r="30" spans="1:16">
      <c r="A30" s="25" t="str">
        <v>人车交互</v>
      </c>
      <c r="B30" s="25" t="str">
        <v>DVR</v>
      </c>
      <c r="C30" s="25" t="str">
        <v>设置循环录像</v>
      </c>
      <c r="D30" s="25" t="str">
        <v>dvr_loop_record_setting</v>
      </c>
      <c r="E30" s="25">
        <f>B30&amp;C30</f>
      </c>
      <c r="F30" s="25" t="str">
        <v>用户点击切换设置循环录像状态，仅变化时记录</v>
      </c>
      <c r="G30" s="25" t="str">
        <v>operation</v>
      </c>
      <c r="H30" s="25" t="str">
        <v>打开/关闭</v>
      </c>
      <c r="I30" s="25" t="str">
        <v>用户设置{operation}了DVR循环录像</v>
      </c>
      <c r="J30" s="25" t="str">
        <v>用户 23312 设置关闭了 DVR 循环录像</v>
      </c>
      <c r="M30" s="3" t="str">
        <v>P0</v>
      </c>
      <c r="N30" s="3" t="str">
        <v>V1</v>
      </c>
      <c r="O30" s="94">
        <v>46188</v>
      </c>
      <c r="P30" s="3" t="str">
        <v>用户后面添加对应UserId，可以通过他找到对应的用户信息</v>
      </c>
    </row>
    <row r="31" spans="1:16">
      <c r="A31" s="25" t="str">
        <v>人车交互</v>
      </c>
      <c r="B31" s="25" t="str">
        <v>DVR</v>
      </c>
      <c r="C31" s="25" t="str">
        <v>录像时录音</v>
      </c>
      <c r="D31" s="25" t="str">
        <v>dvr_record_audio_switch</v>
      </c>
      <c r="E31" s="25">
        <f>B31&amp;C31</f>
      </c>
      <c r="F31" s="25" t="str">
        <v>用户点击切换录像时录音状态，仅变化时记录</v>
      </c>
      <c r="G31" s="25" t="str">
        <v>operation</v>
      </c>
      <c r="H31" s="25" t="str">
        <v>打开/关闭</v>
      </c>
      <c r="I31" s="25" t="str">
        <v>用户{operation}了DVR录像时录音</v>
      </c>
      <c r="J31" s="25" t="str">
        <v>用户 23312 打开了 DVR 录像时录音</v>
      </c>
      <c r="M31" s="3" t="str">
        <v>P0</v>
      </c>
      <c r="N31" s="3" t="str">
        <v>V1</v>
      </c>
      <c r="O31" s="94">
        <v>46188</v>
      </c>
      <c r="P31" s="3" t="str">
        <v>用户后面添加对应UserId，可以通过他找到对应的用户信息</v>
      </c>
    </row>
    <row r="32" spans="1:16">
      <c r="A32" s="25" t="str">
        <v>人车交互</v>
      </c>
      <c r="B32" s="25" t="str">
        <v>DVR</v>
      </c>
      <c r="C32" s="25" t="str">
        <v>视角选择</v>
      </c>
      <c r="D32" s="25" t="str">
        <v>dvr_view_angle_select</v>
      </c>
      <c r="E32" s="25">
        <f>B32&amp;C32</f>
      </c>
      <c r="F32" s="25" t="str">
        <v>用户点击切换视角选择状态，仅变化时记录</v>
      </c>
      <c r="G32" s="25" t="str">
        <v>view</v>
      </c>
      <c r="H32" s="25" t="str">
        <v>主视角、全视角</v>
      </c>
      <c r="I32" s="25" t="str">
        <v>用户DVR视角选择了{view}</v>
      </c>
      <c r="J32" s="25" t="str">
        <v>用户 23312DVR 视角选择了全视角</v>
      </c>
      <c r="M32" s="3" t="str">
        <v>P0</v>
      </c>
      <c r="N32" s="3" t="str">
        <v>V1</v>
      </c>
      <c r="O32" s="94">
        <v>46188</v>
      </c>
      <c r="P32" s="3" t="str">
        <v>用户后面添加对应UserId，可以通过他找到对应的用户信息</v>
      </c>
    </row>
    <row r="33" spans="1:16">
      <c r="A33" s="25" t="str">
        <v>人车交互</v>
      </c>
      <c r="B33" s="25" t="str">
        <v>DVR</v>
      </c>
      <c r="C33" s="25" t="str">
        <v>紧急录制</v>
      </c>
      <c r="D33" s="25" t="str">
        <v>dvr_emergency_record</v>
      </c>
      <c r="E33" s="25">
        <f>B33&amp;C33</f>
      </c>
      <c r="F33" s="25" t="str">
        <v>用户点击切换紧急录制状态，仅变化时记录</v>
      </c>
      <c r="G33" s="25" t="str">
        <v>operation</v>
      </c>
      <c r="H33" s="25" t="str">
        <v>打开/关闭</v>
      </c>
      <c r="I33" s="25" t="str">
        <v>用户{operation}了DVR紧急录制</v>
      </c>
      <c r="J33" s="25" t="str">
        <v>用户 23312 打开了 DVR 紧急录制</v>
      </c>
      <c r="M33" s="3" t="str">
        <v>P0</v>
      </c>
      <c r="N33" s="3" t="str">
        <v>V1</v>
      </c>
      <c r="O33" s="94">
        <v>46188</v>
      </c>
      <c r="P33" s="3" t="str">
        <v>用户后面添加对应UserId，可以通过他找到对应的用户信息</v>
      </c>
    </row>
    <row r="34" spans="1:16">
      <c r="A34" s="25" t="str">
        <v>人车交互</v>
      </c>
      <c r="B34" s="25" t="str">
        <v>DVR</v>
      </c>
      <c r="C34" s="25" t="str">
        <v>一键拍照</v>
      </c>
      <c r="D34" s="25" t="str">
        <v>dvr_onekey_capture</v>
      </c>
      <c r="E34" s="25">
        <f>B34&amp;C34</f>
      </c>
      <c r="F34" s="25" t="str">
        <v>用户点击切换一键拍照状态，仅变化时记录</v>
      </c>
      <c r="G34" s="25" t="str">
        <v>operation</v>
      </c>
      <c r="H34" s="25" t="str">
        <v>打开/关闭</v>
      </c>
      <c r="I34" s="25" t="str">
        <v>用户{operation}了DVR一键拍照</v>
      </c>
      <c r="J34" s="25" t="str">
        <v>用户 23312 打开了 DVR 一键拍照</v>
      </c>
      <c r="M34" s="3" t="str">
        <v>P0</v>
      </c>
      <c r="N34" s="3" t="str">
        <v>V1</v>
      </c>
      <c r="O34" s="94">
        <v>46188</v>
      </c>
      <c r="P34" s="3" t="str">
        <v>用户后面添加对应UserId，可以通过他找到对应的用户信息</v>
      </c>
    </row>
    <row r="35" spans="1:16">
      <c r="A35" s="25" t="str">
        <v>人车交互</v>
      </c>
      <c r="B35" s="25" t="str">
        <v>DVR</v>
      </c>
      <c r="C35" s="25" t="str">
        <v>TF卡格式化界面</v>
      </c>
      <c r="D35" s="25" t="str">
        <v>dvr_tfcard_format_page</v>
      </c>
      <c r="E35" s="25">
        <f>B35&amp;C35</f>
      </c>
      <c r="F35" s="25" t="str">
        <v>用户点击进入TF卡格式界面状态，仅变化时记录</v>
      </c>
      <c r="G35" s="25" t="str">
        <v>operation</v>
      </c>
      <c r="H35" s="25" t="str">
        <v>进入/退出</v>
      </c>
      <c r="I35" s="25" t="str">
        <v>用户{operation}了TF卡格式化界面</v>
      </c>
      <c r="J35" s="25" t="str">
        <v>用户 23312 进入了 TF 卡格式化界面</v>
      </c>
      <c r="M35" s="3" t="str">
        <v>P0</v>
      </c>
      <c r="N35" s="3" t="str">
        <v>V1</v>
      </c>
      <c r="O35" s="94">
        <v>46188</v>
      </c>
      <c r="P35" s="3" t="str">
        <v>用户后面添加对应UserId，可以通过他找到对应的用户信息</v>
      </c>
    </row>
    <row r="36" spans="1:16">
      <c r="A36" s="25" t="str">
        <v>人车交互</v>
      </c>
      <c r="B36" s="25" t="str">
        <v>拍照/录像</v>
      </c>
      <c r="C36" s="25" t="str">
        <v>拍照</v>
      </c>
      <c r="D36" s="25" t="str">
        <v>camrec_capture_photo</v>
      </c>
      <c r="E36" s="25">
        <f>B36&amp;C36</f>
      </c>
      <c r="F36" s="25" t="str">
        <v>用户点击切换拍照状态，仅变化时记录</v>
      </c>
      <c r="G36" s="25" t="str">
        <v>operation</v>
      </c>
      <c r="H36" s="25" t="str">
        <v>打开/关闭</v>
      </c>
      <c r="I36" s="25" t="str">
        <v>用户{operation}拍照，拍摄方向{direction}</v>
      </c>
      <c r="J36" s="25" t="str">
        <v>用户 23312 打开拍照，拍摄方向车内</v>
      </c>
      <c r="M36" s="3" t="str">
        <v>P0</v>
      </c>
      <c r="N36" s="3" t="str">
        <v>V1</v>
      </c>
      <c r="O36" s="94">
        <v>46188</v>
      </c>
      <c r="P36" s="3" t="str">
        <v>用户后面添加对应UserId，可以通过他找到对应的用户信息</v>
      </c>
    </row>
    <row r="37" spans="7:16">
      <c r="G37" s="25" t="str">
        <v>direction</v>
      </c>
      <c r="H37" s="25" t="str">
        <v>拍摄方向/车内、车外</v>
      </c>
      <c r="I37" s="25"/>
      <c r="J37" s="25"/>
      <c r="M37" s="3" t="str">
        <v>P0</v>
      </c>
      <c r="N37" s="3" t="str">
        <v>V1</v>
      </c>
      <c r="O37" s="94">
        <v>46188</v>
      </c>
      <c r="P37" s="3" t="str">
        <v>用户后面添加对应UserId，可以通过他找到对应的用户信息</v>
      </c>
    </row>
    <row r="38" spans="1:16">
      <c r="A38" s="25" t="str">
        <v>人车交互</v>
      </c>
      <c r="B38" s="25" t="str">
        <v>拍照/录像</v>
      </c>
      <c r="C38" s="25" t="str">
        <v>录像</v>
      </c>
      <c r="D38" s="25" t="str">
        <v>camrec_start_record</v>
      </c>
      <c r="E38" s="25">
        <f>B38&amp;C38</f>
      </c>
      <c r="F38" s="25" t="str">
        <v>用户点击切换录像状态，仅变化时记录</v>
      </c>
      <c r="G38" s="25" t="str">
        <v>operation</v>
      </c>
      <c r="H38" s="25" t="str">
        <v>打开/关闭</v>
      </c>
      <c r="I38" s="25" t="str">
        <v>用户{operation}录像，录制方向{direction}</v>
      </c>
      <c r="J38" s="25" t="str">
        <v>用户 23312 录像，录制方向车内</v>
      </c>
      <c r="M38" s="3" t="str">
        <v>P0</v>
      </c>
      <c r="N38" s="3" t="str">
        <v>V1</v>
      </c>
      <c r="O38" s="94">
        <v>46188</v>
      </c>
      <c r="P38" s="3" t="str">
        <v>用户后面添加对应UserId，可以通过他找到对应的用户信息</v>
      </c>
    </row>
    <row r="39" spans="7:16">
      <c r="G39" s="25" t="str">
        <v>direction</v>
      </c>
      <c r="H39" s="25" t="str">
        <v>录制方向/车内、车外</v>
      </c>
      <c r="I39" s="25"/>
      <c r="J39" s="25"/>
      <c r="M39" s="3" t="str">
        <v>P0</v>
      </c>
      <c r="N39" s="3" t="str">
        <v>V1</v>
      </c>
      <c r="O39" s="94">
        <v>46188</v>
      </c>
      <c r="P39" s="3" t="str">
        <v>用户后面添加对应UserId，可以通过他找到对应的用户信息</v>
      </c>
    </row>
    <row r="40" spans="1:16">
      <c r="A40" s="25" t="str">
        <v>人车交互</v>
      </c>
      <c r="B40" s="25" t="str">
        <v>拍照/录像</v>
      </c>
      <c r="C40" s="25" t="str">
        <v>录像中拍照</v>
      </c>
      <c r="D40" s="25" t="str">
        <v>camrec_photo_during_record</v>
      </c>
      <c r="E40" s="25">
        <f>B40&amp;C40</f>
      </c>
      <c r="F40" s="25" t="str">
        <v>用户点击切换录像中拍照状态，仅变化时记录</v>
      </c>
      <c r="G40" s="25" t="str">
        <v>operation</v>
      </c>
      <c r="H40" s="25" t="str">
        <v>打开/关闭</v>
      </c>
      <c r="I40" s="25" t="str">
        <v>用户{operation}了录像中拍照</v>
      </c>
      <c r="J40" s="25" t="str">
        <v>用户 23312 打开了录像中拍照</v>
      </c>
      <c r="M40" s="3" t="str">
        <v>P0</v>
      </c>
      <c r="N40" s="3" t="str">
        <v>V1</v>
      </c>
      <c r="O40" s="94">
        <v>46188</v>
      </c>
      <c r="P40" s="3" t="str">
        <v>用户后面添加对应UserId，可以通过他找到对应的用户信息</v>
      </c>
    </row>
    <row r="41" spans="1:16">
      <c r="A41" s="25" t="str">
        <v>人车交互</v>
      </c>
      <c r="B41" s="25" t="str">
        <v>拍照/录像</v>
      </c>
      <c r="C41" s="25" t="str">
        <v>录像中录音</v>
      </c>
      <c r="D41" s="25" t="str">
        <v>camrec_audio_during_record</v>
      </c>
      <c r="E41" s="25">
        <f>B41&amp;C41</f>
      </c>
      <c r="F41" s="25" t="str">
        <v>用户点击切换录像中录音状态，仅变化时记录</v>
      </c>
      <c r="G41" s="25" t="str">
        <v>operation</v>
      </c>
      <c r="H41" s="25" t="str">
        <v>打开/关闭</v>
      </c>
      <c r="I41" s="25" t="str">
        <v>用户{operation}了录像中录音</v>
      </c>
      <c r="J41" s="25" t="str">
        <v>用户 23312 打开了录像中录音</v>
      </c>
      <c r="M41" s="3" t="str">
        <v>P0</v>
      </c>
      <c r="N41" s="3" t="str">
        <v>V1</v>
      </c>
      <c r="O41" s="94">
        <v>46188</v>
      </c>
      <c r="P41" s="3" t="str">
        <v>用户后面添加对应UserId，可以通过他找到对应的用户信息</v>
      </c>
    </row>
    <row r="42" spans="1:16">
      <c r="A42" s="25" t="str">
        <v>人车交互</v>
      </c>
      <c r="B42" s="25" t="str">
        <v>拍照/录像</v>
      </c>
      <c r="C42" s="25" t="str">
        <v>定时拍摄</v>
      </c>
      <c r="D42" s="25" t="str">
        <v>camrec_timed_capture</v>
      </c>
      <c r="E42" s="25">
        <f>B42&amp;C42</f>
      </c>
      <c r="F42" s="25" t="str">
        <v>用户点击切换定时拍摄状态，仅变化时记录</v>
      </c>
      <c r="G42" s="25" t="str">
        <v>time</v>
      </c>
      <c r="H42" s="25" t="str">
        <v>选择定时时间</v>
      </c>
      <c r="I42" s="25" t="str">
        <v>用户定时拍照选择{time}</v>
      </c>
      <c r="J42" s="25" t="str">
        <v>用户 23312 定时拍照选择2s</v>
      </c>
      <c r="M42" s="3" t="str">
        <v>P0</v>
      </c>
      <c r="N42" s="3" t="str">
        <v>V1</v>
      </c>
      <c r="O42" s="94">
        <v>46188</v>
      </c>
      <c r="P42" s="3" t="str">
        <v>用户后面添加对应UserId，可以通过他找到对应的用户信息</v>
      </c>
    </row>
    <row r="43" spans="1:16">
      <c r="A43" s="25" t="str">
        <v>人车交互</v>
      </c>
      <c r="B43" s="25" t="str">
        <v>拍照/录像</v>
      </c>
      <c r="C43" s="25" t="str">
        <v>地理位置</v>
      </c>
      <c r="D43" s="25" t="str">
        <v>camrec_location_setting</v>
      </c>
      <c r="E43" s="25">
        <f>B43&amp;C43</f>
      </c>
      <c r="F43" s="25" t="str">
        <v>用户点击切换地理位置状态，仅变化时记录</v>
      </c>
      <c r="G43" s="25" t="str">
        <v>operation</v>
      </c>
      <c r="H43" s="25" t="str">
        <v>打开/关闭</v>
      </c>
      <c r="I43" s="25" t="str">
        <v>用户{operation}照片加上地理位置</v>
      </c>
      <c r="J43" s="25" t="str">
        <v>用户 23312 打开照片加上地理位置</v>
      </c>
      <c r="M43" s="3" t="str">
        <v>P0</v>
      </c>
      <c r="N43" s="3" t="str">
        <v>V1</v>
      </c>
      <c r="O43" s="94">
        <v>46188</v>
      </c>
      <c r="P43" s="3" t="str">
        <v>用户后面添加对应UserId，可以通过他找到对应的用户信息</v>
      </c>
    </row>
    <row r="44" spans="1:16">
      <c r="A44" s="25" t="str">
        <v>人车交互</v>
      </c>
      <c r="B44" s="25" t="str">
        <v>拍照/录像</v>
      </c>
      <c r="C44" s="25" t="str">
        <v>水印</v>
      </c>
      <c r="D44" s="25" t="str">
        <v>camrec_watermark_setting</v>
      </c>
      <c r="E44" s="25">
        <f>B44&amp;C44</f>
      </c>
      <c r="F44" s="25" t="str">
        <v>用户点击切换水印状态，仅变化时记录</v>
      </c>
      <c r="G44" s="25" t="str">
        <v>operation</v>
      </c>
      <c r="H44" s="25" t="str">
        <v>打开/关闭</v>
      </c>
      <c r="I44" s="25" t="str">
        <v>用户{operation}照片中加下水印</v>
      </c>
      <c r="J44" s="25" t="str">
        <v>用户 23312 打开照片中加下水印</v>
      </c>
      <c r="M44" s="3" t="str">
        <v>P0</v>
      </c>
      <c r="N44" s="3" t="str">
        <v>V1</v>
      </c>
      <c r="O44" s="94">
        <v>46188</v>
      </c>
      <c r="P44" s="3" t="str">
        <v>用户后面添加对应UserId，可以通过他找到对应的用户信息</v>
      </c>
    </row>
    <row r="45" spans="1:16">
      <c r="A45" s="25" t="str">
        <v>人车交互</v>
      </c>
      <c r="B45" s="25" t="str">
        <v>拍照/录像</v>
      </c>
      <c r="C45" s="25" t="str">
        <v>拍照预览</v>
      </c>
      <c r="D45" s="25" t="str">
        <v>camrec_photo_preview</v>
      </c>
      <c r="E45" s="25">
        <f>B45&amp;C45</f>
      </c>
      <c r="F45" s="25" t="str">
        <v>用户点击切换拍照预览状态，仅变化时记录</v>
      </c>
      <c r="G45" s="25" t="str">
        <v>time</v>
      </c>
      <c r="H45" s="25" t="str">
        <v>选择定时时间</v>
      </c>
      <c r="I45" s="25" t="str">
        <v>用户拍照预览设置为{time}</v>
      </c>
      <c r="J45" s="25" t="str">
        <v>用户 23312 拍照预览设置为2s</v>
      </c>
      <c r="M45" s="3" t="str">
        <v>P0</v>
      </c>
      <c r="N45" s="3" t="str">
        <v>V1</v>
      </c>
      <c r="O45" s="94">
        <v>46188</v>
      </c>
      <c r="P45" s="3" t="str">
        <v>用户后面添加对应UserId，可以通过他找到对应的用户信息</v>
      </c>
    </row>
    <row r="46" spans="1:16">
      <c r="A46" s="25" t="str">
        <v>人车交互</v>
      </c>
      <c r="B46" s="25" t="str">
        <v>拍照/录像</v>
      </c>
      <c r="C46" s="25" t="str">
        <v>自拍镜像</v>
      </c>
      <c r="D46" s="25" t="str">
        <v>camrec_selfie_mirror</v>
      </c>
      <c r="E46" s="25">
        <f>B46&amp;C46</f>
      </c>
      <c r="F46" s="25" t="str">
        <v>用户点击切换自拍镜像状态，仅变化时记录</v>
      </c>
      <c r="G46" s="25" t="str">
        <v>operation</v>
      </c>
      <c r="H46" s="25" t="str">
        <v>打开/关闭</v>
      </c>
      <c r="I46" s="25" t="str">
        <v>用户{operation}了自拍镜像</v>
      </c>
      <c r="J46" s="25" t="str">
        <v>用户 23312 打开了自拍镜像</v>
      </c>
      <c r="M46" s="3" t="str">
        <v>P0</v>
      </c>
      <c r="N46" s="3" t="str">
        <v>V1</v>
      </c>
      <c r="O46" s="94">
        <v>46188</v>
      </c>
      <c r="P46" s="3" t="str">
        <v>用户后面添加对应UserId，可以通过他找到对应的用户信息</v>
      </c>
    </row>
    <row r="47" spans="1:16">
      <c r="A47" s="25" t="str">
        <v>人车交互</v>
      </c>
      <c r="B47" s="25" t="str">
        <v>驾驶设置</v>
      </c>
      <c r="C47" s="25" t="str">
        <v>驾驶模式切换</v>
      </c>
      <c r="D47" s="25" t="str">
        <v>drive_setting_mode_switch</v>
      </c>
      <c r="E47" s="25">
        <f>B47&amp;C47</f>
      </c>
      <c r="F47" s="25" t="str">
        <v>用户点击切换驾驶模式切换状态，仅变化时记录</v>
      </c>
      <c r="G47" s="25" t="str">
        <v>operation</v>
      </c>
      <c r="H47" s="25" t="str">
        <v>节能/舒适/运动/个性化</v>
      </c>
      <c r="I47" s="25" t="str">
        <v>用户{operation}了驾驶模式切换</v>
      </c>
      <c r="J47" s="25" t="str">
        <v>用户 23312 驾驶模式切换为舒适</v>
      </c>
      <c r="M47" s="3" t="str">
        <v>P0</v>
      </c>
      <c r="N47" s="3" t="str">
        <v>V1</v>
      </c>
      <c r="O47" s="94">
        <v>46188</v>
      </c>
      <c r="P47" s="3" t="str">
        <v>用户后面添加对应UserId，可以通过他找到对应的用户信息</v>
      </c>
    </row>
    <row r="48" spans="1:16">
      <c r="A48" s="25" t="str">
        <v>人车交互</v>
      </c>
      <c r="B48" s="25" t="str">
        <v>驾驶设置</v>
      </c>
      <c r="C48" s="25" t="str">
        <v>个性化驾驶模式设置</v>
      </c>
      <c r="D48" s="25" t="str">
        <v>drive_setting_custom_mode_cfg</v>
      </c>
      <c r="E48" s="25">
        <f>B48&amp;C48</f>
      </c>
      <c r="F48" s="25" t="str">
        <v>用户点击切换个性化驾驶模式设置状态，仅变化时记录</v>
      </c>
      <c r="G48" s="25" t="str">
        <v>operation</v>
      </c>
      <c r="H48" s="25" t="str">
        <v>打开、关闭</v>
      </c>
      <c r="I48" s="25" t="str">
        <v>用户{operation}了个性化驾驶模式设置</v>
      </c>
      <c r="J48" s="25" t="str">
        <v>用户 23312 打开个性化驾驶模式设置</v>
      </c>
      <c r="M48" s="3" t="str">
        <v>P0</v>
      </c>
      <c r="N48" s="3" t="str">
        <v>V1</v>
      </c>
      <c r="O48" s="94">
        <v>46188</v>
      </c>
      <c r="P48" s="3" t="str">
        <v>用户后面添加对应UserId，可以通过他找到对应的用户信息</v>
      </c>
    </row>
    <row r="49" spans="1:16">
      <c r="A49" s="25" t="str">
        <v>人车交互</v>
      </c>
      <c r="B49" s="25" t="str">
        <v>驾驶设置</v>
      </c>
      <c r="C49" s="25" t="str">
        <v>加速模式</v>
      </c>
      <c r="D49" s="25" t="str">
        <v>drive_setting_accel_mode</v>
      </c>
      <c r="E49" s="25">
        <f>B49&amp;C49</f>
      </c>
      <c r="F49" s="25" t="str">
        <v>用户点击切换加速模式状态，仅变化时记录</v>
      </c>
      <c r="G49" s="25" t="str">
        <v>operation</v>
      </c>
      <c r="H49" s="25" t="str">
        <v>柔和/标准/运动/弹射</v>
      </c>
      <c r="I49" s="25" t="str">
        <v>用户{operation}了加速模式</v>
      </c>
      <c r="J49" s="25" t="str">
        <v>用户 23312 加速模式切换为柔和</v>
      </c>
      <c r="M49" s="3" t="str">
        <v>P0</v>
      </c>
      <c r="N49" s="3" t="str">
        <v>V1</v>
      </c>
      <c r="O49" s="94">
        <v>46188</v>
      </c>
      <c r="P49" s="3" t="str">
        <v>用户后面添加对应UserId，可以通过他找到对应的用户信息</v>
      </c>
    </row>
    <row r="50" spans="1:16">
      <c r="A50" s="25" t="str">
        <v>人车交互</v>
      </c>
      <c r="B50" s="25" t="str">
        <v>驾驶设置</v>
      </c>
      <c r="C50" s="25" t="str">
        <v>能量回收</v>
      </c>
      <c r="D50" s="25" t="str">
        <v>drive_setting_energy_recycle</v>
      </c>
      <c r="E50" s="25">
        <f>B50&amp;C50</f>
      </c>
      <c r="F50" s="25" t="str">
        <v>用户点击切换能量回收状态，仅变化时记录</v>
      </c>
      <c r="G50" s="25" t="str">
        <v>operation</v>
      </c>
      <c r="H50" s="25" t="str">
        <v>标准/强/关闭</v>
      </c>
      <c r="I50" s="25" t="str">
        <v>用户{operation}了能量回收</v>
      </c>
      <c r="J50" s="25" t="str">
        <v>用户 23312 设置能量回收关闭</v>
      </c>
      <c r="M50" s="3" t="str">
        <v>P0</v>
      </c>
      <c r="N50" s="3" t="str">
        <v>V1</v>
      </c>
      <c r="O50" s="94">
        <v>46188</v>
      </c>
      <c r="P50" s="3" t="str">
        <v>用户后面添加对应UserId，可以通过他找到对应的用户信息</v>
      </c>
    </row>
    <row r="51" spans="1:16">
      <c r="A51" s="25" t="str">
        <v>人车交互</v>
      </c>
      <c r="B51" s="25" t="str">
        <v>驾驶设置</v>
      </c>
      <c r="C51" s="25" t="str">
        <v>车身高度</v>
      </c>
      <c r="D51" s="25" t="str">
        <v>drive_setting_body_height</v>
      </c>
      <c r="E51" s="25">
        <f>B51&amp;C51</f>
      </c>
      <c r="F51" s="25" t="str">
        <v>用户点击切换车身高度状态，仅变化时记录</v>
      </c>
      <c r="G51" s="25" t="str">
        <v>operation</v>
      </c>
      <c r="H51" s="25" t="str">
        <v>很低、低、标准、高、很高</v>
      </c>
      <c r="I51" s="25" t="str">
        <v>用户{operation}了车身高度</v>
      </c>
      <c r="J51" s="25" t="str">
        <v>用户 23312 驾驶的车身高度设置为低</v>
      </c>
      <c r="M51" s="3" t="str">
        <v>P0</v>
      </c>
      <c r="N51" s="3" t="str">
        <v>V1</v>
      </c>
      <c r="O51" s="94">
        <v>46188</v>
      </c>
      <c r="P51" s="3" t="str">
        <v>用户后面添加对应UserId，可以通过他找到对应的用户信息</v>
      </c>
    </row>
    <row r="52" spans="1:16">
      <c r="A52" s="25" t="str">
        <v>人车交互</v>
      </c>
      <c r="B52" s="25" t="str">
        <v>驾驶设置</v>
      </c>
      <c r="C52" s="25" t="str">
        <v>滑行能量</v>
      </c>
      <c r="D52" s="25" t="str">
        <v>drive_setting_coast_energy</v>
      </c>
      <c r="E52" s="25">
        <f>B52&amp;C52</f>
      </c>
      <c r="F52" s="25" t="str">
        <v>用户点击切换滑行能量状态，仅变化时记录</v>
      </c>
      <c r="G52" s="25" t="str">
        <v>operation</v>
      </c>
      <c r="H52" s="25" t="str">
        <v>标准、强</v>
      </c>
      <c r="I52" s="25" t="str">
        <v>用户{operation}了滑行能量</v>
      </c>
      <c r="J52" s="25" t="str">
        <v>用户 23312 驾驶的划线能量设置为标准</v>
      </c>
      <c r="M52" s="3" t="str">
        <v>P0</v>
      </c>
      <c r="N52" s="3" t="str">
        <v>V1</v>
      </c>
      <c r="O52" s="94">
        <v>46188</v>
      </c>
      <c r="P52" s="3" t="str">
        <v>用户后面添加对应UserId，可以通过他找到对应的用户信息</v>
      </c>
    </row>
    <row r="53" spans="1:16">
      <c r="A53" s="25" t="str">
        <v>人车交互</v>
      </c>
      <c r="B53" s="25" t="str">
        <v>驾驶设置</v>
      </c>
      <c r="C53" s="25" t="str">
        <v>减震器模式</v>
      </c>
      <c r="D53" s="25" t="str">
        <v>drive_setting_shock_mode</v>
      </c>
      <c r="E53" s="25">
        <f>B53&amp;C53</f>
      </c>
      <c r="F53" s="25" t="str">
        <v>用户点击切换减震器模式状态，仅变化时记录</v>
      </c>
      <c r="G53" s="25" t="str">
        <v>operation</v>
      </c>
      <c r="H53" s="25" t="str">
        <v>较软、标准、较硬</v>
      </c>
      <c r="I53" s="25" t="str">
        <v>用户{operation}了减震器模式</v>
      </c>
      <c r="J53" s="25" t="str">
        <v>用户 23312 驾驶滑行能量设置为标准</v>
      </c>
      <c r="M53" s="3" t="str">
        <v>P0</v>
      </c>
      <c r="N53" s="3" t="str">
        <v>V1</v>
      </c>
      <c r="O53" s="94">
        <v>46188</v>
      </c>
      <c r="P53" s="3" t="str">
        <v>用户后面添加对应UserId，可以通过他找到对应的用户信息</v>
      </c>
    </row>
    <row r="54" spans="1:16">
      <c r="A54" s="25" t="str">
        <v>人车交互</v>
      </c>
      <c r="B54" s="25" t="str">
        <v>驾驶设置</v>
      </c>
      <c r="C54" s="25" t="str">
        <v>转向模式</v>
      </c>
      <c r="D54" s="25" t="str">
        <v>drive_setting_steer_mode</v>
      </c>
      <c r="E54" s="25">
        <f>B54&amp;C54</f>
      </c>
      <c r="F54" s="25" t="str">
        <v>用户点击切换转向模式状态，仅变化时记录</v>
      </c>
      <c r="G54" s="25" t="str">
        <v>operation</v>
      </c>
      <c r="H54" s="25" t="str">
        <v>舒适/标准/运动</v>
      </c>
      <c r="I54" s="25" t="str">
        <v>用户{operation}了转向模式</v>
      </c>
      <c r="J54" s="25" t="str">
        <v>用户 23312 转向模式切换为标准</v>
      </c>
      <c r="M54" s="3" t="str">
        <v>P0</v>
      </c>
      <c r="N54" s="3" t="str">
        <v>V1</v>
      </c>
      <c r="O54" s="94">
        <v>46188</v>
      </c>
      <c r="P54" s="3" t="str">
        <v>用户后面添加对应UserId，可以通过他找到对应的用户信息</v>
      </c>
    </row>
    <row r="55" spans="1:16">
      <c r="A55" s="25" t="str">
        <v>人车交互</v>
      </c>
      <c r="B55" s="25" t="str">
        <v>驾驶设置</v>
      </c>
      <c r="C55" s="25" t="str">
        <v>减震器模式调节</v>
      </c>
      <c r="D55" s="25" t="str">
        <v>drive_setting_shock_mode_adjust</v>
      </c>
      <c r="E55" s="25">
        <f>B55&amp;C55</f>
      </c>
      <c r="F55" s="25" t="str">
        <v>用户点击切换减震器模式调节状态，仅变化时记录</v>
      </c>
      <c r="G55" s="25" t="str">
        <v>operation</v>
      </c>
      <c r="H55" s="25" t="str">
        <v>打开/关闭</v>
      </c>
      <c r="I55" s="25" t="str">
        <v>用户将减震器模式调节{operation}</v>
      </c>
      <c r="J55" s="25" t="str">
        <v>用户 23312 打开减震器模式调节</v>
      </c>
      <c r="M55" s="3" t="str">
        <v>P0</v>
      </c>
      <c r="N55" s="3" t="str">
        <v>V1</v>
      </c>
      <c r="O55" s="94">
        <v>46188</v>
      </c>
      <c r="P55" s="3" t="str">
        <v>用户后面添加对应UserId，可以通过他找到对应的用户信息</v>
      </c>
    </row>
    <row r="56" spans="1:16">
      <c r="A56" s="25" t="str">
        <v>人车交互</v>
      </c>
      <c r="B56" s="25" t="str">
        <v>驾驶设置</v>
      </c>
      <c r="C56" s="25" t="str">
        <v>ESC车身稳定控制</v>
      </c>
      <c r="D56" s="25" t="str">
        <v>drive_setting_esc_main_ctrl</v>
      </c>
      <c r="E56" s="25">
        <f>B56&amp;C56</f>
      </c>
      <c r="F56" s="25" t="str">
        <v>用户点击切换ESC车身稳定控制状态，仅变化时记录</v>
      </c>
      <c r="G56" s="25" t="str">
        <v>operation</v>
      </c>
      <c r="H56" s="25" t="str">
        <v>打开/关闭</v>
      </c>
      <c r="I56" s="25" t="str">
        <v>用户{operation}了ESC车身稳定控制</v>
      </c>
      <c r="J56" s="25" t="str">
        <v>用户 23312 打开 ESC 车身稳定控制</v>
      </c>
      <c r="M56" s="3" t="str">
        <v>P0</v>
      </c>
      <c r="N56" s="3" t="str">
        <v>V1</v>
      </c>
      <c r="O56" s="94">
        <v>46188</v>
      </c>
      <c r="P56" s="3" t="str">
        <v>用户后面添加对应UserId，可以通过他找到对应的用户信息</v>
      </c>
    </row>
    <row r="57" spans="1:16">
      <c r="A57" s="25" t="str">
        <v>人车交互</v>
      </c>
      <c r="B57" s="25" t="str">
        <v>驾驶设置</v>
      </c>
      <c r="C57" s="25" t="str">
        <v>ESC模式</v>
      </c>
      <c r="D57" s="25" t="str">
        <v>drive_setting_esc_mode</v>
      </c>
      <c r="E57" s="25">
        <f>B57&amp;C57</f>
      </c>
      <c r="F57" s="25" t="str">
        <v>用户点击切换ESC模式状态，仅变化时记录</v>
      </c>
      <c r="G57" s="25" t="str">
        <v>operation</v>
      </c>
      <c r="H57" s="25" t="str">
        <v>舒适/运动</v>
      </c>
      <c r="I57" s="25" t="str">
        <v>用户{operation}了ESC模式</v>
      </c>
      <c r="J57" s="25" t="str">
        <v>用户 23312 开启 ESC 模式</v>
      </c>
      <c r="M57" s="3" t="str">
        <v>P0</v>
      </c>
      <c r="N57" s="3" t="str">
        <v>V1</v>
      </c>
      <c r="O57" s="94">
        <v>46188</v>
      </c>
      <c r="P57" s="3" t="str">
        <v>用户后面添加对应UserId，可以通过他找到对应的用户信息</v>
      </c>
    </row>
    <row r="58" spans="1:16">
      <c r="A58" s="25" t="str">
        <v>人车交互</v>
      </c>
      <c r="B58" s="25" t="str">
        <v>驾驶设置</v>
      </c>
      <c r="C58" s="25" t="str">
        <v>超级省电模式</v>
      </c>
      <c r="D58" s="25" t="str">
        <v>drive_setting_super_saving</v>
      </c>
      <c r="E58" s="25">
        <f>B58&amp;C58</f>
      </c>
      <c r="F58" s="25" t="str">
        <v>用户点击切换超级省电模式状态，仅变化时记录</v>
      </c>
      <c r="G58" s="25" t="str">
        <v>operation</v>
      </c>
      <c r="H58" s="25" t="str">
        <v>打开/关闭</v>
      </c>
      <c r="I58" s="25" t="str">
        <v>用户{operation}了超级省电模式</v>
      </c>
      <c r="J58" s="25" t="str">
        <v>用户 23312 打开超级省电模式</v>
      </c>
      <c r="M58" s="3" t="str">
        <v>P0</v>
      </c>
      <c r="N58" s="3" t="str">
        <v>V1</v>
      </c>
      <c r="O58" s="94">
        <v>46188</v>
      </c>
      <c r="P58" s="3" t="str">
        <v>用户后面添加对应UserId，可以通过他找到对应的用户信息</v>
      </c>
    </row>
    <row r="59" spans="1:16">
      <c r="A59" s="25" t="str">
        <v>人车交互</v>
      </c>
      <c r="B59" s="25" t="str">
        <v>驾驶设置</v>
      </c>
      <c r="C59" s="25" t="str">
        <v>晕车舒缓模式</v>
      </c>
      <c r="D59" s="25" t="str">
        <v>drive_setting_car_sickness_relief</v>
      </c>
      <c r="E59" s="25">
        <f>B59&amp;C59</f>
      </c>
      <c r="F59" s="25" t="str">
        <v>用户点击切换晕车舒缓模式状态，仅变化时记录</v>
      </c>
      <c r="G59" s="25" t="str">
        <v>operation</v>
      </c>
      <c r="H59" s="25" t="str">
        <v>打开/关闭</v>
      </c>
      <c r="I59" s="25" t="str">
        <v>用户{operation}了晕车舒缓模式</v>
      </c>
      <c r="J59" s="25" t="str">
        <v>用户 23312 打开晕车舒缓模式</v>
      </c>
      <c r="M59" s="3" t="str">
        <v>P0</v>
      </c>
      <c r="N59" s="3" t="str">
        <v>V1</v>
      </c>
      <c r="O59" s="94">
        <v>46188</v>
      </c>
      <c r="P59" s="3" t="str">
        <v>用户后面添加对应UserId，可以通过他找到对应的用户信息</v>
      </c>
    </row>
    <row r="60" spans="1:16">
      <c r="A60" s="25" t="str">
        <v>人车交互</v>
      </c>
      <c r="B60" s="25" t="str">
        <v>驾驶设置</v>
      </c>
      <c r="C60" s="25" t="str">
        <v>雪地模式</v>
      </c>
      <c r="D60" s="25" t="str">
        <v>drive_setting_snow_mode</v>
      </c>
      <c r="E60" s="25">
        <f>B60&amp;C60</f>
      </c>
      <c r="F60" s="25" t="str">
        <v>用户点击切换雪地模式状态，仅变化时记录</v>
      </c>
      <c r="G60" s="25" t="str">
        <v>operation</v>
      </c>
      <c r="H60" s="25" t="str">
        <v>打开/关闭</v>
      </c>
      <c r="I60" s="25" t="str">
        <v>用户{operation}了雪地模式</v>
      </c>
      <c r="J60" s="25" t="str">
        <v>用户 23312 打开雪地模式</v>
      </c>
      <c r="M60" s="3" t="str">
        <v>P0</v>
      </c>
      <c r="N60" s="3" t="str">
        <v>V1</v>
      </c>
      <c r="O60" s="94">
        <v>46188</v>
      </c>
      <c r="P60" s="3" t="str">
        <v>用户后面添加对应UserId，可以通过他找到对应的用户信息</v>
      </c>
    </row>
    <row r="61" spans="1:16">
      <c r="A61" s="25" t="str">
        <v>人车交互</v>
      </c>
      <c r="B61" s="25" t="str">
        <v>驾驶设置</v>
      </c>
      <c r="C61" s="25" t="str">
        <v>湿滑模式</v>
      </c>
      <c r="D61" s="25" t="str">
        <v>drive_setting_slippery_mode</v>
      </c>
      <c r="E61" s="25">
        <f>B61&amp;C61</f>
      </c>
      <c r="F61" s="25" t="str">
        <v>用户点击切换湿滑模式状态，仅变化时记录</v>
      </c>
      <c r="G61" s="25" t="str">
        <v>operation</v>
      </c>
      <c r="H61" s="25" t="str">
        <v>打开/关闭</v>
      </c>
      <c r="I61" s="25" t="str">
        <v>用户{operation}了湿滑模式</v>
      </c>
      <c r="J61" s="25" t="str">
        <v>用户 23312 打开湿滑模式</v>
      </c>
      <c r="M61" s="3" t="str">
        <v>P0</v>
      </c>
      <c r="N61" s="3" t="str">
        <v>V1</v>
      </c>
      <c r="O61" s="94">
        <v>46188</v>
      </c>
      <c r="P61" s="3" t="str">
        <v>用户后面添加对应UserId，可以通过他找到对应的用户信息</v>
      </c>
    </row>
    <row r="62" spans="1:16">
      <c r="A62" s="25" t="str">
        <v>人车交互</v>
      </c>
      <c r="B62" s="25" t="str">
        <v>驾驶设置</v>
      </c>
      <c r="C62" s="25" t="str">
        <v>脱困模式</v>
      </c>
      <c r="D62" s="25" t="str">
        <v>drive_setting_escape_mode</v>
      </c>
      <c r="E62" s="25">
        <f>B62&amp;C62</f>
      </c>
      <c r="F62" s="25" t="str">
        <v>用户点击切换脱困模式状态，仅变化时记录</v>
      </c>
      <c r="G62" s="25" t="str">
        <v>operation</v>
      </c>
      <c r="H62" s="25" t="str">
        <v>打开/关闭</v>
      </c>
      <c r="I62" s="25" t="str">
        <v>用户{operation}了脱困模式</v>
      </c>
      <c r="J62" s="25" t="str">
        <v>用户 23312 打开脱困模式</v>
      </c>
      <c r="M62" s="3" t="str">
        <v>P0</v>
      </c>
      <c r="N62" s="3" t="str">
        <v>V1</v>
      </c>
      <c r="O62" s="94">
        <v>46188</v>
      </c>
      <c r="P62" s="3" t="str">
        <v>用户后面添加对应UserId，可以通过他找到对应的用户信息</v>
      </c>
    </row>
    <row r="63" spans="1:16">
      <c r="A63" s="25" t="str">
        <v>人车交互</v>
      </c>
      <c r="B63" s="25" t="str">
        <v>驾驶设置</v>
      </c>
      <c r="C63" s="25" t="str">
        <v>自动驻车(AVH)</v>
      </c>
      <c r="D63" s="25" t="str">
        <v>drive_setting_avh_autohold</v>
      </c>
      <c r="E63" s="25">
        <f>B63&amp;C63</f>
      </c>
      <c r="F63" s="25" t="str">
        <v>用户点击切换自动驻车(AVH)状态，仅变化时记录</v>
      </c>
      <c r="G63" s="25" t="str">
        <v>operation</v>
      </c>
      <c r="H63" s="25" t="str">
        <v>打开/关闭</v>
      </c>
      <c r="I63" s="25" t="str">
        <v>用户{operation}了自动驻车(AVH)</v>
      </c>
      <c r="J63" s="25" t="str">
        <v>用户 23312 打开自动驻车</v>
      </c>
      <c r="M63" s="3" t="str">
        <v>P0</v>
      </c>
      <c r="N63" s="3" t="str">
        <v>V1</v>
      </c>
      <c r="O63" s="94">
        <v>46188</v>
      </c>
      <c r="P63" s="3" t="str">
        <v>用户后面添加对应UserId，可以通过他找到对应的用户信息</v>
      </c>
    </row>
    <row r="64" spans="1:16">
      <c r="A64" s="25" t="str">
        <v>人车交互</v>
      </c>
      <c r="B64" s="25" t="str">
        <v>驾驶设置</v>
      </c>
      <c r="C64" s="25" t="str">
        <v>陡坡缓降(HDC)</v>
      </c>
      <c r="D64" s="25" t="str">
        <v>drive_setting_hdc_hill_descent</v>
      </c>
      <c r="E64" s="25">
        <f>B64&amp;C64</f>
      </c>
      <c r="F64" s="25" t="str">
        <v>用户点击切换陡坡缓降(HDC)状态，仅变化时记录</v>
      </c>
      <c r="G64" s="25" t="str">
        <v>operation</v>
      </c>
      <c r="H64" s="25" t="str">
        <v>打开/关闭</v>
      </c>
      <c r="I64" s="25" t="str">
        <v>用户{operation}了陡坡缓降(HDC)</v>
      </c>
      <c r="J64" s="25" t="str">
        <v>用户 23312 打开陡坡缓降</v>
      </c>
      <c r="M64" s="3" t="str">
        <v>P0</v>
      </c>
      <c r="N64" s="3" t="str">
        <v>V1</v>
      </c>
      <c r="O64" s="94">
        <v>46188</v>
      </c>
      <c r="P64" s="3" t="str">
        <v>用户后面添加对应UserId，可以通过他找到对应的用户信息</v>
      </c>
    </row>
    <row r="65" spans="1:16">
      <c r="A65" s="25" t="str">
        <v>人车交互</v>
      </c>
      <c r="B65" s="25" t="str">
        <v>驾驶设置</v>
      </c>
      <c r="C65" s="25" t="str">
        <v>拖车模式</v>
      </c>
      <c r="D65" s="25" t="str">
        <v>drive_setting_tow_mode</v>
      </c>
      <c r="E65" s="25">
        <f>B65&amp;C65</f>
      </c>
      <c r="F65" s="25" t="str">
        <v>用户点击切换拖车模式状态，仅变化时记录</v>
      </c>
      <c r="G65" s="25" t="str">
        <v>operation</v>
      </c>
      <c r="H65" s="25" t="str">
        <v>打开/关闭</v>
      </c>
      <c r="I65" s="25" t="str">
        <v>用户{operation}了拖车模式</v>
      </c>
      <c r="J65" s="25" t="str">
        <v>用户 23312 打开拖车模式</v>
      </c>
      <c r="M65" s="3" t="str">
        <v>P0</v>
      </c>
      <c r="N65" s="3" t="str">
        <v>V1</v>
      </c>
      <c r="O65" s="94">
        <v>46188</v>
      </c>
      <c r="P65" s="3" t="str">
        <v>用户后面添加对应UserId，可以通过他找到对应的用户信息</v>
      </c>
    </row>
    <row r="66" spans="1:16">
      <c r="A66" s="25" t="str">
        <v>人车交互</v>
      </c>
      <c r="B66" s="25" t="str">
        <v>驾驶设置</v>
      </c>
      <c r="C66" s="25" t="str">
        <v>拖挂模式</v>
      </c>
      <c r="D66" s="25" t="str">
        <v>drive_setting_trailer_mode</v>
      </c>
      <c r="E66" s="25">
        <f>B66&amp;C66</f>
      </c>
      <c r="F66" s="25" t="str">
        <v>用户点击切换拖挂模式状态，仅变化时记录</v>
      </c>
      <c r="G66" s="25" t="str">
        <v>operation</v>
      </c>
      <c r="H66" s="25" t="str">
        <v>打开/关闭</v>
      </c>
      <c r="I66" s="25" t="str">
        <v>用户{operation}了拖挂模式</v>
      </c>
      <c r="J66" s="25" t="str">
        <v>用户 23312 打开拖挂模式</v>
      </c>
      <c r="M66" s="3" t="str">
        <v>P0</v>
      </c>
      <c r="N66" s="3" t="str">
        <v>V1</v>
      </c>
      <c r="O66" s="94">
        <v>46188</v>
      </c>
      <c r="P66" s="3" t="str">
        <v>用户后面添加对应UserId，可以通过他找到对应的用户信息</v>
      </c>
    </row>
    <row r="67" spans="1:16">
      <c r="A67" s="25" t="str">
        <v>人车交互</v>
      </c>
      <c r="B67" s="25" t="str">
        <v>驾驶设置</v>
      </c>
      <c r="C67" s="25" t="str">
        <v>电子手刹（EPB）控制</v>
      </c>
      <c r="D67" s="25" t="str">
        <v>drive_setting_epb_ctrl</v>
      </c>
      <c r="E67" s="25">
        <f>B67&amp;C67</f>
      </c>
      <c r="F67" s="25" t="str">
        <v>用户点击切换电子手刹（EPB）控制状态，仅变化时记录</v>
      </c>
      <c r="G67" s="25" t="str">
        <v>operation</v>
      </c>
      <c r="H67" s="25" t="str">
        <v>打开/关闭</v>
      </c>
      <c r="I67" s="25" t="str">
        <v>用户{operation}了电子手刹（EPB）控制</v>
      </c>
      <c r="J67" s="25" t="str">
        <v>用户 23312 打开电子手刹控制</v>
      </c>
      <c r="M67" s="3" t="str">
        <v>P0</v>
      </c>
      <c r="N67" s="3" t="str">
        <v>V1</v>
      </c>
      <c r="O67" s="94">
        <v>46188</v>
      </c>
      <c r="P67" s="3" t="str">
        <v>用户后面添加对应UserId，可以通过他找到对应的用户信息</v>
      </c>
    </row>
    <row r="68" spans="1:16">
      <c r="A68" s="25" t="str">
        <v>人车交互</v>
      </c>
      <c r="B68" s="25" t="str">
        <v>驾驶设置</v>
      </c>
      <c r="C68" s="25" t="str">
        <v>舒适制动（CST）</v>
      </c>
      <c r="D68" s="25" t="str">
        <v>drive_setting_cst_comfort_brake</v>
      </c>
      <c r="E68" s="25">
        <f>B68&amp;C68</f>
      </c>
      <c r="F68" s="25" t="str">
        <v>用户点击切换舒适制动（CST）状态，仅变化时记录</v>
      </c>
      <c r="G68" s="25" t="str">
        <v>operation</v>
      </c>
      <c r="H68" s="25" t="str">
        <v>打开/关闭</v>
      </c>
      <c r="I68" s="25" t="str">
        <v>用户{operation}了舒适制动（CST）</v>
      </c>
      <c r="J68" s="25" t="str">
        <v>用户 23312 打开舒适制动</v>
      </c>
      <c r="M68" s="3" t="str">
        <v>P0</v>
      </c>
      <c r="N68" s="3" t="str">
        <v>V1</v>
      </c>
      <c r="O68" s="94">
        <v>46188</v>
      </c>
      <c r="P68" s="3" t="str">
        <v>用户后面添加对应UserId，可以通过他找到对应的用户信息</v>
      </c>
    </row>
    <row r="69" spans="1:16">
      <c r="A69" s="25" t="str">
        <v>人车交互</v>
      </c>
      <c r="B69" s="25" t="str">
        <v>驾驶设置</v>
      </c>
      <c r="C69" s="25" t="str">
        <v>减速缓行设置</v>
      </c>
      <c r="D69" s="25" t="str">
        <v>drive_setting_decel_coast_cfg</v>
      </c>
      <c r="E69" s="25">
        <f>B69&amp;C69</f>
      </c>
      <c r="F69" s="25" t="str">
        <v>用户点击切换减速缓行设置状态，仅变化时记录</v>
      </c>
      <c r="G69" s="25" t="str">
        <v>operation</v>
      </c>
      <c r="H69" s="25" t="str">
        <v>打开/关闭</v>
      </c>
      <c r="I69" s="25" t="str">
        <v>用户{operation}了减速缓行设置</v>
      </c>
      <c r="J69" s="25" t="str">
        <v>用户 23312 打开减速缓行设置</v>
      </c>
      <c r="M69" s="3" t="str">
        <v>P0</v>
      </c>
      <c r="N69" s="3" t="str">
        <v>V1</v>
      </c>
      <c r="O69" s="94">
        <v>46188</v>
      </c>
      <c r="P69" s="3" t="str">
        <v>用户后面添加对应UserId，可以通过他找到对应的用户信息</v>
      </c>
    </row>
    <row r="70" spans="1:16">
      <c r="A70" s="25" t="str">
        <v>人车交互</v>
      </c>
      <c r="B70" s="25" t="str">
        <v>驾驶设置</v>
      </c>
      <c r="C70" s="25" t="str">
        <v>极致转弯</v>
      </c>
      <c r="D70" s="25" t="str">
        <v>drive_setting_agile_turn</v>
      </c>
      <c r="E70" s="25">
        <f>B70&amp;C70</f>
      </c>
      <c r="F70" s="25" t="str">
        <v>用户点击切换极致转弯状态，仅变化时记录</v>
      </c>
      <c r="G70" s="25" t="str">
        <v>operation</v>
      </c>
      <c r="H70" s="25" t="str">
        <v>打开/关闭</v>
      </c>
      <c r="I70" s="25" t="str">
        <v>用户{operation}了极致转弯</v>
      </c>
      <c r="J70" s="25" t="str">
        <v>用户 23312 开启极致转弯</v>
      </c>
      <c r="M70" s="3" t="str">
        <v>P0</v>
      </c>
      <c r="N70" s="3" t="str">
        <v>V1</v>
      </c>
      <c r="O70" s="94">
        <v>46188</v>
      </c>
      <c r="P70" s="3" t="str">
        <v>用户后面添加对应UserId，可以通过他找到对应的用户信息</v>
      </c>
    </row>
    <row r="71" spans="1:16">
      <c r="A71" s="25" t="str">
        <v>人车交互</v>
      </c>
      <c r="B71" s="25" t="str">
        <v>悬架</v>
      </c>
      <c r="C71" s="25" t="str">
        <v>悬架高度调节</v>
      </c>
      <c r="D71" s="25" t="str">
        <v>suspension_height_adjust</v>
      </c>
      <c r="E71" s="25">
        <f>B71&amp;C71</f>
      </c>
      <c r="F71" s="25" t="str">
        <v>用户点击切换悬架高度调节状态，仅变化时记录</v>
      </c>
      <c r="G71" s="25" t="str">
        <v>level</v>
      </c>
      <c r="H71" s="25" t="str">
        <v>最高/高/标准/低/最低</v>
      </c>
      <c r="I71" s="25" t="str">
        <v>用户将悬架高度调节{operation}</v>
      </c>
      <c r="J71" s="25" t="str">
        <v>用户 23312 悬架高度调节到标准</v>
      </c>
      <c r="M71" s="3" t="str">
        <v>P0</v>
      </c>
      <c r="N71" s="3" t="str">
        <v>V1</v>
      </c>
      <c r="O71" s="94">
        <v>46188</v>
      </c>
      <c r="P71" s="3" t="str">
        <v>用户后面添加对应UserId，可以通过他找到对应的用户信息</v>
      </c>
    </row>
    <row r="72" spans="1:16">
      <c r="A72" s="25" t="str">
        <v>人车交互</v>
      </c>
      <c r="B72" s="25" t="str">
        <v>悬架</v>
      </c>
      <c r="C72" s="25" t="str">
        <v>悬架维修模式</v>
      </c>
      <c r="D72" s="25" t="str">
        <v>suspension_service_mode</v>
      </c>
      <c r="E72" s="25">
        <f>B72&amp;C72</f>
      </c>
      <c r="F72" s="25" t="str">
        <v>用户点击切换悬架维修模式状态，仅变化时记录</v>
      </c>
      <c r="G72" s="25" t="str">
        <v>operation</v>
      </c>
      <c r="H72" s="25" t="str">
        <v>打开/关闭</v>
      </c>
      <c r="I72" s="25" t="str">
        <v>用户{operation}了悬架维修模式</v>
      </c>
      <c r="J72" s="25" t="str">
        <v>用户 23312 打开悬架维修模式</v>
      </c>
      <c r="M72" s="3" t="str">
        <v>P0</v>
      </c>
      <c r="N72" s="3" t="str">
        <v>V1</v>
      </c>
      <c r="O72" s="94">
        <v>46188</v>
      </c>
      <c r="P72" s="3" t="str">
        <v>用户后面添加对应UserId，可以通过他找到对应的用户信息</v>
      </c>
    </row>
    <row r="73" spans="1:16">
      <c r="A73" s="25" t="str">
        <v>人车交互</v>
      </c>
      <c r="B73" s="25" t="str">
        <v>悬架</v>
      </c>
      <c r="C73" s="25" t="str">
        <v>轻松载物</v>
      </c>
      <c r="D73" s="25" t="str">
        <v>suspension_load_easy</v>
      </c>
      <c r="E73" s="25">
        <f>B73&amp;C73</f>
      </c>
      <c r="F73" s="25" t="str">
        <v>用户点击切换轻松载物状态，仅变化时记录</v>
      </c>
      <c r="G73" s="25" t="str">
        <v>operation</v>
      </c>
      <c r="H73" s="25" t="str">
        <v>打开/关闭</v>
      </c>
      <c r="I73" s="25" t="str">
        <v>用户{operation}了轻松载物</v>
      </c>
      <c r="J73" s="25" t="str">
        <v>用户 23312 打开轻松载物</v>
      </c>
      <c r="M73" s="3" t="str">
        <v>P0</v>
      </c>
      <c r="N73" s="3" t="str">
        <v>V1</v>
      </c>
      <c r="O73" s="94">
        <v>46188</v>
      </c>
      <c r="P73" s="3" t="str">
        <v>用户后面添加对应UserId，可以通过他找到对应的用户信息</v>
      </c>
    </row>
    <row r="74" spans="1:16">
      <c r="A74" s="25" t="str">
        <v>人车交互</v>
      </c>
      <c r="B74" s="25" t="str">
        <v>悬架</v>
      </c>
      <c r="C74" s="25" t="str">
        <v>便捷上下车</v>
      </c>
      <c r="D74" s="25" t="str">
        <v>suspension_easy_entry</v>
      </c>
      <c r="E74" s="25">
        <f>B74&amp;C74</f>
      </c>
      <c r="F74" s="25" t="str">
        <v>用户点击切换便捷上下车状态，仅变化时记录</v>
      </c>
      <c r="G74" s="25" t="str">
        <v>operation</v>
      </c>
      <c r="H74" s="25" t="str">
        <v>打开/关闭</v>
      </c>
      <c r="I74" s="25" t="str">
        <v>用户{operation}了便捷上下车</v>
      </c>
      <c r="J74" s="25" t="str">
        <v>用户 23312 打开便捷上下车</v>
      </c>
      <c r="M74" s="3" t="str">
        <v>P0</v>
      </c>
      <c r="N74" s="3" t="str">
        <v>V1</v>
      </c>
      <c r="O74" s="94">
        <v>46188</v>
      </c>
      <c r="P74" s="3" t="str">
        <v>用户后面添加对应UserId，可以通过他找到对应的用户信息</v>
      </c>
    </row>
    <row r="75" spans="1:16">
      <c r="A75" s="25" t="str">
        <v>人车交互</v>
      </c>
      <c r="B75" s="25" t="str">
        <v>座椅调节</v>
      </c>
      <c r="C75" s="25" t="str">
        <v>前排座椅前后位置调节</v>
      </c>
      <c r="D75" s="25" t="str">
        <v>seat_adjust_front_foreaft_pos</v>
      </c>
      <c r="E75" s="25">
        <f>B75&amp;C75</f>
      </c>
      <c r="F75" s="25" t="str">
        <v>用户点击切换前排座椅前后位置调节，仅变化时记录</v>
      </c>
      <c r="G75" s="25" t="str">
        <v>value</v>
      </c>
      <c r="H75" s="25" t="str">
        <v>1.范围：0-100% 
2.距离：0-464mm </v>
      </c>
      <c r="I75" s="25" t="str">
        <v>用户将前排座椅前后位置调节到{value}</v>
      </c>
      <c r="J75" s="25" t="str">
        <v>1. 用户 23312 将前排座椅前后位置调节到 20%
2. 用户 23312 将前排座椅前后位置调节到 60mm</v>
      </c>
      <c r="M75" s="3" t="str">
        <v>P0</v>
      </c>
      <c r="N75" s="3" t="str">
        <v>V1</v>
      </c>
      <c r="O75" s="94">
        <v>46188</v>
      </c>
      <c r="P75" s="3" t="str">
        <v>用户后面添加对应UserId，可以通过他找到对应的用户信息</v>
      </c>
    </row>
    <row r="76" spans="1:16">
      <c r="A76" s="25" t="str">
        <v>人车交互</v>
      </c>
      <c r="B76" s="25" t="str">
        <v>座椅调节</v>
      </c>
      <c r="C76" s="25" t="str">
        <v>前排座椅高度调节</v>
      </c>
      <c r="D76" s="25" t="str">
        <v>seat_adjust_front_height_pos</v>
      </c>
      <c r="E76" s="25">
        <f>B76&amp;C76</f>
      </c>
      <c r="F76" s="25" t="str">
        <v>用户点击切换前排座椅高度调节，仅变化时记录</v>
      </c>
      <c r="G76" s="25" t="str">
        <v>value</v>
      </c>
      <c r="H76" s="25" t="str">
        <v>范围：0-100% </v>
      </c>
      <c r="I76" s="25" t="str">
        <v>用户将前排座椅高度调节到{value}</v>
      </c>
      <c r="J76" s="25" t="str">
        <v>用户 23312 将前排座椅高度调节到 0%</v>
      </c>
      <c r="M76" s="3" t="str">
        <v>P0</v>
      </c>
      <c r="N76" s="3" t="str">
        <v>V1</v>
      </c>
      <c r="O76" s="94">
        <v>46188</v>
      </c>
      <c r="P76" s="3" t="str">
        <v>用户后面添加对应UserId，可以通过他找到对应的用户信息</v>
      </c>
    </row>
    <row r="77" spans="1:16">
      <c r="A77" s="25" t="str">
        <v>人车交互</v>
      </c>
      <c r="B77" s="25" t="str">
        <v>座椅调节</v>
      </c>
      <c r="C77" s="25" t="str">
        <v>前排座椅靠背角度调节</v>
      </c>
      <c r="D77" s="25" t="str">
        <v>seat_adjust_front_backrest_angle</v>
      </c>
      <c r="E77" s="25">
        <f>B77&amp;C77</f>
      </c>
      <c r="F77" s="25" t="str">
        <v>用户点击切换前排座椅靠背角度调节，仅变化时记录</v>
      </c>
      <c r="G77" s="25" t="str">
        <v>value</v>
      </c>
      <c r="H77" s="25" t="str">
        <v>1.范围：0-100%
2.角度：90°-180°</v>
      </c>
      <c r="I77" s="25" t="str">
        <v>用户将前排座椅靠背角度调节到{value}</v>
      </c>
      <c r="J77" s="25" t="str">
        <v>1. 用户 23312 将前排座椅靠背角度调节到 10%
2. 用户 23312 将前排座椅靠背角度调节到 120°</v>
      </c>
      <c r="M77" s="3" t="str">
        <v>P0</v>
      </c>
      <c r="N77" s="3" t="str">
        <v>V1</v>
      </c>
      <c r="O77" s="94">
        <v>46188</v>
      </c>
      <c r="P77" s="3" t="str">
        <v>用户后面添加对应UserId，可以通过他找到对应的用户信息</v>
      </c>
    </row>
    <row r="78" spans="1:16">
      <c r="A78" s="25" t="str">
        <v>人车交互</v>
      </c>
      <c r="B78" s="25" t="str">
        <v>座椅调节</v>
      </c>
      <c r="C78" s="25" t="str">
        <v>前排座椅腿托角度调节</v>
      </c>
      <c r="D78" s="25" t="str">
        <v>seat_adjust_front_legrest_angle</v>
      </c>
      <c r="E78" s="25">
        <f>B78&amp;C78</f>
      </c>
      <c r="F78" s="25" t="str">
        <v>用户点击切换前排座椅腿托角度调节-绝对值调节状态，仅变化时记录</v>
      </c>
      <c r="G78" s="25" t="str">
        <v>value</v>
      </c>
      <c r="H78" s="25" t="str">
        <v>1.范围：0-100%
2.角度：0°-85°</v>
      </c>
      <c r="I78" s="25" t="str">
        <v>用户将前排座椅腿托角度调节到{value}</v>
      </c>
      <c r="J78" s="25" t="str">
        <v>1. 用户 23312 将前排座椅腿托角度调节到 10%
2. 用户 23312 将前排座椅腿托角度调节到 60°</v>
      </c>
      <c r="M78" s="3" t="str">
        <v>P0</v>
      </c>
      <c r="N78" s="3" t="str">
        <v>V1</v>
      </c>
      <c r="O78" s="94">
        <v>46188</v>
      </c>
      <c r="P78" s="3" t="str">
        <v>用户后面添加对应UserId，可以通过他找到对应的用户信息</v>
      </c>
    </row>
    <row r="79" spans="1:16">
      <c r="A79" s="25" t="str">
        <v>人车交互</v>
      </c>
      <c r="B79" s="25" t="str">
        <v>座椅调节</v>
      </c>
      <c r="C79" s="25" t="str">
        <v>前排座椅腿托延伸调节</v>
      </c>
      <c r="D79" s="25" t="str">
        <v>seat_adjust_front_legrest_extend</v>
      </c>
      <c r="E79" s="25">
        <f>B79&amp;C79</f>
      </c>
      <c r="F79" s="25" t="str">
        <v>用户点击切换前排座椅腿托延伸-绝对值调节状态，仅变化时记录</v>
      </c>
      <c r="G79" s="25" t="str">
        <v>value</v>
      </c>
      <c r="H79" s="25" t="str">
        <v>范围：0-100% </v>
      </c>
      <c r="I79" s="25" t="str">
        <v>用户将前排座椅腿托延伸调节到{value}</v>
      </c>
      <c r="J79" s="25" t="str">
        <v>用户 23312 将前排座椅腿托延伸调节到 50%</v>
      </c>
      <c r="M79" s="3" t="str">
        <v>P0</v>
      </c>
      <c r="N79" s="3" t="str">
        <v>V1</v>
      </c>
      <c r="O79" s="94">
        <v>46188</v>
      </c>
      <c r="P79" s="3" t="str">
        <v>用户后面添加对应UserId，可以通过他找到对应的用户信息</v>
      </c>
    </row>
    <row r="80" spans="1:16">
      <c r="A80" s="25" t="str">
        <v>人车交互</v>
      </c>
      <c r="B80" s="25" t="str">
        <v>座椅调节</v>
      </c>
      <c r="C80" s="25" t="str">
        <v>记忆位置保存到指定位置</v>
      </c>
      <c r="D80" s="25" t="str">
        <v>seat_adjust_mem_save_target_pos</v>
      </c>
      <c r="E80" s="25">
        <f>B80&amp;C80</f>
      </c>
      <c r="F80" s="25" t="str">
        <v>用户点击切换记忆位置保存到指定位置状态，仅变化时记录</v>
      </c>
      <c r="G80" s="25" t="str">
        <v>mode</v>
      </c>
      <c r="H80" s="25" t="str">
        <v>模式一、模式二、模式三（支持用户自定义）</v>
      </c>
      <c r="I80" s="25" t="str">
        <v>用户座椅调节保存到{mode}</v>
      </c>
      <c r="J80" s="25" t="str">
        <v>用户 23312 座椅调节保存到模式一</v>
      </c>
      <c r="M80" s="3" t="str">
        <v>P0</v>
      </c>
      <c r="N80" s="3" t="str">
        <v>V1</v>
      </c>
      <c r="O80" s="94">
        <v>46188</v>
      </c>
      <c r="P80" s="3" t="str">
        <v>用户后面添加对应UserId，可以通过他找到对应的用户信息</v>
      </c>
    </row>
    <row r="81" spans="1:16">
      <c r="A81" s="25" t="str">
        <v>人车交互</v>
      </c>
      <c r="B81" s="25" t="str">
        <v>座椅调节</v>
      </c>
      <c r="C81" s="25" t="str">
        <v>记忆位置保存到当前位置</v>
      </c>
      <c r="D81" s="25" t="str">
        <v>seat_adjust_mem_save_curr_pos</v>
      </c>
      <c r="E81" s="25">
        <f>B81&amp;C81</f>
      </c>
      <c r="F81" s="25" t="str">
        <v>用户点击切换记忆位置保存到当前位置状态，仅变化时记录</v>
      </c>
      <c r="G81" s="25" t="str">
        <v>operation</v>
      </c>
      <c r="H81" s="25" t="str">
        <v>/</v>
      </c>
      <c r="I81" s="25" t="str">
        <v>用户座椅调节保存到当前位置</v>
      </c>
      <c r="J81" s="25" t="str">
        <v>用户 23312 座椅调节保存到当前位置</v>
      </c>
      <c r="M81" s="3" t="str">
        <v>P0</v>
      </c>
      <c r="N81" s="3" t="str">
        <v>V1</v>
      </c>
      <c r="O81" s="94">
        <v>46188</v>
      </c>
      <c r="P81" s="3" t="str">
        <v>用户后面添加对应UserId，可以通过他找到对应的用户信息</v>
      </c>
    </row>
    <row r="82" spans="1:16">
      <c r="A82" s="25" t="str">
        <v>人车交互</v>
      </c>
      <c r="B82" s="25" t="str">
        <v>座椅调节</v>
      </c>
      <c r="C82" s="25" t="str">
        <v>记忆位置读取到指定位置</v>
      </c>
      <c r="D82" s="25" t="str">
        <v>seat_adjust_mem_load_target_pos</v>
      </c>
      <c r="E82" s="25">
        <f>B82&amp;C82</f>
      </c>
      <c r="F82" s="25" t="str">
        <v>用户点击切换记忆位置读取到指定位置状态，仅变化时记录</v>
      </c>
      <c r="G82" s="25" t="str">
        <v>mode</v>
      </c>
      <c r="H82" s="25" t="str">
        <v>模式一、模式二、模式三（支持用户自定义）</v>
      </c>
      <c r="I82" s="25" t="str">
        <v>用户座椅调节读取到{mode}</v>
      </c>
      <c r="J82" s="25" t="str">
        <v>用户 23312 座椅调节读取到模式三</v>
      </c>
      <c r="M82" s="3" t="str">
        <v>P0</v>
      </c>
      <c r="N82" s="3" t="str">
        <v>V1</v>
      </c>
      <c r="O82" s="94">
        <v>46188</v>
      </c>
      <c r="P82" s="3" t="str">
        <v>用户后面添加对应UserId，可以通过他找到对应的用户信息</v>
      </c>
    </row>
    <row r="83" spans="1:16">
      <c r="A83" s="25" t="str">
        <v>人车交互</v>
      </c>
      <c r="B83" s="25" t="str">
        <v>座椅调节</v>
      </c>
      <c r="C83" s="25" t="str">
        <v>二排座椅（二排坐垫翻折/落下）</v>
      </c>
      <c r="D83" s="25" t="str">
        <v>seat_adjust_second_row_cushion_flip</v>
      </c>
      <c r="E83" s="25">
        <f>B83&amp;C83</f>
      </c>
      <c r="F83" s="25" t="str">
        <v>用户点击切换二排座椅（二排坐垫翻折/落下）状态，仅变化时记录</v>
      </c>
      <c r="G83" s="25" t="str">
        <v>operation</v>
      </c>
      <c r="H83" s="25" t="str">
        <v>翻折、落下</v>
      </c>
      <c r="I83" s="25" t="str">
        <v>用户设置了二排座椅/二排坐垫{operation}</v>
      </c>
      <c r="J83" s="25" t="str">
        <v>1. 用户 23312 设置了二排坐垫折叠
2. 用户 23312 设置了二排座椅落下</v>
      </c>
      <c r="M83" s="3" t="str">
        <v>P0</v>
      </c>
      <c r="N83" s="3" t="str">
        <v>V1</v>
      </c>
      <c r="O83" s="94">
        <v>46188</v>
      </c>
      <c r="P83" s="3" t="str">
        <v>用户后面添加对应UserId，可以通过他找到对应的用户信息</v>
      </c>
    </row>
    <row r="84" spans="1:16">
      <c r="A84" s="25" t="str">
        <v>人车交互</v>
      </c>
      <c r="B84" s="25" t="str">
        <v>座椅调节</v>
      </c>
      <c r="C84" s="25" t="str">
        <v>腰部支撑调节</v>
      </c>
      <c r="D84" s="25" t="str">
        <v>seat_adjust_lumbar_support</v>
      </c>
      <c r="E84" s="25">
        <f>B84&amp;C84</f>
      </c>
      <c r="F84" s="25" t="str">
        <v>用户点击切换腰部支撑调节状态，仅变化时记录</v>
      </c>
      <c r="G84" s="25" t="str">
        <v>value</v>
      </c>
      <c r="H84" s="25" t="str">
        <v>弱、较弱、中、较强、强</v>
      </c>
      <c r="I84" s="25" t="str">
        <v>用户将腰部支撑调整到{value}</v>
      </c>
      <c r="J84" s="25" t="str">
        <v>用户 23312 将腰部支撑调节到较强</v>
      </c>
      <c r="M84" s="3" t="str">
        <v>P0</v>
      </c>
      <c r="N84" s="3" t="str">
        <v>V1</v>
      </c>
      <c r="O84" s="94">
        <v>46188</v>
      </c>
      <c r="P84" s="3" t="str">
        <v>用户后面添加对应UserId，可以通过他找到对应的用户信息</v>
      </c>
    </row>
    <row r="85" spans="1:16">
      <c r="A85" s="25" t="str">
        <v>人车交互</v>
      </c>
      <c r="B85" s="25" t="str">
        <v>座椅调节</v>
      </c>
      <c r="C85" s="25" t="str">
        <v>腰托灵敏度调节</v>
      </c>
      <c r="D85" s="25" t="str">
        <v>seat_adjust_lumbar_sensitivity</v>
      </c>
      <c r="E85" s="25">
        <f>B85&amp;C85</f>
      </c>
      <c r="F85" s="25" t="str">
        <v>用户点击切换腰托灵敏度调节状态，仅变化时记录</v>
      </c>
      <c r="G85" s="25" t="str">
        <v>value</v>
      </c>
      <c r="H85" s="25" t="str">
        <v>关闭、低、中、高。默认中</v>
      </c>
      <c r="I85" s="25" t="str">
        <v>用户将腰托灵敏度调整到{value}</v>
      </c>
      <c r="J85" s="25" t="str">
        <v>用户 23312 将腰托灵敏度调整到最大</v>
      </c>
      <c r="M85" s="3" t="str">
        <v>P0</v>
      </c>
      <c r="N85" s="3" t="str">
        <v>V1</v>
      </c>
      <c r="O85" s="94">
        <v>46188</v>
      </c>
      <c r="P85" s="3" t="str">
        <v>用户后面添加对应UserId，可以通过他找到对应的用户信息</v>
      </c>
    </row>
    <row r="86" spans="1:16">
      <c r="A86" s="25" t="str">
        <v>人车交互</v>
      </c>
      <c r="B86" s="25" t="str">
        <v>座椅调节</v>
      </c>
      <c r="C86" s="25" t="str">
        <v>侧翼支撑压力调节</v>
      </c>
      <c r="D86" s="25" t="str">
        <v>seat_adjust_sidewing_pressure</v>
      </c>
      <c r="E86" s="25">
        <f>B86&amp;C86</f>
      </c>
      <c r="F86" s="25" t="str">
        <v>用户点击切换侧翼支撑压力调节状态，仅变化时记录</v>
      </c>
      <c r="G86" s="25" t="str">
        <v>value</v>
      </c>
      <c r="H86" s="25" t="str">
        <v>弱、较弱、中、较强、强</v>
      </c>
      <c r="I86" s="25" t="str">
        <v>用户将侧翼支撑压力调整到{value}</v>
      </c>
      <c r="J86" s="25" t="str">
        <v>用户 23312 将侧翼支撑压力调整到最大</v>
      </c>
      <c r="M86" s="3" t="str">
        <v>P0</v>
      </c>
      <c r="N86" s="3" t="str">
        <v>V1</v>
      </c>
      <c r="O86" s="94">
        <v>46188</v>
      </c>
      <c r="P86" s="3" t="str">
        <v>用户后面添加对应UserId，可以通过他找到对应的用户信息</v>
      </c>
    </row>
    <row r="87" spans="1:16">
      <c r="A87" s="25" t="str">
        <v>人车交互</v>
      </c>
      <c r="B87" s="25" t="str">
        <v>座椅调节</v>
      </c>
      <c r="C87" s="25" t="str">
        <v>侧翼灵敏度调节</v>
      </c>
      <c r="D87" s="25" t="str">
        <v>seat_adjust_sidewing_sensitivity</v>
      </c>
      <c r="E87" s="25">
        <f>B87&amp;C87</f>
      </c>
      <c r="F87" s="25" t="str">
        <v>用户点击切换侧翼灵敏度调节状态，仅变化时记录</v>
      </c>
      <c r="G87" s="25" t="str">
        <v>value</v>
      </c>
      <c r="H87" s="25" t="str">
        <v>关闭、低、中、高。默认中</v>
      </c>
      <c r="I87" s="25" t="str">
        <v>用户将侧翼灵敏度调整到{value}</v>
      </c>
      <c r="J87" s="25" t="str">
        <v>用户 23312 将侧翼灵敏度调整到最大</v>
      </c>
      <c r="M87" s="3" t="str">
        <v>P0</v>
      </c>
      <c r="N87" s="3" t="str">
        <v>V1</v>
      </c>
      <c r="O87" s="94">
        <v>46188</v>
      </c>
      <c r="P87" s="3" t="str">
        <v>用户后面添加对应UserId，可以通过他找到对应的用户信息</v>
      </c>
    </row>
    <row r="88" spans="1:16">
      <c r="A88" s="25" t="str">
        <v>人车交互</v>
      </c>
      <c r="B88" s="25" t="str">
        <v>座椅调节</v>
      </c>
      <c r="C88" s="25" t="str">
        <v>主动侧翼开关</v>
      </c>
      <c r="D88" s="25" t="str">
        <v>seat_adjust_active_sidewing_switch</v>
      </c>
      <c r="E88" s="25">
        <f>B88&amp;C88</f>
      </c>
      <c r="F88" s="25" t="str">
        <v>用户点击切换主动侧翼开关状态，仅变化时记录</v>
      </c>
      <c r="G88" s="25" t="str">
        <v>operation</v>
      </c>
      <c r="H88" s="25" t="str">
        <v>打开/关闭</v>
      </c>
      <c r="I88" s="25" t="str">
        <v>用户{operation}了主动侧翼开关</v>
      </c>
      <c r="J88" s="25" t="str">
        <v>用户 23312 打开了主动侧翼开关</v>
      </c>
      <c r="M88" s="3" t="str">
        <v>P0</v>
      </c>
      <c r="N88" s="3" t="str">
        <v>V1</v>
      </c>
      <c r="O88" s="94">
        <v>46188</v>
      </c>
      <c r="P88" s="3" t="str">
        <v>用户后面添加对应UserId，可以通过他找到对应的用户信息</v>
      </c>
    </row>
    <row r="89" spans="1:16">
      <c r="A89" s="25" t="str">
        <v>人车交互</v>
      </c>
      <c r="B89" s="25" t="str">
        <v>座椅调节</v>
      </c>
      <c r="C89" s="25" t="str">
        <v>颈托头枕模式</v>
      </c>
      <c r="D89" s="25" t="str">
        <v>seat_adjust_headrest_mode</v>
      </c>
      <c r="E89" s="25">
        <f>B89&amp;C89</f>
      </c>
      <c r="F89" s="25" t="str">
        <v>用户点击切换颈托头枕模式状态，仅变化时记录</v>
      </c>
      <c r="G89" s="25" t="str">
        <v>operation</v>
      </c>
      <c r="H89" s="25" t="str">
        <v>打开/关闭</v>
      </c>
      <c r="I89" s="25" t="str">
        <v>用户{operation}了颈托头枕模式</v>
      </c>
      <c r="J89" s="25" t="str">
        <v>用户 23312 打开了颈托头枕模式</v>
      </c>
      <c r="M89" s="3" t="str">
        <v>P0</v>
      </c>
      <c r="N89" s="3" t="str">
        <v>V1</v>
      </c>
      <c r="O89" s="94">
        <v>46188</v>
      </c>
      <c r="P89" s="3" t="str">
        <v>用户后面添加对应UserId，可以通过他找到对应的用户信息</v>
      </c>
    </row>
    <row r="90" spans="1:16">
      <c r="A90" s="25" t="str">
        <v>人车交互</v>
      </c>
      <c r="B90" s="25" t="str">
        <v>座椅调节</v>
      </c>
      <c r="C90" s="25" t="str">
        <v>通风</v>
      </c>
      <c r="D90" s="25" t="str">
        <v>seat_adjust_ventilation</v>
      </c>
      <c r="E90" s="25">
        <f>B90&amp;C90</f>
      </c>
      <c r="F90" s="25" t="str">
        <v>用户点击切换通风状态，仅变化时记录</v>
      </c>
      <c r="G90" s="25" t="str">
        <v>operation</v>
      </c>
      <c r="H90" s="25" t="str">
        <v>打开/关闭</v>
      </c>
      <c r="I90" s="25" t="str">
        <v>用户{operation}了{position}的座椅通风，档位是{level}
</v>
      </c>
      <c r="J90" s="25" t="str">
        <v>1. 用户 23312 关闭了副驾的座椅通风
2. 用户 23312 打开了主驾的座椅通风，档位是 2 档</v>
      </c>
      <c r="M90" s="3" t="str">
        <v>P0</v>
      </c>
      <c r="N90" s="3" t="str">
        <v>V1</v>
      </c>
      <c r="O90" s="94">
        <v>46188</v>
      </c>
      <c r="P90" s="3" t="str">
        <v>用户后面添加对应UserId，可以通过他找到对应的用户信息</v>
      </c>
    </row>
    <row r="91" spans="7:16">
      <c r="G91" s="25" t="str">
        <v>level</v>
      </c>
      <c r="H91" s="25" t="str">
        <v>3档控制</v>
      </c>
      <c r="I91" s="25"/>
      <c r="J91" s="25"/>
      <c r="O91" s="94">
        <v>46188</v>
      </c>
      <c r="P91" s="3" t="str">
        <v>用户后面添加对应UserId，可以通过他找到对应的用户信息</v>
      </c>
    </row>
    <row r="92" spans="7:16">
      <c r="G92" s="25" t="str">
        <v>position</v>
      </c>
      <c r="H92" s="25" t="str">
        <v>主驾/副驾/左后/右后</v>
      </c>
      <c r="I92" s="25"/>
      <c r="J92" s="25"/>
      <c r="O92" s="94">
        <v>46188</v>
      </c>
      <c r="P92" s="3" t="str">
        <v>用户后面添加对应UserId，可以通过他找到对应的用户信息</v>
      </c>
    </row>
    <row r="93" spans="1:16">
      <c r="A93" s="25" t="str">
        <v>人车交互</v>
      </c>
      <c r="B93" s="25" t="str">
        <v>座椅调节</v>
      </c>
      <c r="C93" s="25" t="str">
        <v>加热</v>
      </c>
      <c r="D93" s="25" t="str">
        <v>seat_adjust_heating</v>
      </c>
      <c r="E93" s="25">
        <f>B93&amp;C93</f>
      </c>
      <c r="F93" s="25" t="str">
        <v>用户点击切换加热状态，仅变化时记录</v>
      </c>
      <c r="G93" s="25" t="str">
        <v>operation</v>
      </c>
      <c r="H93" s="25" t="str">
        <v>打开/关闭</v>
      </c>
      <c r="I93" s="25" t="str">
        <v>用户{operation}了{position}的座椅加热，档位是{level}
</v>
      </c>
      <c r="J93" s="25" t="str">
        <v>1. 用户 23312 关闭了副驾的座椅加热
2. 用户 23312 打开了主驾的座椅加热，档位是 2 档</v>
      </c>
      <c r="M93" s="3" t="str">
        <v>P0</v>
      </c>
      <c r="N93" s="3" t="str">
        <v>V1</v>
      </c>
      <c r="O93" s="94">
        <v>46188</v>
      </c>
      <c r="P93" s="3" t="str">
        <v>用户后面添加对应UserId，可以通过他找到对应的用户信息</v>
      </c>
    </row>
    <row r="94" spans="7:16">
      <c r="G94" s="25" t="str">
        <v>level</v>
      </c>
      <c r="H94" s="25" t="str">
        <v>3档控制</v>
      </c>
      <c r="I94" s="25"/>
      <c r="J94" s="25"/>
      <c r="O94" s="94">
        <v>46188</v>
      </c>
      <c r="P94" s="3" t="str">
        <v>用户后面添加对应UserId，可以通过他找到对应的用户信息</v>
      </c>
    </row>
    <row r="95" spans="7:16">
      <c r="G95" s="25" t="str">
        <v>position</v>
      </c>
      <c r="H95" s="25" t="str">
        <v>主驾/副驾/左后/右后</v>
      </c>
      <c r="I95" s="25"/>
      <c r="J95" s="25"/>
      <c r="O95" s="94">
        <v>46188</v>
      </c>
      <c r="P95" s="3" t="str">
        <v>用户后面添加对应UserId，可以通过他找到对应的用户信息</v>
      </c>
    </row>
    <row r="96" spans="1:16">
      <c r="A96" s="25" t="str">
        <v>人车交互</v>
      </c>
      <c r="B96" s="25" t="str">
        <v>座椅调节</v>
      </c>
      <c r="C96" s="25" t="str">
        <v>按摩</v>
      </c>
      <c r="D96" s="25" t="str">
        <v>seat_adjust_massage</v>
      </c>
      <c r="E96" s="25">
        <f>B96&amp;C96</f>
      </c>
      <c r="F96" s="25" t="str">
        <v>用户点击切换按摩状态，仅变化时记录</v>
      </c>
      <c r="G96" s="25" t="str">
        <v>operation</v>
      </c>
      <c r="H96" s="25" t="str">
        <v>打开/关闭</v>
      </c>
      <c r="I96" s="25" t="str">
        <v>用户{operation}了{position}的座椅按摩，按摩部位{body}，
档位是{level}</v>
      </c>
      <c r="J96" s="25" t="str">
        <v>1. 用户 23312 关闭了副驾的座椅按摩，档位是 1 档
2. 用户 23312 打开了主驾的座椅按摩，按摩部位腰部，档位是 5 档</v>
      </c>
      <c r="M96" s="3" t="str">
        <v>P0</v>
      </c>
      <c r="N96" s="3" t="str">
        <v>V1</v>
      </c>
      <c r="O96" s="94">
        <v>46188</v>
      </c>
      <c r="P96" s="3" t="str">
        <v>用户后面添加对应UserId，可以通过他找到对应的用户信息</v>
      </c>
    </row>
    <row r="97" spans="7:16">
      <c r="G97" s="25" t="str">
        <v>level</v>
      </c>
      <c r="H97" s="25" t="str">
        <v>5档控制</v>
      </c>
      <c r="I97" s="25"/>
      <c r="J97" s="25"/>
      <c r="O97" s="94">
        <v>46188</v>
      </c>
      <c r="P97" s="3" t="str">
        <v>用户后面添加对应UserId，可以通过他找到对应的用户信息</v>
      </c>
    </row>
    <row r="98" spans="7:16">
      <c r="G98" s="25" t="str">
        <v>position</v>
      </c>
      <c r="H98" s="25" t="str">
        <v>主驾/副驾/左后/右后</v>
      </c>
      <c r="I98" s="25"/>
      <c r="J98" s="25"/>
      <c r="O98" s="94">
        <v>46188</v>
      </c>
      <c r="P98" s="3" t="str">
        <v>用户后面添加对应UserId，可以通过他找到对应的用户信息</v>
      </c>
    </row>
    <row r="99" spans="7:16">
      <c r="G99" s="25" t="str">
        <v>body</v>
      </c>
      <c r="H99" s="25" t="str">
        <v>背部、腰部、全背</v>
      </c>
      <c r="I99" s="25"/>
      <c r="J99" s="25"/>
      <c r="O99" s="94">
        <v>46188</v>
      </c>
      <c r="P99" s="3" t="str">
        <v>用户后面添加对应UserId，可以通过他找到对应的用户信息</v>
      </c>
    </row>
    <row r="100" spans="7:16">
      <c r="G100" s="25" t="str">
        <v>mode</v>
      </c>
      <c r="H100" s="25" t="str">
        <v>模式/待定</v>
      </c>
      <c r="I100" s="25"/>
      <c r="J100" s="25"/>
      <c r="O100" s="94">
        <v>46188</v>
      </c>
      <c r="P100" s="3" t="str">
        <v>用户后面添加对应UserId，可以通过他找到对应的用户信息</v>
      </c>
    </row>
    <row r="101" spans="1:16">
      <c r="A101" s="25" t="str">
        <v>人车交互</v>
      </c>
      <c r="B101" s="25" t="str">
        <v>座椅调节</v>
      </c>
      <c r="C101" s="25" t="str">
        <v>一键床椅</v>
      </c>
      <c r="D101" s="25" t="str">
        <v>seat_adjust_onekey_bedmode</v>
      </c>
      <c r="E101" s="25">
        <f>B101&amp;C101</f>
      </c>
      <c r="F101" s="25" t="str">
        <v>用户点击切换一键床椅状态，仅变化时记录</v>
      </c>
      <c r="G101" s="25" t="str">
        <v>operation</v>
      </c>
      <c r="H101" s="25" t="str">
        <v>打开/关闭</v>
      </c>
      <c r="I101" s="25" t="str">
        <v>用户{operation}了{position}的一键床椅</v>
      </c>
      <c r="J101" s="25" t="str">
        <v>用户 23312 打开了主驾的一键床椅</v>
      </c>
      <c r="M101" s="3" t="str">
        <v>P0</v>
      </c>
      <c r="N101" s="3" t="str">
        <v>V1</v>
      </c>
      <c r="O101" s="94">
        <v>46188</v>
      </c>
      <c r="P101" s="3" t="str">
        <v>用户后面添加对应UserId，可以通过他找到对应的用户信息</v>
      </c>
    </row>
    <row r="102" spans="7:16">
      <c r="G102" s="25" t="str">
        <v>position</v>
      </c>
      <c r="H102" s="25" t="str">
        <v>主驾、副驾</v>
      </c>
      <c r="I102" s="25"/>
      <c r="J102" s="25"/>
      <c r="O102" s="94">
        <v>46188</v>
      </c>
      <c r="P102" s="3" t="str">
        <v>用户后面添加对应UserId，可以通过他找到对应的用户信息</v>
      </c>
    </row>
    <row r="103" spans="1:16">
      <c r="A103" s="25" t="str">
        <v>人车交互</v>
      </c>
      <c r="B103" s="25" t="str">
        <v>座椅调节</v>
      </c>
      <c r="C103" s="25" t="str">
        <v>零重力座椅</v>
      </c>
      <c r="D103" s="25" t="str">
        <v>seat_adjust_zero_gravity</v>
      </c>
      <c r="E103" s="25">
        <f>B103&amp;C103</f>
      </c>
      <c r="F103" s="25" t="str">
        <v>用户点击切换零重力座椅状态，仅变化时记录</v>
      </c>
      <c r="G103" s="25" t="str">
        <v>operation</v>
      </c>
      <c r="H103" s="25" t="str">
        <v>进入/退出</v>
      </c>
      <c r="I103" s="25" t="str">
        <v>用户{operation}了零重力座椅</v>
      </c>
      <c r="J103" s="25" t="str">
        <v>用户 23312 进入了零重力座椅</v>
      </c>
      <c r="M103" s="3" t="str">
        <v>P0</v>
      </c>
      <c r="N103" s="3" t="str">
        <v>V1</v>
      </c>
      <c r="O103" s="94">
        <v>46188</v>
      </c>
      <c r="P103" s="3" t="str">
        <v>用户后面添加对应UserId，可以通过他找到对应的用户信息</v>
      </c>
    </row>
    <row r="104" spans="1:16">
      <c r="A104" s="25" t="str">
        <v>人车交互</v>
      </c>
      <c r="B104" s="25" t="str">
        <v>座椅调节</v>
      </c>
      <c r="C104" s="25" t="str">
        <v>smart fit（座椅自适应）</v>
      </c>
      <c r="D104" s="25" t="str">
        <v>seat_adjust_smartfit_adaptive</v>
      </c>
      <c r="E104" s="25">
        <f>B104&amp;C104</f>
      </c>
      <c r="F104" s="25" t="str">
        <v>用户点击切换smart fit（座椅自适应）状态，仅变化时记录</v>
      </c>
      <c r="G104" s="25" t="str">
        <v>operation</v>
      </c>
      <c r="H104" s="25" t="str">
        <v>打开/关闭</v>
      </c>
      <c r="I104" s="25" t="str">
        <v>用户{operation}了smart fit（座椅自适应）</v>
      </c>
      <c r="J104" s="25" t="str">
        <v>用户 23312 打开了 smart fit（座椅自适应）</v>
      </c>
      <c r="M104" s="3" t="str">
        <v>P0</v>
      </c>
      <c r="N104" s="3" t="str">
        <v>V1</v>
      </c>
      <c r="O104" s="94">
        <v>46188</v>
      </c>
      <c r="P104" s="3" t="str">
        <v>用户后面添加对应UserId，可以通过他找到对应的用户信息</v>
      </c>
    </row>
    <row r="105" spans="1:16">
      <c r="A105" s="17" t="str">
        <v>人车交互</v>
      </c>
      <c r="B105" s="17" t="str">
        <v>天幕滑移屏</v>
      </c>
      <c r="C105" s="17" t="str">
        <v>控制</v>
      </c>
      <c r="D105" s="17" t="str">
        <v>canopy_slide_screen_control</v>
      </c>
      <c r="E105" s="17">
        <f>B105&amp;C105</f>
      </c>
      <c r="F105" s="17" t="str">
        <v>用户点击切换控制状态，仅变化时记录</v>
      </c>
      <c r="G105" s="17" t="str">
        <v>operation</v>
      </c>
      <c r="H105" s="17" t="str">
        <v>开启 / 关闭 / 复位 / 暂停</v>
      </c>
      <c r="I105" s="17" t="str">
        <v>用户 {operation} 了天幕滑移屏</v>
      </c>
      <c r="J105" s="25" t="str">
        <v>用户 23312 开启了天幕滑移屏</v>
      </c>
      <c r="M105" s="27" t="str">
        <v>P0</v>
      </c>
      <c r="N105" s="27" t="str">
        <v>V1</v>
      </c>
      <c r="O105" s="94">
        <v>46188</v>
      </c>
      <c r="P105" s="3" t="str">
        <v>用户后面添加对应UserId，可以通过他找到对应的用户信息</v>
      </c>
    </row>
    <row r="106" spans="1:16">
      <c r="A106" s="25" t="str">
        <v>人车交互</v>
      </c>
      <c r="B106" s="25" t="str">
        <v>天幕滑移屏</v>
      </c>
      <c r="C106" s="25" t="str">
        <v>指定位置调节</v>
      </c>
      <c r="D106" s="25" t="str">
        <v>canopy_slide_screen_pos_adjust</v>
      </c>
      <c r="E106" s="25">
        <f>B106&amp;C106</f>
      </c>
      <c r="F106" s="25" t="str">
        <v>用户点击切换指定位置调节状态，仅变化时记录</v>
      </c>
      <c r="G106" s="25" t="str">
        <v>operation</v>
      </c>
      <c r="H106" s="25" t="str">
        <v>主驾独享 / 副驾独享 / 左后独享 / 右后独享 / 前排中间 / 后排中间</v>
      </c>
      <c r="I106" s="25" t="str">
        <v>用户将指定天幕滑移屏位置调节 {operation}</v>
      </c>
      <c r="J106" s="25" t="str">
        <v>用户 23312 将指定天幕滑移屏位置调节主驾独享</v>
      </c>
      <c r="M106" s="3" t="str">
        <v>P0</v>
      </c>
      <c r="N106" s="3" t="str">
        <v>V1</v>
      </c>
      <c r="O106" s="94">
        <v>46188</v>
      </c>
      <c r="P106" s="3" t="str">
        <v>用户后面添加对应UserId，可以通过他找到对应的用户信息</v>
      </c>
    </row>
    <row r="107" spans="1:16">
      <c r="A107" s="25" t="str">
        <v>人车交互</v>
      </c>
      <c r="B107" s="25" t="str">
        <v>天幕滑移屏</v>
      </c>
      <c r="C107" s="25" t="str">
        <v>屏幕位置调节</v>
      </c>
      <c r="D107" s="25" t="str">
        <v>canopy_slide_screen_abs_pos_adjust</v>
      </c>
      <c r="E107" s="25">
        <f>B107&amp;C107</f>
      </c>
      <c r="F107" s="25" t="str">
        <v>用户点击切换屏幕位置绝对值调节状态，仅变化时记录</v>
      </c>
      <c r="G107" s="25" t="str">
        <v>operation</v>
      </c>
      <c r="H107" s="25" t="str">
        <v>范围 ： 0-100%</v>
      </c>
      <c r="I107" s="25" t="str">
        <v>用户将天幕滑移屏位置调节到 {operation}</v>
      </c>
      <c r="J107" s="25" t="str">
        <v>用户 23312 将天幕滑移屏位置调节到 50%</v>
      </c>
      <c r="M107" s="3" t="str">
        <v>P0</v>
      </c>
      <c r="N107" s="3" t="str">
        <v>V1</v>
      </c>
      <c r="O107" s="94">
        <v>46188</v>
      </c>
      <c r="P107" s="3" t="str">
        <v>用户后面添加对应UserId，可以通过他找到对应的用户信息</v>
      </c>
    </row>
    <row r="108" spans="1:16">
      <c r="A108" s="25" t="str">
        <v>人车交互</v>
      </c>
      <c r="B108" s="25" t="str">
        <v>天幕滑移屏</v>
      </c>
      <c r="C108" s="25" t="str">
        <v>屏幕角度调节</v>
      </c>
      <c r="D108" s="25" t="str">
        <v>canopy_slide_screen_abs_ang_adjust</v>
      </c>
      <c r="E108" s="25">
        <f>B108&amp;C108</f>
      </c>
      <c r="F108" s="25" t="str">
        <v>用户点击切换屏幕角度绝对值调节状态，仅变化时记录</v>
      </c>
      <c r="G108" s="25" t="str">
        <v>operation</v>
      </c>
      <c r="H108" s="25" t="str">
        <v>角度：80°-120°</v>
      </c>
      <c r="I108" s="25" t="str">
        <v>用户将天幕滑移屏角度调节到 {operation}</v>
      </c>
      <c r="J108" s="25" t="str">
        <v>用户 23312 将天幕滑移屏角度调节到 80°</v>
      </c>
      <c r="M108" s="3" t="str">
        <v>P0</v>
      </c>
      <c r="N108" s="3" t="str">
        <v>V1</v>
      </c>
      <c r="O108" s="94">
        <v>46188</v>
      </c>
      <c r="P108" s="3" t="str">
        <v>用户后面添加对应UserId，可以通过他找到对应的用户信息</v>
      </c>
    </row>
    <row r="109" spans="1:16">
      <c r="A109" s="25" t="str">
        <v>人车交互</v>
      </c>
      <c r="B109" s="25" t="str">
        <v>天幕滑移屏</v>
      </c>
      <c r="C109" s="25" t="str">
        <v>亮度绝对值调节</v>
      </c>
      <c r="D109" s="25" t="str">
        <v>canopy_slide_screen_abs_bright_adjust</v>
      </c>
      <c r="E109" s="25">
        <f>B109&amp;C109</f>
      </c>
      <c r="F109" s="25" t="str">
        <v>用户点击切换亮度绝对值调节状态，仅变化时记录</v>
      </c>
      <c r="G109" s="25" t="str">
        <v>operation</v>
      </c>
      <c r="H109" s="25" t="str">
        <v>范围 ：0-100%</v>
      </c>
      <c r="I109" s="25" t="str">
        <v>用户将天幕滑移屏亮度调节到 {operation}</v>
      </c>
      <c r="J109" s="25" t="str">
        <v>用户 23312 将天幕滑移屏亮度调节到 10%</v>
      </c>
      <c r="M109" s="3" t="str">
        <v>P0</v>
      </c>
      <c r="N109" s="3" t="str">
        <v>V1</v>
      </c>
      <c r="O109" s="94">
        <v>46188</v>
      </c>
      <c r="P109" s="3" t="str">
        <v>用户后面添加对应UserId，可以通过他找到对应的用户信息</v>
      </c>
    </row>
    <row r="110" spans="1:16">
      <c r="A110" s="25" t="str">
        <v>人车交互</v>
      </c>
      <c r="B110" s="25" t="str">
        <v>方向盘</v>
      </c>
      <c r="C110" s="25" t="str">
        <v>加热</v>
      </c>
      <c r="D110" s="25" t="str">
        <v>steering_wheel_heat_ctrl</v>
      </c>
      <c r="E110" s="25">
        <f>B110&amp;C110</f>
      </c>
      <c r="F110" s="25" t="str">
        <v>用户点击切换加热状态，仅变化时记录</v>
      </c>
      <c r="G110" s="25" t="str">
        <v>operation</v>
      </c>
      <c r="H110" s="25" t="str">
        <v>开启 / 关闭 </v>
      </c>
      <c r="I110" s="25" t="str">
        <v>用户 {operation} 了方向盘加热，档位为{level}</v>
      </c>
      <c r="J110" s="25" t="str">
        <v>用户 23312 开启了方向盘加热，档位为 1</v>
      </c>
      <c r="M110" s="3" t="str">
        <v>P0</v>
      </c>
      <c r="N110" s="3" t="str">
        <v>V1</v>
      </c>
      <c r="O110" s="94">
        <v>46188</v>
      </c>
      <c r="P110" s="3" t="str">
        <v>用户后面添加对应UserId，可以通过他找到对应的用户信息</v>
      </c>
    </row>
    <row r="111" spans="7:16">
      <c r="G111" s="25" t="str">
        <v>level</v>
      </c>
      <c r="H111" s="25" t="str">
        <v>档位：1、2、3</v>
      </c>
      <c r="I111" s="25"/>
      <c r="J111" s="25"/>
      <c r="M111" s="3" t="str">
        <v>P0</v>
      </c>
      <c r="N111" s="3" t="str">
        <v>V1</v>
      </c>
      <c r="O111" s="94">
        <v>46188</v>
      </c>
      <c r="P111" s="3" t="str">
        <v>用户后面添加对应UserId，可以通过他找到对应的用户信息</v>
      </c>
    </row>
    <row r="112" spans="1:16">
      <c r="A112" s="25" t="str">
        <v>人车交互</v>
      </c>
      <c r="B112" s="25" t="str">
        <v>方向盘</v>
      </c>
      <c r="C112" s="25" t="str">
        <v>设置为指定功能</v>
      </c>
      <c r="D112" s="25" t="str">
        <v>steering_wheel_set_func</v>
      </c>
      <c r="E112" s="25">
        <f>B112&amp;C112</f>
      </c>
      <c r="F112" s="25" t="str">
        <v>用户点击切换设置为指定功能状态，仅变化时记录</v>
      </c>
      <c r="G112" s="25" t="str">
        <v>function</v>
      </c>
      <c r="H112" s="25" t="str">
        <v>全景影像360（出厂默认）
PHUD编辑态
语音助手激活
CarPaly （TBD）
行车拍照(行车记录仪)
紧急录制（行车记录仪）
低速行人报警音
切换多媒体音源
一键静音
智能后视开关
对内拍照
对外喊话
触发条件任务</v>
      </c>
      <c r="I112" s="25" t="str">
        <v>用户方向盘设置为指定功能：{function} </v>
      </c>
      <c r="J112" s="25" t="str">
        <v>用户 23312 方向盘设置为指定功能：全景影像 360（出厂默认）</v>
      </c>
      <c r="M112" s="3" t="str">
        <v>P0</v>
      </c>
      <c r="N112" s="3" t="str">
        <v>V1</v>
      </c>
      <c r="O112" s="94">
        <v>46188</v>
      </c>
      <c r="P112" s="3" t="str">
        <v>用户后面添加对应UserId，可以通过他找到对应的用户信息</v>
      </c>
    </row>
    <row r="113" spans="1:16">
      <c r="A113" s="25" t="str">
        <v>人车交互</v>
      </c>
      <c r="B113" s="25" t="str">
        <v>方向盘</v>
      </c>
      <c r="C113" s="25" t="str">
        <v>按键自定义设置</v>
      </c>
      <c r="D113" s="25" t="str">
        <v>steering_wheel_key_custom_cfg</v>
      </c>
      <c r="E113" s="25">
        <f>B113&amp;C113</f>
      </c>
      <c r="F113" s="25" t="str">
        <v>用户点击切换按键自定义设置状态，仅变化时记录</v>
      </c>
      <c r="G113" s="25" t="str">
        <v>operation</v>
      </c>
      <c r="H113" s="25" t="str">
        <v>打开 / 退出</v>
      </c>
      <c r="I113" s="25" t="str">
        <v>用户 {operation} 了方向盘按键自定义设置</v>
      </c>
      <c r="J113" s="25" t="str">
        <v>用户 23312 打开了方向盘按键自定义设置</v>
      </c>
      <c r="M113" s="3" t="str">
        <v>P0</v>
      </c>
      <c r="N113" s="3" t="str">
        <v>V1</v>
      </c>
      <c r="O113" s="94">
        <v>46188</v>
      </c>
      <c r="P113" s="3" t="str">
        <v>用户后面添加对应UserId，可以通过他找到对应的用户信息</v>
      </c>
    </row>
    <row r="114" spans="1:16">
      <c r="A114" s="25" t="str">
        <v>人车交互</v>
      </c>
      <c r="B114" s="25" t="str">
        <v>方向盘</v>
      </c>
      <c r="C114" s="25" t="str">
        <v>方向盘旋钮功能设置</v>
      </c>
      <c r="D114" s="25" t="str">
        <v>steering_wheel_knob_func_cfg</v>
      </c>
      <c r="E114" s="25">
        <f>B114&amp;C114</f>
      </c>
      <c r="F114" s="25" t="str">
        <v>用户点击切换方向盘旋钮功能设置状态，仅变化时记录</v>
      </c>
      <c r="G114" s="25" t="str">
        <v>mode</v>
      </c>
      <c r="H114" s="25" t="str">
        <v>驾驶模式，路面辅助模式和悬架高度</v>
      </c>
      <c r="I114" s="25" t="str">
        <v>用户方向盘旋钮功能设置:{mode}</v>
      </c>
      <c r="J114" s="25" t="str">
        <v>用户 23312 方向盘旋钮功能设置：驾驶模式</v>
      </c>
      <c r="M114" s="3" t="str">
        <v>P0</v>
      </c>
      <c r="N114" s="3" t="str">
        <v>V1</v>
      </c>
      <c r="O114" s="94">
        <v>46188</v>
      </c>
      <c r="P114" s="3" t="str">
        <v>用户后面添加对应UserId，可以通过他找到对应的用户信息</v>
      </c>
    </row>
    <row r="115" spans="1:16">
      <c r="A115" s="25" t="str">
        <v>人车交互</v>
      </c>
      <c r="B115" s="25" t="str">
        <v>方向盘</v>
      </c>
      <c r="C115" s="25" t="str">
        <v>smart fit（方向盘自适应调节）</v>
      </c>
      <c r="D115" s="25" t="str">
        <v>steering_wheel_smartfit_adjust</v>
      </c>
      <c r="E115" s="25">
        <f>B115&amp;C115</f>
      </c>
      <c r="F115" s="25" t="str">
        <v>用户点击切换 smart fit（方向盘自适应调节）状态，仅变化时记录</v>
      </c>
      <c r="G115" s="25" t="str">
        <v>operation</v>
      </c>
      <c r="H115" s="25" t="str">
        <v>打开 / 关闭</v>
      </c>
      <c r="I115" s="25" t="str">
        <v>用户将 smart fit（方向盘自适应调节）{operation}</v>
      </c>
      <c r="J115" s="25" t="str">
        <v>用户 23312 将 smart fit（方向盘自适应调节）打开</v>
      </c>
      <c r="M115" s="3" t="str">
        <v>P0</v>
      </c>
      <c r="N115" s="3" t="str">
        <v>V1</v>
      </c>
      <c r="O115" s="94">
        <v>46188</v>
      </c>
      <c r="P115" s="3" t="str">
        <v>用户后面添加对应UserId，可以通过他找到对应的用户信息</v>
      </c>
    </row>
    <row r="116" spans="1:16">
      <c r="A116" s="25" t="str">
        <v>人车交互</v>
      </c>
      <c r="B116" s="25" t="str">
        <v>外后视镜</v>
      </c>
      <c r="C116" s="25" t="str">
        <v>外后视镜展开折叠</v>
      </c>
      <c r="D116" s="25" t="str">
        <v>outer_mirror_fold_unfold</v>
      </c>
      <c r="E116" s="25">
        <f>B116&amp;C116</f>
      </c>
      <c r="F116" s="25" t="str">
        <v>用户点击切换外后视镜展开折叠状态，仅变化时记录</v>
      </c>
      <c r="G116" s="25" t="str">
        <v>operation</v>
      </c>
      <c r="H116" s="25" t="str">
        <v>展开 / 折叠</v>
      </c>
      <c r="I116" s="25" t="str">
        <v>用户 {operation} 了外后视镜展开折叠</v>
      </c>
      <c r="J116" s="25" t="str">
        <v>用户 23312 折叠了外后视镜展开折叠</v>
      </c>
      <c r="M116" s="3" t="str">
        <v>P0</v>
      </c>
      <c r="N116" s="3" t="str">
        <v>V1</v>
      </c>
      <c r="O116" s="94">
        <v>46188</v>
      </c>
      <c r="P116" s="3" t="str">
        <v>用户后面添加对应UserId，可以通过他找到对应的用户信息</v>
      </c>
    </row>
    <row r="117" spans="1:16">
      <c r="A117" s="25" t="str">
        <v>人车交互</v>
      </c>
      <c r="B117" s="25" t="str">
        <v>外后视镜</v>
      </c>
      <c r="C117" s="25" t="str">
        <v>外后视镜角度调节</v>
      </c>
      <c r="D117" s="25" t="str">
        <v>outer_mirror_ang_abs_adjust</v>
      </c>
      <c r="E117" s="25">
        <f>B117&amp;C117</f>
      </c>
      <c r="F117" s="25" t="str">
        <v>用户点击切换外后视镜角度调节状态，仅变化时记录</v>
      </c>
      <c r="G117" s="25" t="str">
        <v>operation</v>
      </c>
      <c r="H117" s="25" t="str">
        <v>外翻 / 内翻 / 上翻 / 下翻 / 角度范围 /</v>
      </c>
      <c r="I117" s="25" t="str">
        <v>用户将外后视镜角度调节成 {operation}</v>
      </c>
      <c r="J117" s="25" t="str">
        <v>用户 23312 将外后视镜角度调节成外翻</v>
      </c>
      <c r="M117" s="3" t="str">
        <v>P0</v>
      </c>
      <c r="N117" s="3" t="str">
        <v>V1</v>
      </c>
      <c r="O117" s="94">
        <v>46188</v>
      </c>
      <c r="P117" s="3" t="str">
        <v>用户后面添加对应UserId，可以通过他找到对应的用户信息</v>
      </c>
    </row>
    <row r="118" spans="1:16">
      <c r="A118" s="25" t="str">
        <v>人车交互</v>
      </c>
      <c r="B118" s="25" t="str">
        <v>外后视镜</v>
      </c>
      <c r="C118" s="25" t="str">
        <v>外后视镜加热</v>
      </c>
      <c r="D118" s="25" t="str">
        <v>outer_mirror_heat_switch</v>
      </c>
      <c r="E118" s="25">
        <f>B118&amp;C118</f>
      </c>
      <c r="F118" s="25" t="str">
        <v>用户点击切换外后视镜加热状态，仅变化时记录</v>
      </c>
      <c r="G118" s="25" t="str">
        <v>operation</v>
      </c>
      <c r="H118" s="25" t="str">
        <v>打开 / 关闭</v>
      </c>
      <c r="I118" s="25" t="str">
        <v>用户 {operation} 了外后视镜加热</v>
      </c>
      <c r="J118" s="25" t="str">
        <v>用户 23312 打开了外后视镜加热</v>
      </c>
      <c r="M118" s="3" t="str">
        <v>P0</v>
      </c>
      <c r="N118" s="3" t="str">
        <v>V1</v>
      </c>
      <c r="O118" s="94">
        <v>46188</v>
      </c>
      <c r="P118" s="3" t="str">
        <v>用户后面添加对应UserId，可以通过他找到对应的用户信息</v>
      </c>
    </row>
    <row r="119" spans="1:16">
      <c r="A119" s="25" t="str">
        <v>人车交互</v>
      </c>
      <c r="B119" s="25" t="str">
        <v>外后视镜</v>
      </c>
      <c r="C119" s="25" t="str">
        <v>智能后视</v>
      </c>
      <c r="D119" s="25" t="str">
        <v>outer_mirror_smart_rearview</v>
      </c>
      <c r="E119" s="25">
        <f>B119&amp;C119</f>
      </c>
      <c r="F119" s="25" t="str">
        <v>用户点击切换智能后视状态，仅变化时记录</v>
      </c>
      <c r="G119" s="25" t="str">
        <v>operation</v>
      </c>
      <c r="H119" s="25" t="str">
        <v>打开 / 关闭</v>
      </c>
      <c r="I119" s="25" t="str">
        <v>用户 {operation} 了智能后视</v>
      </c>
      <c r="J119" s="25" t="str">
        <v>用户 23312 操作打开了智能后视</v>
      </c>
      <c r="M119" s="3" t="str">
        <v>P0</v>
      </c>
      <c r="N119" s="3" t="str">
        <v>V1</v>
      </c>
      <c r="O119" s="94">
        <v>46188</v>
      </c>
      <c r="P119" s="3" t="str">
        <v>用户后面添加对应UserId，可以通过他找到对应的用户信息</v>
      </c>
    </row>
    <row r="120" spans="1:16">
      <c r="A120" s="25" t="str">
        <v>人车交互</v>
      </c>
      <c r="B120" s="25" t="str">
        <v>外后视镜</v>
      </c>
      <c r="C120" s="25" t="str">
        <v>后视镜倒车自动下翻</v>
      </c>
      <c r="D120" s="25" t="str">
        <v>outer_mirror_rev_auto_tilt</v>
      </c>
      <c r="E120" s="25">
        <f>B120&amp;C120</f>
      </c>
      <c r="F120" s="25" t="str">
        <v>用户点击切换后视镜倒车自动下翻状态，仅变化时记录</v>
      </c>
      <c r="G120" s="25" t="str">
        <v>operation</v>
      </c>
      <c r="H120" s="25" t="str">
        <v>打开 / 关闭</v>
      </c>
      <c r="I120" s="25" t="str">
        <v>用户 {operation} 了后视镜倒车自动下翻</v>
      </c>
      <c r="J120" s="25" t="str">
        <v>用户 23312 打开了后视镜倒车自动下翻</v>
      </c>
      <c r="M120" s="3" t="str">
        <v>P0</v>
      </c>
      <c r="N120" s="3" t="str">
        <v>V1</v>
      </c>
      <c r="O120" s="94">
        <v>46188</v>
      </c>
      <c r="P120" s="3" t="str">
        <v>用户后面添加对应UserId，可以通过他找到对应的用户信息</v>
      </c>
    </row>
    <row r="121" spans="1:16">
      <c r="A121" s="25" t="str">
        <v>人车交互</v>
      </c>
      <c r="B121" s="25" t="str">
        <v>外后视镜</v>
      </c>
      <c r="C121" s="25" t="str">
        <v>smart fit（自适应后视镜）</v>
      </c>
      <c r="D121" s="25" t="str">
        <v>outer_mirror_smartfit_adjust</v>
      </c>
      <c r="E121" s="25">
        <f>B121&amp;C121</f>
      </c>
      <c r="F121" s="25" t="str">
        <v>用户点击切换 smart fit（自适应后视镜）状态，仅变化时记录</v>
      </c>
      <c r="G121" s="25" t="str">
        <v>operation</v>
      </c>
      <c r="H121" s="25" t="str">
        <v>打开 / 关闭</v>
      </c>
      <c r="I121" s="25" t="str">
        <v>用户 {operation} 了 smart fit（自适应后视镜）</v>
      </c>
      <c r="J121" s="25" t="str">
        <v>用户 23312 打开了 smart fit（自适应后视镜）</v>
      </c>
      <c r="M121" s="3" t="str">
        <v>P0</v>
      </c>
      <c r="N121" s="3" t="str">
        <v>V1</v>
      </c>
      <c r="O121" s="94">
        <v>46188</v>
      </c>
      <c r="P121" s="3" t="str">
        <v>用户后面添加对应UserId，可以通过他找到对应的用户信息</v>
      </c>
    </row>
    <row r="122" spans="1:16">
      <c r="A122" s="25" t="str">
        <v>人车交互</v>
      </c>
      <c r="B122" s="25" t="str">
        <v>前雨刮</v>
      </c>
      <c r="C122" s="25" t="str">
        <v>雨刮灵敏度调节</v>
      </c>
      <c r="D122" s="25" t="str">
        <v>front_wiper_sens_abs_adjust</v>
      </c>
      <c r="E122" s="25">
        <f>B122&amp;C122</f>
      </c>
      <c r="F122" s="25" t="str">
        <v>用户点击切换雨刮灵敏度调节状态，仅变化时记录</v>
      </c>
      <c r="G122" s="25" t="str">
        <v>operation</v>
      </c>
      <c r="H122" s="25" t="str">
        <v>低 / 中 / 高（1/2/3 挡位）</v>
      </c>
      <c r="I122" s="25" t="str">
        <v>用户将雨刮灵敏度调节 - 绝对值调节 {operation}</v>
      </c>
      <c r="J122" s="25" t="str">
        <v>用户 23312 将雨刮灵敏度调节 - 绝对值调节低</v>
      </c>
      <c r="M122" s="3" t="str">
        <v>P0</v>
      </c>
      <c r="N122" s="3" t="str">
        <v>V1</v>
      </c>
      <c r="O122" s="94">
        <v>46188</v>
      </c>
      <c r="P122" s="3" t="str">
        <v>用户后面添加对应UserId，可以通过他找到对应的用户信息</v>
      </c>
    </row>
    <row r="123" spans="1:16">
      <c r="A123" s="25" t="str">
        <v>人车交互</v>
      </c>
      <c r="B123" s="25" t="str">
        <v>前雨刮</v>
      </c>
      <c r="C123" s="25" t="str">
        <v>雨刮维修模式</v>
      </c>
      <c r="D123" s="25" t="str">
        <v>front_wiper_service_mode</v>
      </c>
      <c r="E123" s="25">
        <f>B123&amp;C123</f>
      </c>
      <c r="F123" s="25" t="str">
        <v>用户点击切换雨刮维修模式状态，仅变化时记录</v>
      </c>
      <c r="G123" s="25" t="str">
        <v>operation</v>
      </c>
      <c r="H123" s="25" t="str">
        <v>打开 / 关闭</v>
      </c>
      <c r="I123" s="25" t="str">
        <v>用户 {operation} 了雨刮维修模式</v>
      </c>
      <c r="J123" s="25" t="str">
        <v>用户 23312 打开了雨刮维修模式</v>
      </c>
      <c r="M123" s="3" t="str">
        <v>P0</v>
      </c>
      <c r="N123" s="3" t="str">
        <v>V1</v>
      </c>
      <c r="O123" s="94">
        <v>46188</v>
      </c>
      <c r="P123" s="3" t="str">
        <v>用户后面添加对应UserId，可以通过他找到对应的用户信息</v>
      </c>
    </row>
    <row r="124" spans="1:16">
      <c r="A124" s="25" t="str">
        <v>人车交互</v>
      </c>
      <c r="B124" s="25" t="str">
        <v>车窗</v>
      </c>
      <c r="C124" s="25" t="str">
        <v>车窗开闭调节</v>
      </c>
      <c r="D124" s="25" t="str">
        <v>car_window_open_close_adj</v>
      </c>
      <c r="E124" s="25">
        <f>B124&amp;C124</f>
      </c>
      <c r="F124" s="25" t="str">
        <v>用户点击切换车窗开闭调节状态，仅变化时记录</v>
      </c>
      <c r="G124" s="25" t="str">
        <v>operation</v>
      </c>
      <c r="H124" s="25" t="str">
        <v>打开 / 关闭</v>
      </c>
      <c r="I124" s="25" t="str">
        <v>用户将{position}车窗{operation},当前开度{level}</v>
      </c>
      <c r="J124" s="25" t="str">
        <v>1. 用户 23312 将主驾车窗打开，当前开度 50%
2. 用户 23312 将主驾车窗关闭，当前开度 0%</v>
      </c>
      <c r="M124" s="3" t="str">
        <v>P0</v>
      </c>
      <c r="N124" s="3" t="str">
        <v>V1</v>
      </c>
      <c r="O124" s="94">
        <v>46188</v>
      </c>
      <c r="P124" s="3" t="str">
        <v>用户后面添加对应UserId，可以通过他找到对应的用户信息</v>
      </c>
    </row>
    <row r="125" spans="7:16">
      <c r="G125" s="25" t="str">
        <v>position</v>
      </c>
      <c r="H125" s="25" t="str">
        <v>主驾 / 副驾 / 后排左 / 后排右 / 全车</v>
      </c>
      <c r="I125" s="25"/>
      <c r="J125" s="25"/>
      <c r="M125" s="3" t="str">
        <v>P0</v>
      </c>
      <c r="N125" s="3" t="str">
        <v>V1</v>
      </c>
      <c r="O125" s="94">
        <v>46188</v>
      </c>
      <c r="P125" s="3" t="str">
        <v>用户后面添加对应UserId，可以通过他找到对应的用户信息</v>
      </c>
    </row>
    <row r="126" spans="7:16">
      <c r="G126" s="25" t="str">
        <v>level</v>
      </c>
      <c r="H126" s="25" t="str">
        <v>开度:0-100%</v>
      </c>
      <c r="I126" s="25"/>
      <c r="J126" s="25"/>
      <c r="M126" s="3" t="str">
        <v>P0</v>
      </c>
      <c r="N126" s="3" t="str">
        <v>V1</v>
      </c>
      <c r="O126" s="94">
        <v>46188</v>
      </c>
      <c r="P126" s="3" t="str">
        <v>用户后面添加对应UserId，可以通过他找到对应的用户信息</v>
      </c>
    </row>
    <row r="127" spans="1:16">
      <c r="A127" s="25" t="str">
        <v>人车交互</v>
      </c>
      <c r="B127" s="25" t="str">
        <v>遮阳帘</v>
      </c>
      <c r="C127" s="25" t="str">
        <v>遮阳帘控制</v>
      </c>
      <c r="D127" s="25" t="str">
        <v>sunshade_main_ctrl</v>
      </c>
      <c r="E127" s="25">
        <f>B127&amp;C127</f>
      </c>
      <c r="F127" s="25" t="str">
        <v>用户点击切换遮阳帘控制状态，仅变化时记录</v>
      </c>
      <c r="G127" s="25" t="str">
        <v>operation</v>
      </c>
      <c r="H127" s="25" t="str">
        <v>打开 / 关闭 / 暂停</v>
      </c>
      <c r="I127" s="25" t="str">
        <v>用户 {operation} 了遮阳帘</v>
      </c>
      <c r="J127" s="25" t="str">
        <v>1. 用户 23312 打开了遮阳帘
2. 用户 23312 暂停了遮阳帘</v>
      </c>
      <c r="M127" s="3" t="str">
        <v>P0</v>
      </c>
      <c r="N127" s="3" t="str">
        <v>V1</v>
      </c>
      <c r="O127" s="94">
        <v>46188</v>
      </c>
      <c r="P127" s="3" t="str">
        <v>用户后面添加对应UserId，可以通过他找到对应的用户信息</v>
      </c>
    </row>
    <row r="128" spans="1:16">
      <c r="A128" s="25" t="str">
        <v>人车交互</v>
      </c>
      <c r="B128" s="25" t="str">
        <v>四门三盖</v>
      </c>
      <c r="C128" s="25" t="str">
        <v>主驾解锁保护</v>
      </c>
      <c r="D128" s="25" t="str">
        <v>sunshade_driver_lock_protect</v>
      </c>
      <c r="E128" s="25">
        <f>B128&amp;C128</f>
      </c>
      <c r="F128" s="25" t="str">
        <v>用户点击切换主驾解锁保护状态，仅变化时记录</v>
      </c>
      <c r="G128" s="25" t="str">
        <v>operation</v>
      </c>
      <c r="H128" s="25" t="str">
        <v>打开 / 关闭</v>
      </c>
      <c r="I128" s="25" t="str">
        <v>用户 {operation} 了主驾解锁保护</v>
      </c>
      <c r="J128" s="25" t="str">
        <v>用户 23312 打开了主驾解锁保护</v>
      </c>
      <c r="M128" s="3" t="str">
        <v>P0</v>
      </c>
      <c r="N128" s="3" t="str">
        <v>V1</v>
      </c>
      <c r="O128" s="94">
        <v>46188</v>
      </c>
      <c r="P128" s="3" t="str">
        <v>用户后面添加对应UserId，可以通过他找到对应的用户信息</v>
      </c>
    </row>
    <row r="129" spans="1:16">
      <c r="A129" s="25" t="str">
        <v>人车交互</v>
      </c>
      <c r="B129" s="25" t="str">
        <v>四门三盖</v>
      </c>
      <c r="C129" s="25" t="str">
        <v>近车自动解锁</v>
      </c>
      <c r="D129" s="25" t="str">
        <v>sunshade_nearcar_auto_unlock</v>
      </c>
      <c r="E129" s="25">
        <f>B129&amp;C129</f>
      </c>
      <c r="F129" s="25" t="str">
        <v>用户点击切换近车自动解锁状态，仅变化时记录</v>
      </c>
      <c r="G129" s="25" t="str">
        <v>operation</v>
      </c>
      <c r="H129" s="25" t="str">
        <v>打开 / 关闭</v>
      </c>
      <c r="I129" s="25" t="str">
        <v>用户 {operation} 了近车自动解锁</v>
      </c>
      <c r="J129" s="25" t="str">
        <v>用户 23312 打开了近车自动解锁</v>
      </c>
      <c r="M129" s="3" t="str">
        <v>P0</v>
      </c>
      <c r="N129" s="3" t="str">
        <v>V1</v>
      </c>
      <c r="O129" s="94">
        <v>46188</v>
      </c>
      <c r="P129" s="3" t="str">
        <v>用户后面添加对应UserId，可以通过他找到对应的用户信息</v>
      </c>
    </row>
    <row r="130" spans="1:16">
      <c r="A130" s="25" t="str">
        <v>人车交互</v>
      </c>
      <c r="B130" s="25" t="str">
        <v>四门三盖</v>
      </c>
      <c r="C130" s="25" t="str">
        <v>离车自动闭锁</v>
      </c>
      <c r="D130" s="25" t="str">
        <v>sunshade_leavecar_auto_lock</v>
      </c>
      <c r="E130" s="25">
        <f>B130&amp;C130</f>
      </c>
      <c r="F130" s="25" t="str">
        <v>用户点击切换离车自动闭锁状态，仅变化时记录</v>
      </c>
      <c r="G130" s="25" t="str">
        <v>operation</v>
      </c>
      <c r="H130" s="25" t="str">
        <v>打开 / 关闭</v>
      </c>
      <c r="I130" s="25" t="str">
        <v>用户 {operation} 了离车自动闭锁</v>
      </c>
      <c r="J130" s="25" t="str">
        <v>用户 23312 打开了离车自动闭锁</v>
      </c>
      <c r="M130" s="3" t="str">
        <v>P0</v>
      </c>
      <c r="N130" s="3" t="str">
        <v>V1</v>
      </c>
      <c r="O130" s="94">
        <v>46188</v>
      </c>
      <c r="P130" s="3" t="str">
        <v>用户后面添加对应UserId，可以通过他找到对应的用户信息</v>
      </c>
    </row>
    <row r="131" spans="1:16">
      <c r="A131" s="25" t="str">
        <v>人车交互</v>
      </c>
      <c r="B131" s="25" t="str">
        <v>四门三盖</v>
      </c>
      <c r="C131" s="25" t="str">
        <v>闭锁自动关闭遮阳帘</v>
      </c>
      <c r="D131" s="25" t="str">
        <v>sunshade_lock_auto_close</v>
      </c>
      <c r="E131" s="25">
        <f>B131&amp;C131</f>
      </c>
      <c r="F131" s="25" t="str">
        <v>用户点击切换闭锁自动关闭遮阳帘状态，仅变化时记录</v>
      </c>
      <c r="G131" s="25" t="str">
        <v>operation</v>
      </c>
      <c r="H131" s="25" t="str">
        <v>打开 / 关闭</v>
      </c>
      <c r="I131" s="25" t="str">
        <v>用户 {operation} 了闭锁自动关闭遮阳帘</v>
      </c>
      <c r="J131" s="25" t="str">
        <v>用户 23312 打开了闭锁自动关闭遮阳帘</v>
      </c>
      <c r="M131" s="3" t="str">
        <v>P0</v>
      </c>
      <c r="N131" s="3" t="str">
        <v>V1</v>
      </c>
      <c r="O131" s="94">
        <v>46188</v>
      </c>
      <c r="P131" s="3" t="str">
        <v>用户后面添加对应UserId，可以通过他找到对应的用户信息</v>
      </c>
    </row>
    <row r="132" spans="1:16">
      <c r="A132" s="25" t="str">
        <v>人车交互</v>
      </c>
      <c r="B132" s="25" t="str">
        <v>四门三盖</v>
      </c>
      <c r="C132" s="25" t="str">
        <v>闭锁自动关窗</v>
      </c>
      <c r="D132" s="25" t="str">
        <v>sunshade_lock_auto_close_win</v>
      </c>
      <c r="E132" s="25">
        <f>B132&amp;C132</f>
      </c>
      <c r="F132" s="25" t="str">
        <v>用户点击切换闭锁自动关窗状态，仅变化时记录</v>
      </c>
      <c r="G132" s="25" t="str">
        <v>operation</v>
      </c>
      <c r="H132" s="25" t="str">
        <v>打开 / 关闭</v>
      </c>
      <c r="I132" s="25" t="str">
        <v>用户 {operation} 了闭锁自动关窗</v>
      </c>
      <c r="J132" s="25" t="str">
        <v>用户 23312 打开了闭锁自动关窗</v>
      </c>
      <c r="M132" s="3" t="str">
        <v>P0</v>
      </c>
      <c r="N132" s="3" t="str">
        <v>V1</v>
      </c>
      <c r="O132" s="94">
        <v>46188</v>
      </c>
      <c r="P132" s="3" t="str">
        <v>用户后面添加对应UserId，可以通过他找到对应的用户信息</v>
      </c>
    </row>
    <row r="133" spans="1:16">
      <c r="A133" s="25" t="str">
        <v>人车交互</v>
      </c>
      <c r="B133" s="25" t="str">
        <v>四门三盖</v>
      </c>
      <c r="C133" s="25" t="str">
        <v>儿童锁开闭</v>
      </c>
      <c r="D133" s="25" t="str">
        <v>sunshade_child_lock_ctrl</v>
      </c>
      <c r="E133" s="25">
        <f>B133&amp;C133</f>
      </c>
      <c r="F133" s="25" t="str">
        <v>用户点击切换儿童锁开闭状态，仅变化时记录</v>
      </c>
      <c r="G133" s="25" t="str">
        <v>operation</v>
      </c>
      <c r="H133" s="25" t="str">
        <v>左后门 / 右后门 / 左后窗 / 右后窗 / 全部打开 / 关闭</v>
      </c>
      <c r="I133" s="25" t="str">
        <v>用户 {operation} 了儿童锁开闭</v>
      </c>
      <c r="J133" s="25" t="str">
        <v>用户 23312 左后门了儿童锁开闭</v>
      </c>
      <c r="M133" s="3" t="str">
        <v>P0</v>
      </c>
      <c r="N133" s="3" t="str">
        <v>V1</v>
      </c>
      <c r="O133" s="94">
        <v>46188</v>
      </c>
      <c r="P133" s="3" t="str">
        <v>用户后面添加对应UserId，可以通过他找到对应的用户信息</v>
      </c>
    </row>
    <row r="134" spans="1:16">
      <c r="A134" s="25" t="str">
        <v>人车交互</v>
      </c>
      <c r="B134" s="25" t="str">
        <v>四门三盖</v>
      </c>
      <c r="C134" s="25" t="str">
        <v>电动门开闭电动门控制</v>
      </c>
      <c r="D134" s="25" t="str">
        <v>four_door_cover_electric_door_ctrl</v>
      </c>
      <c r="E134" s="25">
        <f>B134&amp;C134</f>
      </c>
      <c r="F134" s="25" t="str">
        <v>用户点击切换电动门开闭电动门控制状态，仅变化时记录</v>
      </c>
      <c r="G134" s="25" t="str">
        <v>operation</v>
      </c>
      <c r="H134" s="25" t="str">
        <v>打开 / 关闭 / 暂停</v>
      </c>
      <c r="I134" s="25" t="str">
        <v>用户 {operation} 了{position}的电动门开闭电动门控制</v>
      </c>
      <c r="J134" s="25" t="str">
        <v>用户 23312 打开了主驾的电动门开闭电动门控制</v>
      </c>
      <c r="M134" s="3" t="str">
        <v>P0</v>
      </c>
      <c r="N134" s="3" t="str">
        <v>V1</v>
      </c>
      <c r="O134" s="94">
        <v>46188</v>
      </c>
      <c r="P134" s="3" t="str">
        <v>用户后面添加对应UserId，可以通过他找到对应的用户信息</v>
      </c>
    </row>
    <row r="135" spans="7:16">
      <c r="G135" s="25" t="str">
        <v>position</v>
      </c>
      <c r="H135" s="25" t="str">
        <v>主驾 / 副驾 / 后排左 / 后排右 / 全车</v>
      </c>
      <c r="I135" s="25"/>
      <c r="J135" s="25"/>
      <c r="M135" s="3" t="str">
        <v>P0</v>
      </c>
      <c r="N135" s="3" t="str">
        <v>V1</v>
      </c>
      <c r="O135" s="94">
        <v>46188</v>
      </c>
      <c r="P135" s="3" t="str">
        <v>用户后面添加对应UserId，可以通过他找到对应的用户信息</v>
      </c>
    </row>
    <row r="136" spans="1:16">
      <c r="A136" s="25" t="str">
        <v>人车交互</v>
      </c>
      <c r="B136" s="25" t="str">
        <v>四门三盖</v>
      </c>
      <c r="C136" s="25" t="str">
        <v>全车设为电动门开关</v>
      </c>
      <c r="D136" s="25" t="str">
        <v>four_door_cover_all_electric_switch</v>
      </c>
      <c r="E136" s="25">
        <f>B136&amp;C136</f>
      </c>
      <c r="F136" s="25" t="str">
        <v>用户点击切换全车设为电动门开关状态，仅变化时记录</v>
      </c>
      <c r="G136" s="25" t="str">
        <v>operation</v>
      </c>
      <c r="H136" s="25" t="str">
        <v>打开 / 关闭</v>
      </c>
      <c r="I136" s="25" t="str">
        <v>用户 {operation} 了全车设为电动门开关</v>
      </c>
      <c r="J136" s="25" t="str">
        <v>用户 23312 打开了全车设为电动门开关</v>
      </c>
      <c r="M136" s="3" t="str">
        <v>P0</v>
      </c>
      <c r="N136" s="3" t="str">
        <v>V1</v>
      </c>
      <c r="O136" s="94">
        <v>46188</v>
      </c>
      <c r="P136" s="3" t="str">
        <v>用户后面添加对应UserId，可以通过他找到对应的用户信息</v>
      </c>
    </row>
    <row r="137" spans="1:16">
      <c r="A137" s="25" t="str">
        <v>人车交互</v>
      </c>
      <c r="B137" s="25" t="str">
        <v>四门三盖</v>
      </c>
      <c r="C137" s="25" t="str">
        <v>充电口盖开闭</v>
      </c>
      <c r="D137" s="25" t="str">
        <v>four_door_cover_charge_cap_ctrl</v>
      </c>
      <c r="E137" s="25">
        <f>B137&amp;C137</f>
      </c>
      <c r="F137" s="25" t="str">
        <v>用户点击切换充电口盖开闭状态，仅变化时记录</v>
      </c>
      <c r="G137" s="25" t="str">
        <v>operation</v>
      </c>
      <c r="H137" s="25" t="str">
        <v>打开 / 关闭</v>
      </c>
      <c r="I137" s="25" t="str">
        <v>用户 {operation} 了充电口盖开闭</v>
      </c>
      <c r="J137" s="25" t="str">
        <v>用户 23312 打开了充电口盖开闭</v>
      </c>
      <c r="M137" s="3" t="str">
        <v>P0</v>
      </c>
      <c r="N137" s="3" t="str">
        <v>V1</v>
      </c>
      <c r="O137" s="94">
        <v>46188</v>
      </c>
      <c r="P137" s="3" t="str">
        <v>用户后面添加对应UserId，可以通过他找到对应的用户信息</v>
      </c>
    </row>
    <row r="138" spans="1:16">
      <c r="A138" s="25" t="str">
        <v>人车交互</v>
      </c>
      <c r="B138" s="25" t="str">
        <v>四门三盖</v>
      </c>
      <c r="C138" s="25" t="str">
        <v>前备箱开闭</v>
      </c>
      <c r="D138" s="25" t="str">
        <v>four_door_cover_front_trunk_ctrl</v>
      </c>
      <c r="E138" s="25">
        <f>B138&amp;C138</f>
      </c>
      <c r="F138" s="25" t="str">
        <v>用户点击切换前备箱开闭状态，仅变化时记录</v>
      </c>
      <c r="G138" s="25" t="str">
        <v>operation</v>
      </c>
      <c r="H138" s="25" t="str">
        <v>打开 / 关闭</v>
      </c>
      <c r="I138" s="25" t="str">
        <v>用户 {operation} 了前备箱开闭</v>
      </c>
      <c r="J138" s="25" t="str">
        <v>用户 23312 打开了前备箱开闭</v>
      </c>
      <c r="M138" s="3" t="str">
        <v>P0</v>
      </c>
      <c r="N138" s="3" t="str">
        <v>V1</v>
      </c>
      <c r="O138" s="94">
        <v>46188</v>
      </c>
      <c r="P138" s="3" t="str">
        <v>用户后面添加对应UserId，可以通过他找到对应的用户信息</v>
      </c>
    </row>
    <row r="139" spans="1:16">
      <c r="A139" s="25" t="str">
        <v>人车交互</v>
      </c>
      <c r="B139" s="25" t="str">
        <v>四门三盖</v>
      </c>
      <c r="C139" s="25" t="str">
        <v>后备箱开闭</v>
      </c>
      <c r="D139" s="25" t="str">
        <v>four_door_cover_rear_trunk_ctrl</v>
      </c>
      <c r="E139" s="25">
        <f>B139&amp;C139</f>
      </c>
      <c r="F139" s="25" t="str">
        <v>用户点击切换后备箱开闭状态，仅变化时记录</v>
      </c>
      <c r="G139" s="25" t="str">
        <v>operation</v>
      </c>
      <c r="H139" s="25" t="str">
        <v>打开 / 关闭</v>
      </c>
      <c r="I139" s="25" t="str">
        <v>用户 {operation} 了后备箱开闭</v>
      </c>
      <c r="J139" s="25" t="str">
        <v>用户 23312 打开了后备箱开闭</v>
      </c>
      <c r="M139" s="3" t="str">
        <v>P0</v>
      </c>
      <c r="N139" s="3" t="str">
        <v>V1</v>
      </c>
      <c r="O139" s="94">
        <v>46188</v>
      </c>
      <c r="P139" s="3" t="str">
        <v>用户后面添加对应UserId，可以通过他找到对应的用户信息</v>
      </c>
    </row>
    <row r="140" spans="1:16">
      <c r="A140" s="17" t="str">
        <v>人车交互</v>
      </c>
      <c r="B140" s="17" t="str">
        <v>电动尾翼</v>
      </c>
      <c r="C140" s="17" t="str">
        <v>尾翼开闭</v>
      </c>
      <c r="D140" s="17" t="str">
        <v>elec_spoiler_open_close</v>
      </c>
      <c r="E140" s="25">
        <f>B140&amp;C140</f>
      </c>
      <c r="F140" s="17" t="str">
        <v>用户点击切换尾翼开闭状态，仅变化时记录</v>
      </c>
      <c r="G140" s="17" t="str">
        <v>operation</v>
      </c>
      <c r="H140" s="17" t="str">
        <v>展开 / 收起</v>
      </c>
      <c r="I140" s="17" t="str">
        <v>用户 {operation} 了尾翼开闭</v>
      </c>
      <c r="J140" s="25" t="str">
        <v>用户 23312 展开了尾翼开闭</v>
      </c>
      <c r="M140" s="3" t="str">
        <v>P0</v>
      </c>
      <c r="N140" s="3" t="str">
        <v>V1</v>
      </c>
      <c r="O140" s="94">
        <v>46188</v>
      </c>
      <c r="P140" s="3" t="str">
        <v>用户后面添加对应UserId，可以通过他找到对应的用户信息</v>
      </c>
    </row>
    <row r="141" spans="1:16">
      <c r="A141" s="25" t="str">
        <v>人车交互</v>
      </c>
      <c r="B141" s="25" t="str">
        <v>电动尾翼</v>
      </c>
      <c r="C141" s="25" t="str">
        <v>尾翼自动升降设置</v>
      </c>
      <c r="D141" s="25" t="str">
        <v>elec_spoiler_auto_lift_cfg</v>
      </c>
      <c r="E141" s="25">
        <f>B141&amp;C141</f>
      </c>
      <c r="F141" s="25" t="str">
        <v>用户点击切换尾翼自动升降设置状态，仅变化时记录</v>
      </c>
      <c r="G141" s="25" t="str">
        <v>operation</v>
      </c>
      <c r="H141" s="25" t="str">
        <v>打开 / 关闭</v>
      </c>
      <c r="I141" s="25" t="str">
        <v>用户 {operation} 了尾翼自动升降设置</v>
      </c>
      <c r="J141" s="25" t="str">
        <v>用户 23312 打开了尾翼自动升降设置</v>
      </c>
      <c r="M141" s="3" t="str">
        <v>P0</v>
      </c>
      <c r="N141" s="3" t="str">
        <v>V1</v>
      </c>
      <c r="O141" s="94">
        <v>46188</v>
      </c>
      <c r="P141" s="3" t="str">
        <v>用户后面添加对应UserId，可以通过他找到对应的用户信息</v>
      </c>
    </row>
    <row r="142" spans="1:16">
      <c r="A142" s="25" t="str">
        <v>人车交互</v>
      </c>
      <c r="B142" s="25" t="str">
        <v>电动尾翼</v>
      </c>
      <c r="C142" s="25" t="str">
        <v>模式设置</v>
      </c>
      <c r="D142" s="25" t="str">
        <v>elec_spoiler_speed_mode_cfg</v>
      </c>
      <c r="E142" s="25">
        <f>B142&amp;C142</f>
      </c>
      <c r="F142" s="25" t="str">
        <v>用户点击切换电动尾翼模式设置状态，仅变化时记录</v>
      </c>
      <c r="G142" s="25" t="str">
        <v>mode</v>
      </c>
      <c r="H142" s="25" t="str">
        <v>自动模式 / 低 / 中 / 高</v>
      </c>
      <c r="I142" s="25" t="str">
        <v>用户尾翼模式设置{mode}</v>
      </c>
      <c r="J142" s="25" t="str">
        <v>用户 23312 尾翼模式设置自动模式</v>
      </c>
      <c r="M142" s="3" t="str">
        <v>P0</v>
      </c>
      <c r="N142" s="3" t="str">
        <v>V1</v>
      </c>
      <c r="O142" s="94">
        <v>46188</v>
      </c>
      <c r="P142" s="3" t="str">
        <v>用户后面添加对应UserId，可以通过他找到对应的用户信息</v>
      </c>
    </row>
    <row r="143" spans="1:16">
      <c r="A143" s="25" t="str">
        <v>人车交互</v>
      </c>
      <c r="B143" s="25" t="str">
        <v>电动尾翼</v>
      </c>
      <c r="C143" s="25" t="str">
        <v>手动高度调节</v>
      </c>
      <c r="D143" s="25" t="str">
        <v>elec_spoiler_man_abs_h_adjust</v>
      </c>
      <c r="E143" s="25">
        <f>B143&amp;C143</f>
      </c>
      <c r="F143" s="25" t="str">
        <v>用户点击切换电动尾翼手动高度调节状态，仅变化时记录</v>
      </c>
      <c r="G143" s="25" t="str">
        <v>operation</v>
      </c>
      <c r="H143" s="25" t="str">
        <v>低 / 中 / 高</v>
      </c>
      <c r="I143" s="25" t="str">
        <v>用户尾翼手动高度调节到{operation}</v>
      </c>
      <c r="J143" s="25" t="str">
        <v>用户 23312 尾翼手动高度调节到高</v>
      </c>
      <c r="M143" s="3" t="str">
        <v>P0</v>
      </c>
      <c r="N143" s="3" t="str">
        <v>V1</v>
      </c>
      <c r="O143" s="94">
        <v>46188</v>
      </c>
      <c r="P143" s="3" t="str">
        <v>用户后面添加对应UserId，可以通过他找到对应的用户信息</v>
      </c>
    </row>
    <row r="144" spans="1:16">
      <c r="A144" s="17" t="str">
        <v>人车交互</v>
      </c>
      <c r="B144" s="17" t="str">
        <v>ETC</v>
      </c>
      <c r="C144" s="17" t="str">
        <v>ETC 控制</v>
      </c>
      <c r="D144" s="17" t="str">
        <v>etc_device_ctrl</v>
      </c>
      <c r="E144" s="25">
        <f>B144&amp;C144</f>
      </c>
      <c r="F144" s="17" t="str">
        <v>用户点击切换 ETC 控制状态，仅变化时记录</v>
      </c>
      <c r="G144" s="17" t="str">
        <v>operation</v>
      </c>
      <c r="H144" s="25" t="str">
        <v>打开 / 关闭</v>
      </c>
      <c r="I144" s="17" t="str">
        <v>用户 {operation} 了 ETC 控制</v>
      </c>
      <c r="J144" s="25" t="str">
        <v>用户 23312 打开了 ETC 控制</v>
      </c>
      <c r="M144" s="3" t="str">
        <v>P0</v>
      </c>
      <c r="N144" s="3" t="str">
        <v>V1</v>
      </c>
      <c r="O144" s="94">
        <v>46188</v>
      </c>
      <c r="P144" s="3" t="str">
        <v>用户后面添加对应UserId，可以通过他找到对应的用户信息</v>
      </c>
    </row>
    <row r="145" spans="1:16">
      <c r="A145" s="25" t="str">
        <v>人车交互</v>
      </c>
      <c r="B145" s="25" t="str">
        <v>流媒体后视镜</v>
      </c>
      <c r="C145" s="25" t="str">
        <v>开关</v>
      </c>
      <c r="D145" s="25" t="str">
        <v>stream_rearview_switch</v>
      </c>
      <c r="E145" s="25">
        <f>B145&amp;C145</f>
      </c>
      <c r="F145" s="25" t="str">
        <v>用户点击切换流媒体后视镜开关状态，仅变化时记录</v>
      </c>
      <c r="G145" s="25" t="str">
        <v>operation</v>
      </c>
      <c r="H145" s="25" t="str">
        <v>打开 / 关闭</v>
      </c>
      <c r="I145" s="25" t="str">
        <v>用户 {operation} 了流媒体后视镜开关</v>
      </c>
      <c r="J145" s="25" t="str">
        <v>用户 23312 打开了流媒体后视镜开关</v>
      </c>
      <c r="M145" s="3" t="str">
        <v>P0</v>
      </c>
      <c r="N145" s="3" t="str">
        <v>V1</v>
      </c>
      <c r="O145" s="94">
        <v>46188</v>
      </c>
      <c r="P145" s="3" t="str">
        <v>用户后面添加对应UserId，可以通过他找到对应的用户信息</v>
      </c>
    </row>
    <row r="146" spans="1:16">
      <c r="A146" s="25" t="str">
        <v>人车交互</v>
      </c>
      <c r="B146" s="25" t="str">
        <v>流媒体后视镜</v>
      </c>
      <c r="C146" s="25" t="str">
        <v>亮度调节</v>
      </c>
      <c r="D146" s="25" t="str">
        <v>stream_rearview_bright_adjust</v>
      </c>
      <c r="E146" s="25">
        <f>B146&amp;C146</f>
      </c>
      <c r="F146" s="25" t="str">
        <v>用户点击切换流媒体后视镜亮度调节状态，仅变化时记录</v>
      </c>
      <c r="G146" s="25" t="str">
        <v>level</v>
      </c>
      <c r="H146" s="25" t="str">
        <v>10 挡亮度调节（1 挡 - 10 挡）</v>
      </c>
      <c r="I146" s="25" t="str">
        <v>用户将流媒体后视镜亮度调节成{level}</v>
      </c>
      <c r="J146" s="25" t="str">
        <v>用户 23312 将流媒体后视镜亮度调节成 3 档</v>
      </c>
      <c r="M146" s="3" t="str">
        <v>P0</v>
      </c>
      <c r="N146" s="3" t="str">
        <v>V1</v>
      </c>
      <c r="O146" s="94">
        <v>46188</v>
      </c>
      <c r="P146" s="3" t="str">
        <v>用户后面添加对应UserId，可以通过他找到对应的用户信息</v>
      </c>
    </row>
    <row r="147" spans="1:16">
      <c r="A147" s="25" t="str">
        <v>人车交互</v>
      </c>
      <c r="B147" s="25" t="str">
        <v>流媒体后视镜</v>
      </c>
      <c r="C147" s="25" t="str">
        <v>垂直视野调节</v>
      </c>
      <c r="D147" s="25" t="str">
        <v>stream_rearview_vert_view_adjust</v>
      </c>
      <c r="E147" s="25">
        <f>B147&amp;C147</f>
      </c>
      <c r="F147" s="25" t="str">
        <v>用户点击切换流媒体后视镜垂直视野调节状态，仅变化时记录</v>
      </c>
      <c r="G147" s="25" t="str">
        <v>level</v>
      </c>
      <c r="H147" s="25" t="str">
        <v>7 挡调节（1 挡 - 7 挡）</v>
      </c>
      <c r="I147" s="25" t="str">
        <v>用户将流媒体后视镜垂直视野调节成{level}</v>
      </c>
      <c r="J147" s="25" t="str">
        <v>用户 23312 将流媒体后视镜垂直视野调节成 7 挡</v>
      </c>
      <c r="M147" s="3" t="str">
        <v>P0</v>
      </c>
      <c r="N147" s="3" t="str">
        <v>V1</v>
      </c>
      <c r="O147" s="94">
        <v>46188</v>
      </c>
      <c r="P147" s="3" t="str">
        <v>用户后面添加对应UserId，可以通过他找到对应的用户信息</v>
      </c>
    </row>
    <row r="148" spans="1:16">
      <c r="A148" s="25" t="str">
        <v>人车交互</v>
      </c>
      <c r="B148" s="25" t="str">
        <v>流媒体后视镜</v>
      </c>
      <c r="C148" s="25" t="str">
        <v>视野缩放调节</v>
      </c>
      <c r="D148" s="25" t="str">
        <v>stream_rearview_zoom_view_adjust</v>
      </c>
      <c r="E148" s="25">
        <f>B148&amp;C148</f>
      </c>
      <c r="F148" s="25" t="str">
        <v>用户点击切换流媒体后视镜视野缩放调节状态，仅变化时记录</v>
      </c>
      <c r="G148" s="25" t="str">
        <v>level</v>
      </c>
      <c r="H148" s="25" t="str">
        <v>7 挡调节（1 挡 - 7 挡）</v>
      </c>
      <c r="I148" s="25" t="str">
        <v>用户将流媒体后视视野缩放调节{level}</v>
      </c>
      <c r="J148" s="25" t="str">
        <v>用户 23312 将流媒体后视视野缩放调节 5 挡</v>
      </c>
      <c r="M148" s="3" t="str">
        <v>P0</v>
      </c>
      <c r="N148" s="3" t="str">
        <v>V1</v>
      </c>
      <c r="O148" s="94">
        <v>46188</v>
      </c>
      <c r="P148" s="3" t="str">
        <v>用户后面添加对应UserId，可以通过他找到对应的用户信息</v>
      </c>
    </row>
    <row r="149" spans="1:16">
      <c r="A149" s="25" t="str">
        <v>人车交互</v>
      </c>
      <c r="B149" s="25" t="str">
        <v>香氛机</v>
      </c>
      <c r="C149" s="25" t="str">
        <v>开关</v>
      </c>
      <c r="D149" s="25" t="str">
        <v>fragrance_machine_switch</v>
      </c>
      <c r="E149" s="25">
        <f>B149&amp;C149</f>
      </c>
      <c r="F149" s="25" t="str">
        <v>用户点击切换香氛机开关状态，仅变化时记录</v>
      </c>
      <c r="G149" s="25" t="str">
        <v>operation</v>
      </c>
      <c r="H149" s="25" t="str">
        <v>打开 / 关闭</v>
      </c>
      <c r="I149" s="25" t="str">
        <v>用户 {operation} 了开关</v>
      </c>
      <c r="J149" s="25" t="str">
        <v>用户 23312 打开了香氛机开关</v>
      </c>
      <c r="M149" s="3" t="str">
        <v>P0</v>
      </c>
      <c r="N149" s="3" t="str">
        <v>V1</v>
      </c>
      <c r="O149" s="94">
        <v>46188</v>
      </c>
      <c r="P149" s="3" t="str">
        <v>用户后面添加对应UserId，可以通过他找到对应的用户信息</v>
      </c>
    </row>
    <row r="150" spans="1:16">
      <c r="A150" s="25" t="str">
        <v>人车交互</v>
      </c>
      <c r="B150" s="25" t="str">
        <v>香氛机</v>
      </c>
      <c r="C150" s="25" t="str">
        <v>定时</v>
      </c>
      <c r="D150" s="25" t="str">
        <v>fragrance_machine_timer_set</v>
      </c>
      <c r="E150" s="25">
        <f>B150&amp;C150</f>
      </c>
      <c r="F150" s="25" t="str">
        <v>用户点击切换香氛机定时状态，仅变化时记录</v>
      </c>
      <c r="G150" s="25" t="str">
        <v>time</v>
      </c>
      <c r="H150" s="25" t="str">
        <v>5min、15min、30min、持续</v>
      </c>
      <c r="I150" s="25" t="str">
        <v>用户设置香氛机定时时间{time}</v>
      </c>
      <c r="J150" s="25" t="str">
        <v>用户 23312 设置香氛机定时时间 5min</v>
      </c>
      <c r="M150" s="3" t="str">
        <v>P0</v>
      </c>
      <c r="N150" s="3" t="str">
        <v>V1</v>
      </c>
      <c r="O150" s="94">
        <v>46188</v>
      </c>
      <c r="P150" s="3" t="str">
        <v>用户后面添加对应UserId，可以通过他找到对应的用户信息</v>
      </c>
    </row>
    <row r="151" spans="1:16">
      <c r="A151" s="97" t="str">
        <v>人车交互</v>
      </c>
      <c r="B151" s="97" t="str">
        <v>香氛机</v>
      </c>
      <c r="C151" s="97" t="str">
        <v>香型</v>
      </c>
      <c r="D151" s="97" t="str">
        <v>fragrance_machine_type_sel</v>
      </c>
      <c r="E151" s="97">
        <f>B151&amp;C151</f>
      </c>
      <c r="F151" s="97" t="str">
        <v>用户点击切换香氛机香型状态，仅变化时记录</v>
      </c>
      <c r="G151" s="97" t="str">
        <v>type</v>
      </c>
      <c r="H151" s="97" t="str">
        <v>TBD</v>
      </c>
      <c r="I151" s="97" t="str">
        <v>用户选择了香氛机的香型是{type}</v>
      </c>
      <c r="J151" s="97" t="str">
        <v>用户 23312 选择了香氛机的香型是 TBD</v>
      </c>
      <c r="M151" s="98" t="str">
        <v>P0</v>
      </c>
      <c r="N151" s="98" t="str">
        <v>V1</v>
      </c>
      <c r="O151" s="99">
        <v>46188</v>
      </c>
      <c r="P151" s="98" t="str">
        <v>用户后面添加对应UserId，可以通过他找到对应的用户信息</v>
      </c>
    </row>
    <row r="152" spans="1:16">
      <c r="A152" s="25" t="str">
        <v>人车交互</v>
      </c>
      <c r="B152" s="25" t="str">
        <v>香氛机</v>
      </c>
      <c r="C152" s="25" t="str">
        <v>浓度</v>
      </c>
      <c r="D152" s="25" t="str">
        <v>fragrance_machine_density_adj</v>
      </c>
      <c r="E152" s="25">
        <f>B152&amp;C152</f>
      </c>
      <c r="F152" s="25" t="str">
        <v>用户点击切换香氛机浓度状态，仅变化时记录</v>
      </c>
      <c r="G152" s="25" t="str">
        <v>level</v>
      </c>
      <c r="H152" s="25" t="str">
        <v>1-5 档</v>
      </c>
      <c r="I152" s="25" t="str">
        <v>用户设定了香氛机浓度{level}</v>
      </c>
      <c r="J152" s="17" t="str">
        <v>用户 23312 设定了香氛机浓度 3 档</v>
      </c>
      <c r="M152" s="3" t="str">
        <v>P0</v>
      </c>
      <c r="N152" s="3" t="str">
        <v>V1</v>
      </c>
      <c r="O152" s="94">
        <v>46188</v>
      </c>
      <c r="P152" s="3" t="str">
        <v>用户后面添加对应UserId，可以通过他找到对应的用户信息</v>
      </c>
    </row>
    <row r="153" spans="1:16">
      <c r="A153" s="25" t="str">
        <v>人车交互</v>
      </c>
      <c r="B153" s="25" t="str">
        <v>底盘氛围灯</v>
      </c>
      <c r="C153" s="25" t="str">
        <v>点亮模式</v>
      </c>
      <c r="D153" s="25" t="str">
        <v>chassis_ambient_light_on_mode</v>
      </c>
      <c r="E153" s="25">
        <f>B153&amp;C153</f>
      </c>
      <c r="F153" s="25" t="str">
        <v>用户点击切换底盘氛围灯点亮模式状态，仅变化时记录</v>
      </c>
      <c r="G153" s="25" t="str">
        <v>operation</v>
      </c>
      <c r="H153" s="25" t="str">
        <v>打开 / 关闭</v>
      </c>
      <c r="I153" s="25" t="str">
        <v>用户{operation}了点亮模式，选择了{mode}</v>
      </c>
      <c r="J153" s="25" t="str">
        <v>1. 用户 23312 打开了点亮模式，选择了驻车点亮
2. 用户 23312 关闭了点亮模式</v>
      </c>
      <c r="M153" s="3" t="str">
        <v>P0</v>
      </c>
      <c r="N153" s="3" t="str">
        <v>V1</v>
      </c>
      <c r="O153" s="94">
        <v>46188</v>
      </c>
      <c r="P153" s="3" t="str">
        <v>用户后面添加对应UserId，可以通过他找到对应的用户信息</v>
      </c>
    </row>
    <row r="154" spans="7:16">
      <c r="G154" s="25" t="str">
        <v>mode</v>
      </c>
      <c r="H154" s="25" t="str">
        <v>不点亮 / 驻车点亮（限时点亮 / 持续点亮）/ 驻车时跟随近光灯点亮默认 / 限时点亮</v>
      </c>
      <c r="I154" s="25"/>
      <c r="J154" s="25"/>
      <c r="M154" s="3" t="str">
        <v>P0</v>
      </c>
      <c r="N154" s="3" t="str">
        <v>V1</v>
      </c>
      <c r="O154" s="94">
        <v>46188</v>
      </c>
      <c r="P154" s="3" t="str">
        <v>用户后面添加对应UserId，可以通过他找到对应的用户信息</v>
      </c>
    </row>
    <row r="155" spans="1:16">
      <c r="A155" s="25" t="str">
        <v>人车交互</v>
      </c>
      <c r="B155" s="25" t="str">
        <v>底盘氛围灯</v>
      </c>
      <c r="C155" s="25" t="str">
        <v>灯光颜色设置</v>
      </c>
      <c r="D155" s="25" t="str">
        <v>chassis_ambient_light_set_color</v>
      </c>
      <c r="E155" s="25">
        <f>B155&amp;C155</f>
      </c>
      <c r="F155" s="25" t="str">
        <v>用户点击切换底盘氛围灯颜色设置状态，仅变化时记录</v>
      </c>
      <c r="G155" s="25" t="str">
        <v>color</v>
      </c>
      <c r="H155" s="25" t="str">
        <v>7 种预设灯光颜色</v>
      </c>
      <c r="I155" s="25" t="str">
        <v>用户设置底盘氛围灯灯光为{color}</v>
      </c>
      <c r="J155" s="25" t="str">
        <v>用户 23312 设置底盘氛围灯灯光为红色</v>
      </c>
      <c r="M155" s="3" t="str">
        <v>P0</v>
      </c>
      <c r="N155" s="3" t="str">
        <v>V1</v>
      </c>
      <c r="O155" s="94">
        <v>46188</v>
      </c>
      <c r="P155" s="3" t="str">
        <v>用户后面添加对应UserId，可以通过他找到对应的用户信息</v>
      </c>
    </row>
    <row r="156" spans="1:16">
      <c r="A156" s="25" t="str">
        <v>人车交互</v>
      </c>
      <c r="B156" s="25" t="str">
        <v>底盘氛围灯</v>
      </c>
      <c r="C156" s="25" t="str">
        <v>氛围灯效果设置</v>
      </c>
      <c r="D156" s="25" t="str">
        <v>chassis_ambient_light_set_effect</v>
      </c>
      <c r="E156" s="25">
        <f>B156&amp;C156</f>
      </c>
      <c r="F156" s="25" t="str">
        <v>用户点击切换底盘氛围灯效果设置状态，仅变化时记录</v>
      </c>
      <c r="G156" s="25" t="str">
        <v>mode</v>
      </c>
      <c r="H156" s="25" t="str">
        <v>常亮模式、呼吸模式、流水模式、流星模式、星闪模式</v>
      </c>
      <c r="I156" s="25" t="str">
        <v>用户设置底盘氛围灯灯光为效果{mode}</v>
      </c>
      <c r="J156" s="25" t="str">
        <v>用户 23312 设置底盘氛围灯灯光为效果星闪模式</v>
      </c>
      <c r="M156" s="3" t="str">
        <v>P0</v>
      </c>
      <c r="N156" s="3" t="str">
        <v>V1</v>
      </c>
      <c r="O156" s="94">
        <v>46188</v>
      </c>
      <c r="P156" s="3" t="str">
        <v>用户后面添加对应UserId，可以通过他找到对应的用户信息</v>
      </c>
    </row>
    <row r="157" spans="1:16">
      <c r="A157" s="25" t="str">
        <v>人车交互</v>
      </c>
      <c r="B157" s="25" t="str">
        <v>车载冷暖箱</v>
      </c>
      <c r="C157" s="25" t="str">
        <v>冷暖箱电源开关</v>
      </c>
      <c r="D157" s="25" t="str">
        <v>car_refrigerator_power_switch</v>
      </c>
      <c r="E157" s="25">
        <f>B157&amp;C157</f>
      </c>
      <c r="F157" s="25" t="str">
        <v>用户点击切换冷暖箱电源开关状态，仅变化时记录</v>
      </c>
      <c r="G157" s="25" t="str">
        <v>operation</v>
      </c>
      <c r="H157" s="25" t="str">
        <v>打开 / 关闭</v>
      </c>
      <c r="I157" s="25" t="str">
        <v>用户 {operation} 了冷暖箱电源开关</v>
      </c>
      <c r="J157" s="25" t="str">
        <v>用户 23312 打开了冷暖箱电源开关</v>
      </c>
      <c r="M157" s="3" t="str">
        <v>P0</v>
      </c>
      <c r="N157" s="3" t="str">
        <v>V1</v>
      </c>
      <c r="O157" s="94">
        <v>46188</v>
      </c>
      <c r="P157" s="3" t="str">
        <v>用户后面添加对应UserId，可以通过他找到对应的用户信息</v>
      </c>
    </row>
    <row r="158" spans="1:16">
      <c r="A158" s="17" t="str">
        <v>人车交互</v>
      </c>
      <c r="B158" s="17" t="str">
        <v>车载冷暖箱</v>
      </c>
      <c r="C158" s="17" t="str">
        <v>温度设置</v>
      </c>
      <c r="D158" s="17" t="str">
        <v>car_refrigerator_temp_set</v>
      </c>
      <c r="E158" s="17">
        <f>B158&amp;C158</f>
      </c>
      <c r="F158" s="17" t="str">
        <v>用户点击切换温度设置状态，仅变化时记录</v>
      </c>
      <c r="G158" s="17" t="str">
        <v>temperature</v>
      </c>
      <c r="H158" s="17" t="str">
        <v>-6℃~15℃，调节精度 ±1℃。
30℃~50℃，调节精度 ±1℃</v>
      </c>
      <c r="I158" s="17" t="str">
        <v>用户设置冷暖箱温度为{temperature}</v>
      </c>
      <c r="J158" s="25" t="str">
        <v>用户 23312 设置冷暖箱温度为 15℃</v>
      </c>
      <c r="M158" s="3" t="str">
        <v>P0</v>
      </c>
      <c r="N158" s="3" t="str">
        <v>V1</v>
      </c>
      <c r="O158" s="94">
        <v>46188</v>
      </c>
      <c r="P158" s="3" t="str">
        <v>用户后面添加对应UserId，可以通过他找到对应的用户信息</v>
      </c>
    </row>
    <row r="159" spans="1:16">
      <c r="A159" s="25" t="str">
        <v>人车交互</v>
      </c>
      <c r="B159" s="25" t="str">
        <v>车载冷暖箱</v>
      </c>
      <c r="C159" s="25" t="str">
        <v>离车不下电时间设置</v>
      </c>
      <c r="D159" s="25" t="str">
        <v>car_refrigerator_delay_poweroff_set</v>
      </c>
      <c r="E159" s="25">
        <f>B159&amp;C159</f>
      </c>
      <c r="F159" s="25" t="str">
        <v>用户点击切换离车不下电时间设置状态，仅变化时记录</v>
      </c>
      <c r="G159" s="25" t="str">
        <v>time</v>
      </c>
      <c r="H159" s="25" t="str">
        <v>(0,1,2...23) h 和 (0,15,30,45) min 进行组合
选择时长不超过当前时间 24h</v>
      </c>
      <c r="I159" s="25" t="str">
        <v>用户设置了离车不下电时间{time}</v>
      </c>
      <c r="J159" s="25" t="str">
        <v>用户 23312 设置了离车不下电的时间 3h15min</v>
      </c>
      <c r="M159" s="3" t="str">
        <v>P0</v>
      </c>
      <c r="N159" s="3" t="str">
        <v>V1</v>
      </c>
      <c r="O159" s="94">
        <v>46188</v>
      </c>
      <c r="P159" s="3" t="str">
        <v>用户后面添加对应UserId，可以通过他找到对应的用户信息</v>
      </c>
    </row>
    <row r="160" spans="1:16">
      <c r="A160" s="25" t="str">
        <v>人车交互</v>
      </c>
      <c r="B160" s="25" t="str">
        <v>空调</v>
      </c>
      <c r="C160" s="25" t="str">
        <v>开关</v>
      </c>
      <c r="D160" s="25" t="str">
        <v>air_condition_main_switch</v>
      </c>
      <c r="E160" s="25">
        <f>B160&amp;C160</f>
      </c>
      <c r="F160" s="25" t="str">
        <v>用户点击切换空调开关状态，仅变化时记录</v>
      </c>
      <c r="G160" s="25" t="str">
        <v>operation</v>
      </c>
      <c r="H160" s="25" t="str">
        <v>打开 / 关闭</v>
      </c>
      <c r="I160" s="25" t="str">
        <v>用户 {operation} 了空调开关</v>
      </c>
      <c r="J160" s="25" t="str">
        <v>用户 23312 打开了空调开关</v>
      </c>
      <c r="M160" s="3" t="str">
        <v>P0</v>
      </c>
      <c r="N160" s="3" t="str">
        <v>V1</v>
      </c>
      <c r="O160" s="94">
        <v>46188</v>
      </c>
      <c r="P160" s="3" t="str">
        <v>用户后面添加对应UserId，可以通过他找到对应的用户信息</v>
      </c>
    </row>
    <row r="161" spans="1:16">
      <c r="A161" s="25" t="str">
        <v>人车交互</v>
      </c>
      <c r="B161" s="25" t="str">
        <v>空调</v>
      </c>
      <c r="C161" s="25" t="str">
        <v>主驾温度调节</v>
      </c>
      <c r="D161" s="25" t="str">
        <v>air_condition_driver_temp_adj</v>
      </c>
      <c r="E161" s="25">
        <f>B161&amp;C161</f>
      </c>
      <c r="F161" s="25" t="str">
        <v>用户点击切换主驾温度调节状态，仅变化时记录</v>
      </c>
      <c r="G161" s="17" t="str">
        <v>temperature</v>
      </c>
      <c r="H161" s="25" t="str">
        <v>Lo~16.5℃~17℃…30℃~30.5℃~Hi</v>
      </c>
      <c r="I161" s="25" t="str">
        <v>用户将主驾温度调节{temperature}</v>
      </c>
      <c r="J161" s="25" t="str">
        <v>用户 23312 将主驾温度调节 Lo~16.5℃</v>
      </c>
      <c r="M161" s="3" t="str">
        <v>P0</v>
      </c>
      <c r="N161" s="3" t="str">
        <v>V1</v>
      </c>
      <c r="O161" s="94">
        <v>46188</v>
      </c>
      <c r="P161" s="3" t="str">
        <v>用户后面添加对应UserId，可以通过他找到对应的用户信息</v>
      </c>
    </row>
    <row r="162" spans="1:16">
      <c r="A162" s="25" t="str">
        <v>人车交互</v>
      </c>
      <c r="B162" s="25" t="str">
        <v>空调</v>
      </c>
      <c r="C162" s="25" t="str">
        <v>主驾风量调节</v>
      </c>
      <c r="D162" s="25" t="str">
        <v>air_condition_driver_wind_adj</v>
      </c>
      <c r="E162" s="25">
        <f>B162&amp;C162</f>
      </c>
      <c r="F162" s="25" t="str">
        <v>用户点击切换主驾风量调节状态，仅变化时记录</v>
      </c>
      <c r="G162" s="25" t="str">
        <v>level</v>
      </c>
      <c r="H162" s="25" t="str">
        <v>0~9 档</v>
      </c>
      <c r="I162" s="25" t="str">
        <v>用户将主驾风量调节 {level}</v>
      </c>
      <c r="J162" s="25" t="str">
        <v>用户 23312 将主驾风量调节 3 档</v>
      </c>
      <c r="M162" s="3" t="str">
        <v>P0</v>
      </c>
      <c r="N162" s="3" t="str">
        <v>V1</v>
      </c>
      <c r="O162" s="94">
        <v>46188</v>
      </c>
      <c r="P162" s="3" t="str">
        <v>用户后面添加对应UserId，可以通过他找到对应的用户信息</v>
      </c>
    </row>
    <row r="163" spans="1:16">
      <c r="A163" s="25" t="str">
        <v>人车交互</v>
      </c>
      <c r="B163" s="25" t="str">
        <v>空调</v>
      </c>
      <c r="C163" s="25" t="str">
        <v>主驾出风模式切换</v>
      </c>
      <c r="D163" s="25" t="str">
        <v>air_condition_driver_out_mode_switch</v>
      </c>
      <c r="E163" s="25">
        <f>B163&amp;C163</f>
      </c>
      <c r="F163" s="25" t="str">
        <v>用户点击切换主驾出风模式切换状态，仅变化时记录</v>
      </c>
      <c r="G163" s="25" t="str">
        <v>direction</v>
      </c>
      <c r="H163" s="25" t="str">
        <v>吹面、吹脚、吹面 + 吹脚、吹脚 + 前除霜、吹窗组合</v>
      </c>
      <c r="I163" s="25" t="str">
        <v>用户将主驾出风模式切换为{direction}</v>
      </c>
      <c r="J163" s="25" t="str">
        <v>用户 23312 将主驾出风模式切换为吹脚</v>
      </c>
      <c r="M163" s="3" t="str">
        <v>P0</v>
      </c>
      <c r="N163" s="3" t="str">
        <v>V1</v>
      </c>
      <c r="O163" s="94">
        <v>46188</v>
      </c>
      <c r="P163" s="3" t="str">
        <v>用户后面添加对应UserId，可以通过他找到对应的用户信息</v>
      </c>
    </row>
    <row r="164" spans="1:16">
      <c r="A164" s="25" t="str">
        <v>人车交互</v>
      </c>
      <c r="B164" s="25" t="str">
        <v>空调</v>
      </c>
      <c r="C164" s="25" t="str">
        <v>主驾自动空调 auto</v>
      </c>
      <c r="D164" s="25" t="str">
        <v>air_condition_driver_auto_mode</v>
      </c>
      <c r="E164" s="25">
        <f>B164&amp;C164</f>
      </c>
      <c r="F164" s="25" t="str">
        <v>用户点击切换主驾自动空调 auto 状态，仅变化时记录</v>
      </c>
      <c r="G164" s="25" t="str">
        <v>operation</v>
      </c>
      <c r="H164" s="25" t="str">
        <v>打开 / 关闭</v>
      </c>
      <c r="I164" s="25" t="str">
        <v>用户 {operation} 了主驾自动空调 auto</v>
      </c>
      <c r="J164" s="25" t="str">
        <v>用户 23312 打开了主驾自动空调 auto</v>
      </c>
      <c r="M164" s="3" t="str">
        <v>P0</v>
      </c>
      <c r="N164" s="3" t="str">
        <v>V1</v>
      </c>
      <c r="O164" s="94">
        <v>46188</v>
      </c>
      <c r="P164" s="3" t="str">
        <v>用户后面添加对应UserId，可以通过他找到对应的用户信息</v>
      </c>
    </row>
    <row r="165" spans="1:16">
      <c r="A165" s="25" t="str">
        <v>人车交互</v>
      </c>
      <c r="B165" s="25" t="str">
        <v>空调</v>
      </c>
      <c r="C165" s="25" t="str">
        <v>副驾温度调节</v>
      </c>
      <c r="D165" s="25" t="str">
        <v>air_condition_pass_temp_adj</v>
      </c>
      <c r="E165" s="25">
        <f>B165&amp;C165</f>
      </c>
      <c r="F165" s="25" t="str">
        <v>用户点击切换副驾温度调节状态，仅变化时记录</v>
      </c>
      <c r="G165" s="17" t="str">
        <v>temperature</v>
      </c>
      <c r="H165" s="25" t="str">
        <v>Lo~16.5℃~17℃…30℃~30.5℃~Hi</v>
      </c>
      <c r="I165" s="25" t="str">
        <v>用户将副驾温度调节 {temperature}</v>
      </c>
      <c r="J165" s="25" t="str">
        <v>用户 23312 将副驾温度调节 Hi~30.5℃</v>
      </c>
      <c r="M165" s="3" t="str">
        <v>P0</v>
      </c>
      <c r="N165" s="3" t="str">
        <v>V1</v>
      </c>
      <c r="O165" s="94">
        <v>46188</v>
      </c>
      <c r="P165" s="3" t="str">
        <v>用户后面添加对应UserId，可以通过他找到对应的用户信息</v>
      </c>
    </row>
    <row r="166" spans="1:16">
      <c r="A166" s="25" t="str">
        <v>人车交互</v>
      </c>
      <c r="B166" s="25" t="str">
        <v>空调</v>
      </c>
      <c r="C166" s="25" t="str">
        <v>副驾风量调节</v>
      </c>
      <c r="D166" s="25" t="str">
        <v>air_condition_pass_wind_adj</v>
      </c>
      <c r="E166" s="25">
        <f>B166&amp;C166</f>
      </c>
      <c r="F166" s="25" t="str">
        <v>用户点击切换副驾风量调节状态，仅变化时记录</v>
      </c>
      <c r="G166" s="25" t="str">
        <v>level</v>
      </c>
      <c r="H166" s="25" t="str">
        <v>0~9 档</v>
      </c>
      <c r="I166" s="25" t="str">
        <v>用户将副驾风量调节 {level}</v>
      </c>
      <c r="J166" s="25" t="str">
        <v>用户 23312 将副驾风量调节 5 档</v>
      </c>
      <c r="M166" s="3" t="str">
        <v>P0</v>
      </c>
      <c r="N166" s="3" t="str">
        <v>V1</v>
      </c>
      <c r="O166" s="94">
        <v>46188</v>
      </c>
      <c r="P166" s="3" t="str">
        <v>用户后面添加对应UserId，可以通过他找到对应的用户信息</v>
      </c>
    </row>
    <row r="167" spans="1:16">
      <c r="A167" s="25" t="str">
        <v>人车交互</v>
      </c>
      <c r="B167" s="25" t="str">
        <v>空调</v>
      </c>
      <c r="C167" s="25" t="str">
        <v>副驾出风模式切换</v>
      </c>
      <c r="D167" s="25" t="str">
        <v>air_condition_pass_out_mode_switch</v>
      </c>
      <c r="E167" s="25">
        <f>B167&amp;C167</f>
      </c>
      <c r="F167" s="25" t="str">
        <v>用户点击切换副驾出风模式切换状态，仅变化时记录</v>
      </c>
      <c r="G167" s="25" t="str">
        <v>direction</v>
      </c>
      <c r="H167" s="25" t="str">
        <v>吹面、吹脚、吹面 + 吹脚、吹脚 + 前除霜、吹窗组合</v>
      </c>
      <c r="I167" s="25" t="str">
        <v>用户将副驾出风模式切换为{direction}</v>
      </c>
      <c r="J167" s="25" t="str">
        <v>用户 23312 将副驾出风模式切换为吹面</v>
      </c>
      <c r="M167" s="3" t="str">
        <v>P0</v>
      </c>
      <c r="N167" s="3" t="str">
        <v>V1</v>
      </c>
      <c r="O167" s="94">
        <v>46188</v>
      </c>
      <c r="P167" s="3" t="str">
        <v>用户后面添加对应UserId，可以通过他找到对应的用户信息</v>
      </c>
    </row>
    <row r="168" spans="1:16">
      <c r="A168" s="25" t="str">
        <v>人车交互</v>
      </c>
      <c r="B168" s="25" t="str">
        <v>空调</v>
      </c>
      <c r="C168" s="25" t="str">
        <v>副驾自动空调 auto</v>
      </c>
      <c r="D168" s="25" t="str">
        <v>air_condition_pass_auto_mode</v>
      </c>
      <c r="E168" s="25">
        <f>B168&amp;C168</f>
      </c>
      <c r="F168" s="25" t="str">
        <v>用户点击切换副驾自动空调 auto 状态，仅变化时记录</v>
      </c>
      <c r="G168" s="25" t="str">
        <v>operation</v>
      </c>
      <c r="H168" s="25" t="str">
        <v>打开 / 关闭</v>
      </c>
      <c r="I168" s="25" t="str">
        <v>用户 {operation} 了副驾自动空调 auto</v>
      </c>
      <c r="J168" s="25" t="str">
        <v>用户 23312 打开了副驾自动空调 auto</v>
      </c>
      <c r="M168" s="3" t="str">
        <v>P0</v>
      </c>
      <c r="N168" s="3" t="str">
        <v>V1</v>
      </c>
      <c r="O168" s="94">
        <v>46188</v>
      </c>
      <c r="P168" s="3" t="str">
        <v>用户后面添加对应UserId，可以通过他找到对应的用户信息</v>
      </c>
    </row>
    <row r="169" spans="1:16">
      <c r="A169" s="25" t="str">
        <v>人车交互</v>
      </c>
      <c r="B169" s="25" t="str">
        <v>空调</v>
      </c>
      <c r="C169" s="25" t="str">
        <v>主驾吹风模式</v>
      </c>
      <c r="D169" s="25" t="str">
        <v>air_condition_driver_blast_mode</v>
      </c>
      <c r="E169" s="25">
        <f>B169&amp;C169</f>
      </c>
      <c r="F169" s="25" t="str">
        <v>用户点击切换主驾吹风模式状态，仅变化时记录</v>
      </c>
      <c r="G169" s="25" t="str">
        <v>mode</v>
      </c>
      <c r="H169" s="25" t="str">
        <v>避人吹 / 对人吹 / 全吹 / 自然风模式 1/2</v>
      </c>
      <c r="I169" s="25" t="str">
        <v>用户主驾吹风模式{mode}</v>
      </c>
      <c r="J169" s="25" t="str">
        <v>用户 23312 主驾吹风模式：对人吹</v>
      </c>
      <c r="M169" s="3" t="str">
        <v>P0</v>
      </c>
      <c r="N169" s="3" t="str">
        <v>V1</v>
      </c>
      <c r="O169" s="94">
        <v>46188</v>
      </c>
      <c r="P169" s="3" t="str">
        <v>用户后面添加对应UserId，可以通过他找到对应的用户信息</v>
      </c>
    </row>
    <row r="170" spans="1:16">
      <c r="A170" s="25" t="str">
        <v>人车交互</v>
      </c>
      <c r="B170" s="25" t="str">
        <v>空调</v>
      </c>
      <c r="C170" s="25" t="str">
        <v>主驾出风口 1 无级调节</v>
      </c>
      <c r="D170" s="25" t="str">
        <v>air_condition_driver_out1_stepless_adj</v>
      </c>
      <c r="E170" s="25">
        <f>B170&amp;C170</f>
      </c>
      <c r="F170" s="25" t="str">
        <v>用户点击切换主驾出风口 1 无级调节状态，仅变化时记录</v>
      </c>
      <c r="G170" s="25" t="str">
        <v>level</v>
      </c>
      <c r="H170" s="25" t="str">
        <v>上下 0～100%，左右 0～100%</v>
      </c>
      <c r="I170" s="25" t="str">
        <v>用户将主驾出风口 1 无级调节 {level}</v>
      </c>
      <c r="J170" s="25" t="str">
        <v>用户 23312 将主驾出风口 1 无级调节上下 40%，左右 55%</v>
      </c>
      <c r="M170" s="3" t="str">
        <v>P0</v>
      </c>
      <c r="N170" s="3" t="str">
        <v>V1</v>
      </c>
      <c r="O170" s="94">
        <v>46188</v>
      </c>
      <c r="P170" s="3" t="str">
        <v>用户后面添加对应UserId，可以通过他找到对应的用户信息</v>
      </c>
    </row>
    <row r="171" spans="1:16">
      <c r="A171" s="25" t="str">
        <v>人车交互</v>
      </c>
      <c r="B171" s="25" t="str">
        <v>空调</v>
      </c>
      <c r="C171" s="25" t="str">
        <v>主驾出风口 2 无级调节</v>
      </c>
      <c r="D171" s="25" t="str">
        <v>air_condition_driver_out2_stepless_adj</v>
      </c>
      <c r="E171" s="25">
        <f>B171&amp;C171</f>
      </c>
      <c r="F171" s="25" t="str">
        <v>用户点击切换主驾出风口 2 无级调节状态，仅变化时记录</v>
      </c>
      <c r="G171" s="25" t="str">
        <v>level</v>
      </c>
      <c r="H171" s="25" t="str">
        <v>上下 0～100%，左右 0～100%</v>
      </c>
      <c r="I171" s="25" t="str">
        <v>用户将主驾出风口 2 无级调节 {level}</v>
      </c>
      <c r="J171" s="25" t="str">
        <v>用户 23312 将主驾出风口 2 无级调节上下 40%，左右 55%</v>
      </c>
      <c r="M171" s="3" t="str">
        <v>P0</v>
      </c>
      <c r="N171" s="3" t="str">
        <v>V1</v>
      </c>
      <c r="O171" s="94">
        <v>46188</v>
      </c>
      <c r="P171" s="3" t="str">
        <v>用户后面添加对应UserId，可以通过他找到对应的用户信息</v>
      </c>
    </row>
    <row r="172" spans="1:16">
      <c r="A172" s="25" t="str">
        <v>人车交互</v>
      </c>
      <c r="B172" s="25" t="str">
        <v>空调</v>
      </c>
      <c r="C172" s="25" t="str">
        <v>副驾吹风模式</v>
      </c>
      <c r="D172" s="25" t="str">
        <v>air_condition_pass_blast_mode</v>
      </c>
      <c r="E172" s="25">
        <f>B172&amp;C172</f>
      </c>
      <c r="F172" s="25" t="str">
        <v>用户点击切换副驾吹风模式状态，仅变化时记录</v>
      </c>
      <c r="G172" s="25" t="str">
        <v>operation</v>
      </c>
      <c r="H172" s="25" t="str">
        <v>避人吹 / 对人吹 / 全吹 / 自然风模式 1/2</v>
      </c>
      <c r="I172" s="25" t="str">
        <v>用户 {operation} 了副驾吹风模式</v>
      </c>
      <c r="J172" s="25" t="str">
        <v>用户 23312 副驾吹风模式：避人吹</v>
      </c>
      <c r="M172" s="3" t="str">
        <v>P0</v>
      </c>
      <c r="N172" s="3" t="str">
        <v>V1</v>
      </c>
      <c r="O172" s="94">
        <v>46188</v>
      </c>
      <c r="P172" s="3" t="str">
        <v>用户后面添加对应UserId，可以通过他找到对应的用户信息</v>
      </c>
    </row>
    <row r="173" spans="1:16">
      <c r="A173" s="25" t="str">
        <v>人车交互</v>
      </c>
      <c r="B173" s="25" t="str">
        <v>空调</v>
      </c>
      <c r="C173" s="25" t="str">
        <v>副驾出风口 1 无级调节</v>
      </c>
      <c r="D173" s="25" t="str">
        <v>air_condition_pass_out1_stepless_adj</v>
      </c>
      <c r="E173" s="25">
        <f>B173&amp;C173</f>
      </c>
      <c r="F173" s="25" t="str">
        <v>用户点击切换副驾出风口 1 无级调节状态，仅变化时记录</v>
      </c>
      <c r="G173" s="25" t="str">
        <v>operation</v>
      </c>
      <c r="H173" s="25" t="str">
        <v>上下 0～100%，左右 0～100%</v>
      </c>
      <c r="I173" s="25" t="str">
        <v>用户将副驾出风口 1 无级调节 {operation}</v>
      </c>
      <c r="J173" s="25" t="str">
        <v>用户 23312 将副驾出风口 1 无级调节上下 42%，左右 56%</v>
      </c>
      <c r="M173" s="3" t="str">
        <v>P0</v>
      </c>
      <c r="N173" s="3" t="str">
        <v>V1</v>
      </c>
      <c r="O173" s="94">
        <v>46188</v>
      </c>
      <c r="P173" s="3" t="str">
        <v>用户后面添加对应UserId，可以通过他找到对应的用户信息</v>
      </c>
    </row>
    <row r="174" spans="1:16">
      <c r="A174" s="25" t="str">
        <v>人车交互</v>
      </c>
      <c r="B174" s="25" t="str">
        <v>空调</v>
      </c>
      <c r="C174" s="25" t="str">
        <v>副驾出风口 2 无级调节</v>
      </c>
      <c r="D174" s="25" t="str">
        <v>air_condition_pass_out2_stepless_adj</v>
      </c>
      <c r="E174" s="25">
        <f>B174&amp;C174</f>
      </c>
      <c r="F174" s="25" t="str">
        <v>用户点击切换副驾出风口 2 无级调节状态，仅变化时记录</v>
      </c>
      <c r="G174" s="25" t="str">
        <v>operation</v>
      </c>
      <c r="H174" s="25" t="str">
        <v>上下 0～100%，左右 0～100%</v>
      </c>
      <c r="I174" s="25" t="str">
        <v>用户将副驾出风口 2 无级调节 {operation}</v>
      </c>
      <c r="J174" s="25" t="str">
        <v>用户 23312 将副驾出风口 2 无级调节上下 70%，左右 35%</v>
      </c>
      <c r="M174" s="3" t="str">
        <v>P0</v>
      </c>
      <c r="N174" s="3" t="str">
        <v>V1</v>
      </c>
      <c r="O174" s="94">
        <v>46188</v>
      </c>
      <c r="P174" s="3" t="str">
        <v>用户后面添加对应UserId，可以通过他找到对应的用户信息</v>
      </c>
    </row>
    <row r="175" spans="1:16">
      <c r="A175" s="25" t="str">
        <v>人车交互</v>
      </c>
      <c r="B175" s="25" t="str">
        <v>空调</v>
      </c>
      <c r="C175" s="25" t="str">
        <v>A/C 开关</v>
      </c>
      <c r="D175" s="25" t="str">
        <v>air_condition_ac_switch</v>
      </c>
      <c r="E175" s="25">
        <f>B175&amp;C175</f>
      </c>
      <c r="F175" s="25" t="str">
        <v>用户点击切换 A/C 开关状态，仅变化时记录</v>
      </c>
      <c r="G175" s="25" t="str">
        <v>operation</v>
      </c>
      <c r="H175" s="25" t="str">
        <v>打开 / 关闭</v>
      </c>
      <c r="I175" s="25" t="str">
        <v>用户 {operation} 了空调 A/C 开关</v>
      </c>
      <c r="J175" s="25" t="str">
        <v>用户 23312 打开了空调 A/C 开关</v>
      </c>
      <c r="M175" s="3" t="str">
        <v>P0</v>
      </c>
      <c r="N175" s="3" t="str">
        <v>V1</v>
      </c>
      <c r="O175" s="94">
        <v>46188</v>
      </c>
      <c r="P175" s="3" t="str">
        <v>用户后面添加对应UserId，可以通过他找到对应的用户信息</v>
      </c>
    </row>
    <row r="176" spans="1:16">
      <c r="A176" s="25" t="str">
        <v>人车交互</v>
      </c>
      <c r="B176" s="25" t="str">
        <v>空调</v>
      </c>
      <c r="C176" s="25" t="str">
        <v>急速制冷</v>
      </c>
      <c r="D176" s="25" t="str">
        <v>air_condition_fast_cool</v>
      </c>
      <c r="E176" s="25">
        <f>B176&amp;C176</f>
      </c>
      <c r="F176" s="25" t="str">
        <v>用户点击切换急速制冷状态，仅变化时记录</v>
      </c>
      <c r="G176" s="25" t="str">
        <v>operation</v>
      </c>
      <c r="H176" s="25" t="str">
        <v>打开 / 关闭</v>
      </c>
      <c r="I176" s="25" t="str">
        <v>用户 {operation} 了空调急速制冷</v>
      </c>
      <c r="J176" s="25" t="str">
        <v>用户 23312 打开了空调急速制冷</v>
      </c>
      <c r="M176" s="3" t="str">
        <v>P0</v>
      </c>
      <c r="N176" s="3" t="str">
        <v>V1</v>
      </c>
      <c r="O176" s="94">
        <v>46188</v>
      </c>
      <c r="P176" s="3" t="str">
        <v>用户后面添加对应UserId，可以通过他找到对应的用户信息</v>
      </c>
    </row>
    <row r="177" spans="1:16">
      <c r="A177" s="25" t="str">
        <v>人车交互</v>
      </c>
      <c r="B177" s="25" t="str">
        <v>空调</v>
      </c>
      <c r="C177" s="25" t="str">
        <v>急速制热</v>
      </c>
      <c r="D177" s="25" t="str">
        <v>air_condition_fast_heat</v>
      </c>
      <c r="E177" s="25">
        <f>B177&amp;C177</f>
      </c>
      <c r="F177" s="25" t="str">
        <v>用户点击切换急速制热状态，仅变化时记录</v>
      </c>
      <c r="G177" s="25" t="str">
        <v>operation</v>
      </c>
      <c r="H177" s="25" t="str">
        <v>打开 / 关闭</v>
      </c>
      <c r="I177" s="25" t="str">
        <v>用户 {operation} 了空调急速制热</v>
      </c>
      <c r="J177" s="25" t="str">
        <v>用户 23312 打开了空调急速制热</v>
      </c>
      <c r="M177" s="3" t="str">
        <v>P0</v>
      </c>
      <c r="N177" s="3" t="str">
        <v>V1</v>
      </c>
      <c r="O177" s="94">
        <v>46188</v>
      </c>
      <c r="P177" s="3" t="str">
        <v>用户后面添加对应UserId，可以通过他找到对应的用户信息</v>
      </c>
    </row>
    <row r="178" spans="1:16">
      <c r="A178" s="25" t="str">
        <v>人车交互</v>
      </c>
      <c r="B178" s="25" t="str">
        <v>空调</v>
      </c>
      <c r="C178" s="25" t="str">
        <v>内外循环切换</v>
      </c>
      <c r="D178" s="25" t="str">
        <v>air_condition_cycle_switch</v>
      </c>
      <c r="E178" s="25">
        <f>B178&amp;C178</f>
      </c>
      <c r="F178" s="25" t="str">
        <v>用户点击切换内外循环切换状态，仅变化时记录</v>
      </c>
      <c r="G178" s="25" t="str">
        <v>mode</v>
      </c>
      <c r="H178" s="25" t="str">
        <v>内循环 / 外循环 / 自动循环</v>
      </c>
      <c r="I178" s="25" t="str">
        <v>用户切换了空调为{mode}</v>
      </c>
      <c r="J178" s="25" t="str">
        <v>用户 23312 切换了空调为自动循环</v>
      </c>
      <c r="M178" s="3" t="str">
        <v>P0</v>
      </c>
      <c r="N178" s="3" t="str">
        <v>V1</v>
      </c>
      <c r="O178" s="94">
        <v>46188</v>
      </c>
      <c r="P178" s="3" t="str">
        <v>用户后面添加对应UserId，可以通过他找到对应的用户信息</v>
      </c>
    </row>
    <row r="179" spans="1:16">
      <c r="A179" s="25" t="str">
        <v>人车交互</v>
      </c>
      <c r="B179" s="25" t="str">
        <v>空调</v>
      </c>
      <c r="C179" s="25" t="str">
        <v>前除雾</v>
      </c>
      <c r="D179" s="25" t="str">
        <v>air_condition_front_defog</v>
      </c>
      <c r="E179" s="25">
        <f>B179&amp;C179</f>
      </c>
      <c r="F179" s="25" t="str">
        <v>用户点击切换前除雾状态，仅变化时记录</v>
      </c>
      <c r="G179" s="25" t="str">
        <v>operation</v>
      </c>
      <c r="H179" s="25" t="str">
        <v>打开 / 关闭</v>
      </c>
      <c r="I179" s="25" t="str">
        <v>用户 {operation} 了空调前除雾</v>
      </c>
      <c r="J179" s="25" t="str">
        <v>用户 23312 打开了空调前除雾</v>
      </c>
      <c r="M179" s="3" t="str">
        <v>P0</v>
      </c>
      <c r="N179" s="3" t="str">
        <v>V1</v>
      </c>
      <c r="O179" s="94">
        <v>46188</v>
      </c>
      <c r="P179" s="3" t="str">
        <v>用户后面添加对应UserId，可以通过他找到对应的用户信息</v>
      </c>
    </row>
    <row r="180" spans="1:16">
      <c r="A180" s="25" t="str">
        <v>人车交互</v>
      </c>
      <c r="B180" s="25" t="str">
        <v>空调</v>
      </c>
      <c r="C180" s="25" t="str">
        <v>后除霜（含外后视镜加热）</v>
      </c>
      <c r="D180" s="25" t="str">
        <v>air_condition_rear_defog</v>
      </c>
      <c r="E180" s="25">
        <f>B180&amp;C180</f>
      </c>
      <c r="F180" s="25" t="str">
        <v>用户点击切换后除霜（含外后视镜加热）状态，仅变化时记录</v>
      </c>
      <c r="G180" s="25" t="str">
        <v>operation</v>
      </c>
      <c r="H180" s="25" t="str">
        <v>打开 / 关闭</v>
      </c>
      <c r="I180" s="25" t="str">
        <v>用户 {operation} 了空调后除霜（含外后视镜加热）</v>
      </c>
      <c r="J180" s="25" t="str">
        <v>用户 23312 打开了空调后除霜（含外后视镜加热）</v>
      </c>
      <c r="M180" s="3" t="str">
        <v>P0</v>
      </c>
      <c r="N180" s="3" t="str">
        <v>V1</v>
      </c>
      <c r="O180" s="94">
        <v>46188</v>
      </c>
      <c r="P180" s="3" t="str">
        <v>用户后面添加对应UserId，可以通过他找到对应的用户信息</v>
      </c>
    </row>
    <row r="181" spans="1:16">
      <c r="A181" s="25" t="str">
        <v>人车交互</v>
      </c>
      <c r="B181" s="25" t="str">
        <v>空调</v>
      </c>
      <c r="C181" s="25" t="str">
        <v>自动除雾</v>
      </c>
      <c r="D181" s="25" t="str">
        <v>air_condition_auto_defog</v>
      </c>
      <c r="E181" s="25">
        <f>B181&amp;C181</f>
      </c>
      <c r="F181" s="25" t="str">
        <v>用户点击切换自动除雾状态，仅变化时记录</v>
      </c>
      <c r="G181" s="25" t="str">
        <v>operation</v>
      </c>
      <c r="H181" s="25" t="str">
        <v>打开 / 关闭</v>
      </c>
      <c r="I181" s="25" t="str">
        <v>用户 {operation} 了空调自动除雾</v>
      </c>
      <c r="J181" s="25" t="str">
        <v>用户 23312 打开了空调自动除雾</v>
      </c>
      <c r="M181" s="3" t="str">
        <v>P0</v>
      </c>
      <c r="N181" s="3" t="str">
        <v>V1</v>
      </c>
      <c r="O181" s="94">
        <v>46188</v>
      </c>
      <c r="P181" s="3" t="str">
        <v>用户后面添加对应UserId，可以通过他找到对应的用户信息</v>
      </c>
    </row>
    <row r="182" spans="1:16">
      <c r="A182" s="25" t="str">
        <v>人车交互</v>
      </c>
      <c r="B182" s="25" t="str">
        <v>空调</v>
      </c>
      <c r="C182" s="25" t="str">
        <v>空气净化</v>
      </c>
      <c r="D182" s="25" t="str">
        <v>air_condition_air_purify</v>
      </c>
      <c r="E182" s="25">
        <f>B182&amp;C182</f>
      </c>
      <c r="F182" s="25" t="str">
        <v>用户点击切换空气净化状态，仅变化时记录</v>
      </c>
      <c r="G182" s="25" t="str">
        <v>operation</v>
      </c>
      <c r="H182" s="25" t="str">
        <v>打开 / 关闭</v>
      </c>
      <c r="I182" s="25" t="str">
        <v>用户 {operation} 了空调空气净化</v>
      </c>
      <c r="J182" s="25" t="str">
        <v>用户 23312 打开了空调空气净化</v>
      </c>
      <c r="M182" s="3" t="str">
        <v>P0</v>
      </c>
      <c r="N182" s="3" t="str">
        <v>V1</v>
      </c>
      <c r="O182" s="94">
        <v>46188</v>
      </c>
      <c r="P182" s="3" t="str">
        <v>用户后面添加对应UserId，可以通过他找到对应的用户信息</v>
      </c>
    </row>
    <row r="183" spans="1:16">
      <c r="A183" s="25" t="str">
        <v>人车交互</v>
      </c>
      <c r="B183" s="25" t="str">
        <v>空调</v>
      </c>
      <c r="C183" s="25" t="str">
        <v>一键同步</v>
      </c>
      <c r="D183" s="25" t="str">
        <v>air_condition_onekey_sync</v>
      </c>
      <c r="E183" s="25">
        <f>B183&amp;C183</f>
      </c>
      <c r="F183" s="25" t="str">
        <v>用户点击切换一键同步状态，仅变化时记录</v>
      </c>
      <c r="G183" s="25" t="str">
        <v>operation</v>
      </c>
      <c r="H183" s="25" t="str">
        <v>打开 / 关闭</v>
      </c>
      <c r="I183" s="25" t="str">
        <v>用户 {operation} 了空调一键同步</v>
      </c>
      <c r="J183" s="25" t="str">
        <v>用户 23312 打开了空调一键同步</v>
      </c>
      <c r="M183" s="3" t="str">
        <v>P0</v>
      </c>
      <c r="N183" s="3" t="str">
        <v>V1</v>
      </c>
      <c r="O183" s="94">
        <v>46188</v>
      </c>
      <c r="P183" s="3" t="str">
        <v>用户后面添加对应UserId，可以通过他找到对应的用户信息</v>
      </c>
    </row>
    <row r="184" spans="1:16">
      <c r="A184" s="25" t="str">
        <v>人车交互</v>
      </c>
      <c r="B184" s="25" t="str">
        <v>空调</v>
      </c>
      <c r="C184" s="25" t="str">
        <v>温区独享</v>
      </c>
      <c r="D184" s="25" t="str">
        <v>air_condition_zone_independent</v>
      </c>
      <c r="E184" s="25">
        <f>B184&amp;C184</f>
      </c>
      <c r="F184" s="25" t="str">
        <v>用户点击切换温区独享状态，仅变化时记录</v>
      </c>
      <c r="G184" s="25" t="str">
        <v>operation</v>
      </c>
      <c r="H184" s="25" t="str">
        <v>打开 / 关闭</v>
      </c>
      <c r="I184" s="25" t="str">
        <v>用户 {operation} 了空调温区独享</v>
      </c>
      <c r="J184" s="25" t="str">
        <v>用户 23312 打开了空调温区独享</v>
      </c>
      <c r="M184" s="3" t="str">
        <v>P0</v>
      </c>
      <c r="N184" s="3" t="str">
        <v>V1</v>
      </c>
      <c r="O184" s="94">
        <v>46188</v>
      </c>
      <c r="P184" s="3" t="str">
        <v>用户后面添加对应UserId，可以通过他找到对应的用户信息</v>
      </c>
    </row>
    <row r="185" spans="1:16">
      <c r="A185" s="25" t="str">
        <v>人车交互</v>
      </c>
      <c r="B185" s="25" t="str">
        <v>充电</v>
      </c>
      <c r="C185" s="25" t="str">
        <v>无线充电</v>
      </c>
      <c r="D185" s="25" t="str">
        <v>wireless_charging_switch</v>
      </c>
      <c r="E185" s="25">
        <f>B185&amp;C185</f>
      </c>
      <c r="F185" s="25" t="str">
        <v>用户点击切换无线充电状态，仅变化时记录</v>
      </c>
      <c r="G185" s="25" t="str">
        <v>operation</v>
      </c>
      <c r="H185" s="25" t="str">
        <v>打开 / 关闭</v>
      </c>
      <c r="I185" s="25" t="str">
        <v>用户 {operation} 了无线充电</v>
      </c>
      <c r="J185" s="25" t="str">
        <v>用户 23312 打开了无线充电</v>
      </c>
      <c r="M185" s="3" t="str">
        <v>P0</v>
      </c>
      <c r="N185" s="3" t="str">
        <v>V1</v>
      </c>
      <c r="O185" s="94">
        <v>46188</v>
      </c>
      <c r="P185" s="3" t="str">
        <v>用户后面添加对应UserId，可以通过他找到对应的用户信息</v>
      </c>
    </row>
    <row r="186" spans="1:16">
      <c r="A186" s="25" t="str">
        <v>人车交互</v>
      </c>
      <c r="B186" s="25" t="str">
        <v>智慧迎宾设置项</v>
      </c>
      <c r="C186" s="25" t="str">
        <v>多门无感开启（视觉）</v>
      </c>
      <c r="D186" s="25" t="str">
        <v>welcome_setting_vision_unlock_door</v>
      </c>
      <c r="E186" s="25">
        <f>B186&amp;C186</f>
      </c>
      <c r="F186" s="25" t="str">
        <v>用户点击切换多门无感开启（视觉）状态，仅变化时记录</v>
      </c>
      <c r="G186" s="25" t="str">
        <v>operation</v>
      </c>
      <c r="H186" s="25" t="str">
        <v>打开 / 关闭</v>
      </c>
      <c r="I186" s="25" t="str">
        <v>用户 {operation} 了智慧迎宾设置项的多门无感开启（视觉）</v>
      </c>
      <c r="J186" s="25" t="str">
        <v>用户 23312 打开了智慧迎宾设置项的多门无感开启（视觉）</v>
      </c>
      <c r="M186" s="3" t="str">
        <v>P0</v>
      </c>
      <c r="N186" s="3" t="str">
        <v>V1</v>
      </c>
      <c r="O186" s="94">
        <v>46188</v>
      </c>
      <c r="P186" s="3" t="str">
        <v>用户后面添加对应UserId，可以通过他找到对应的用户信息</v>
      </c>
    </row>
    <row r="187" spans="1:16">
      <c r="A187" s="25" t="str">
        <v>人车交互</v>
      </c>
      <c r="B187" s="25" t="str">
        <v>智慧迎宾设置项</v>
      </c>
      <c r="C187" s="25" t="str">
        <v>UWB 无感开主驾门</v>
      </c>
      <c r="D187" s="25" t="str">
        <v>welcome_setting_uwb_unlock_driver</v>
      </c>
      <c r="E187" s="25">
        <f>B187&amp;C187</f>
      </c>
      <c r="F187" s="25" t="str">
        <v>用户点击切换 UWB 无感开主驾门状态，仅变化时记录</v>
      </c>
      <c r="G187" s="25" t="str">
        <v>operation</v>
      </c>
      <c r="H187" s="25" t="str">
        <v>打开 / 关闭</v>
      </c>
      <c r="I187" s="25" t="str">
        <v>用户 {operation} 了智慧迎宾设置项的UWB 无感开主驾门</v>
      </c>
      <c r="J187" s="25" t="str">
        <v>用户 23312 打开了智慧迎宾设置项的 UWB 无感开主驾门</v>
      </c>
      <c r="M187" s="3" t="str">
        <v>P0</v>
      </c>
      <c r="N187" s="3" t="str">
        <v>V1</v>
      </c>
      <c r="O187" s="94">
        <v>46188</v>
      </c>
      <c r="P187" s="3" t="str">
        <v>用户后面添加对应UserId，可以通过他找到对应的用户信息</v>
      </c>
    </row>
    <row r="188" spans="1:16">
      <c r="A188" s="25" t="str">
        <v>人车交互</v>
      </c>
      <c r="B188" s="25" t="str">
        <v>智慧迎宾设置项</v>
      </c>
      <c r="C188" s="25" t="str">
        <v>无感开备箱</v>
      </c>
      <c r="D188" s="25" t="str">
        <v>welcome_setting_unlock_trunk</v>
      </c>
      <c r="E188" s="25">
        <f>B188&amp;C188</f>
      </c>
      <c r="F188" s="25" t="str">
        <v>用户点击切换无感开备箱状态，仅变化时记录</v>
      </c>
      <c r="G188" s="25" t="str">
        <v>operation</v>
      </c>
      <c r="H188" s="25" t="str">
        <v>打开 / 关闭</v>
      </c>
      <c r="I188" s="25" t="str">
        <v>用户 {operation} 了智慧迎宾设置项的无感开备箱</v>
      </c>
      <c r="J188" s="25" t="str">
        <v>用户 23312 打开了智慧迎宾设置项的无感开备箱</v>
      </c>
      <c r="M188" s="3" t="str">
        <v>P0</v>
      </c>
      <c r="N188" s="3" t="str">
        <v>V1</v>
      </c>
      <c r="O188" s="94">
        <v>46188</v>
      </c>
      <c r="P188" s="3" t="str">
        <v>用户后面添加对应UserId，可以通过他找到对应的用户信息</v>
      </c>
    </row>
    <row r="189" spans="1:16">
      <c r="A189" s="25" t="str">
        <v>人车交互</v>
      </c>
      <c r="B189" s="25" t="str">
        <v>智慧迎宾设置项</v>
      </c>
      <c r="C189" s="25" t="str">
        <v>窄道泊出迎宾</v>
      </c>
      <c r="D189" s="25" t="str">
        <v>welcome_setting_narrow_escape</v>
      </c>
      <c r="E189" s="25">
        <f>B189&amp;C189</f>
      </c>
      <c r="F189" s="25" t="str">
        <v>用户点击切换窄道泊出迎宾状态，仅变化时记录</v>
      </c>
      <c r="G189" s="25" t="str">
        <v>operation</v>
      </c>
      <c r="H189" s="25" t="str">
        <v>打开 / 关闭</v>
      </c>
      <c r="I189" s="25" t="str">
        <v>用户 {operation} 了智慧迎宾设置项的窄道泊出迎宾</v>
      </c>
      <c r="J189" s="25" t="str">
        <v>用户 23312 打开了智慧迎宾设置项的窄道泊出迎宾</v>
      </c>
      <c r="M189" s="3" t="str">
        <v>P0</v>
      </c>
      <c r="N189" s="3" t="str">
        <v>V1</v>
      </c>
      <c r="O189" s="94">
        <v>46188</v>
      </c>
      <c r="P189" s="3" t="str">
        <v>用户后面添加对应UserId，可以通过他找到对应的用户信息</v>
      </c>
    </row>
    <row r="190" spans="1:16">
      <c r="A190" s="25" t="str">
        <v>人车交互</v>
      </c>
      <c r="B190" s="25" t="str">
        <v>智慧迎宾设置项</v>
      </c>
      <c r="C190" s="25" t="str">
        <v>前挡风清洗 / 焕新</v>
      </c>
      <c r="D190" s="25" t="str">
        <v>welcome_setting_windshield_clean</v>
      </c>
      <c r="E190" s="25">
        <f>B190&amp;C190</f>
      </c>
      <c r="F190" s="25" t="str">
        <v>用户点击切换前挡风清洗 / 焕新状态，仅变化时记录</v>
      </c>
      <c r="G190" s="25" t="str">
        <v>operation</v>
      </c>
      <c r="H190" s="25" t="str">
        <v>打开 / 关闭</v>
      </c>
      <c r="I190" s="25" t="str">
        <v>用户 {operation} 了智慧迎宾设置项的前挡风清洗 / 焕新</v>
      </c>
      <c r="J190" s="25" t="str">
        <v>用户 23312 打开了智慧迎宾设置项的前挡风清洗 / 焕新</v>
      </c>
      <c r="M190" s="3" t="str">
        <v>P0</v>
      </c>
      <c r="N190" s="3" t="str">
        <v>V1</v>
      </c>
      <c r="O190" s="94">
        <v>46188</v>
      </c>
      <c r="P190" s="3" t="str">
        <v>用户后面添加对应UserId，可以通过他找到对应的用户信息</v>
      </c>
    </row>
    <row r="191" spans="1:16">
      <c r="A191" s="25" t="str">
        <v>人车交互</v>
      </c>
      <c r="B191" s="25" t="str">
        <v>智慧迎宾设置项</v>
      </c>
      <c r="C191" s="25" t="str">
        <v>主驾便捷进出</v>
      </c>
      <c r="D191" s="25" t="str">
        <v>welcome_setting_driver_easy_access</v>
      </c>
      <c r="E191" s="25">
        <f>B191&amp;C191</f>
      </c>
      <c r="F191" s="25" t="str">
        <v>用户点击切换主驾便捷进出状态，仅变化时记录</v>
      </c>
      <c r="G191" s="25" t="str">
        <v>operation</v>
      </c>
      <c r="H191" s="25" t="str">
        <v>打开 / 关闭</v>
      </c>
      <c r="I191" s="25" t="str">
        <v>用户 {operation} 了智慧迎宾设置项的主驾便捷进出</v>
      </c>
      <c r="J191" s="25" t="str">
        <v>用户 23312 打开了智慧迎宾设置项的主驾便捷进出</v>
      </c>
      <c r="M191" s="3" t="str">
        <v>P0</v>
      </c>
      <c r="N191" s="3" t="str">
        <v>V1</v>
      </c>
      <c r="O191" s="94">
        <v>46188</v>
      </c>
      <c r="P191" s="3" t="str">
        <v>用户后面添加对应UserId，可以通过他找到对应的用户信息</v>
      </c>
    </row>
    <row r="192" spans="1:16">
      <c r="A192" s="25" t="str">
        <v>人车交互</v>
      </c>
      <c r="B192" s="25" t="str">
        <v>体感控车</v>
      </c>
      <c r="C192" s="25" t="str">
        <v>手势开启车门</v>
      </c>
      <c r="D192" s="25" t="str">
        <v>body_sense_gesture_open_door</v>
      </c>
      <c r="E192" s="25">
        <f>B192&amp;C192</f>
      </c>
      <c r="F192" s="25" t="str">
        <v>用户点击切换手势开启车门状态，仅变化时记录</v>
      </c>
      <c r="G192" s="25" t="str">
        <v>operation</v>
      </c>
      <c r="H192" s="25" t="str">
        <v>打开 / 关闭</v>
      </c>
      <c r="I192" s="25" t="str">
        <v>用户 {operation} 了体感控车的手势开启车门</v>
      </c>
      <c r="J192" s="25" t="str">
        <v>用户 23312 打开了体感控车的手势开启车门</v>
      </c>
      <c r="M192" s="3" t="str">
        <v>P0</v>
      </c>
      <c r="N192" s="3" t="str">
        <v>V1</v>
      </c>
      <c r="O192" s="94">
        <v>46188</v>
      </c>
      <c r="P192" s="3" t="str">
        <v>用户后面添加对应UserId，可以通过他找到对应的用户信息</v>
      </c>
    </row>
    <row r="193" spans="1:16">
      <c r="A193" s="25" t="str">
        <v>人车交互</v>
      </c>
      <c r="B193" s="25" t="str">
        <v>体感控车</v>
      </c>
      <c r="C193" s="25" t="str">
        <v>手势开启前后备箱</v>
      </c>
      <c r="D193" s="25" t="str">
        <v>body_sense_gesture_open_box</v>
      </c>
      <c r="E193" s="25">
        <f>B193&amp;C193</f>
      </c>
      <c r="F193" s="25" t="str">
        <v>用户点击切换手势开启前后备箱状态，仅变化时记录</v>
      </c>
      <c r="G193" s="25" t="str">
        <v>operation</v>
      </c>
      <c r="H193" s="25" t="str">
        <v>打开 / 关闭</v>
      </c>
      <c r="I193" s="25" t="str">
        <v>用户 {operation} 了体感控车的手势开启前后备箱</v>
      </c>
      <c r="J193" s="25" t="str">
        <v>用户 23312 打开了体感控车的手势开启前后备箱</v>
      </c>
      <c r="M193" s="3" t="str">
        <v>P0</v>
      </c>
      <c r="N193" s="3" t="str">
        <v>V1</v>
      </c>
      <c r="O193" s="94">
        <v>46188</v>
      </c>
      <c r="P193" s="3" t="str">
        <v>用户后面添加对应UserId，可以通过他找到对应的用户信息</v>
      </c>
    </row>
    <row r="194" spans="1:16">
      <c r="A194" s="25" t="str">
        <v>人车交互</v>
      </c>
      <c r="B194" s="25" t="str">
        <v>体感控车</v>
      </c>
      <c r="C194" s="25" t="str">
        <v>脚踢开启前后备箱</v>
      </c>
      <c r="D194" s="25" t="str">
        <v>body_sense_kick_open_box</v>
      </c>
      <c r="E194" s="25">
        <f>B194&amp;C194</f>
      </c>
      <c r="F194" s="25" t="str">
        <v>用户点击切换脚踢开启前后备箱状态，仅变化时记录</v>
      </c>
      <c r="G194" s="25" t="str">
        <v>operation</v>
      </c>
      <c r="H194" s="25" t="str">
        <v>打开 / 关闭</v>
      </c>
      <c r="I194" s="25" t="str">
        <v>用户 {operation} 了体感控车的脚踢开启前后备箱</v>
      </c>
      <c r="J194" s="25" t="str">
        <v>用户 23312 打开了体感控车的脚踢开启前后备箱</v>
      </c>
      <c r="M194" s="3" t="str">
        <v>P0</v>
      </c>
      <c r="N194" s="3" t="str">
        <v>V1</v>
      </c>
      <c r="O194" s="94">
        <v>46188</v>
      </c>
      <c r="P194" s="3" t="str">
        <v>用户后面添加对应UserId，可以通过他找到对应的用户信息</v>
      </c>
    </row>
    <row r="195" spans="1:16">
      <c r="A195" s="25" t="str">
        <v>人车交互</v>
      </c>
      <c r="B195" s="25" t="str">
        <v>体感控车</v>
      </c>
      <c r="C195" s="25" t="str">
        <v>手势开启泊车</v>
      </c>
      <c r="D195" s="25" t="str">
        <v>body_sense_gesture_parking</v>
      </c>
      <c r="E195" s="25">
        <f>B195&amp;C195</f>
      </c>
      <c r="F195" s="25" t="str">
        <v>用户点击切换手势开启泊车状态，仅变化时记录</v>
      </c>
      <c r="G195" s="25" t="str">
        <v>operation</v>
      </c>
      <c r="H195" s="25" t="str">
        <v>打开 / 关闭</v>
      </c>
      <c r="I195" s="25" t="str">
        <v>用户 {operation} 了体感控车的手势开启泊车</v>
      </c>
      <c r="J195" s="25" t="str">
        <v>用户 23312 打开了体感控车的手势开启泊车</v>
      </c>
      <c r="M195" s="3" t="str">
        <v>P0</v>
      </c>
      <c r="N195" s="3" t="str">
        <v>V1</v>
      </c>
      <c r="O195" s="94">
        <v>46188</v>
      </c>
      <c r="P195" s="3" t="str">
        <v>用户后面添加对应UserId，可以通过他找到对应的用户信息</v>
      </c>
    </row>
    <row r="196" spans="1:16">
      <c r="A196" s="25" t="str">
        <v>人车交互</v>
      </c>
      <c r="B196" s="25" t="str">
        <v>体感控车</v>
      </c>
      <c r="C196" s="25" t="str">
        <v>圆规掉头</v>
      </c>
      <c r="D196" s="25" t="str">
        <v>body_sense_turnaround_mode</v>
      </c>
      <c r="E196" s="25">
        <f>B196&amp;C196</f>
      </c>
      <c r="F196" s="25" t="str">
        <v>用户点击切换圆规掉头状态，仅变化时记录</v>
      </c>
      <c r="G196" s="25" t="str">
        <v>operation</v>
      </c>
      <c r="H196" s="25" t="str">
        <v>打开 / 关闭</v>
      </c>
      <c r="I196" s="25" t="str">
        <v>用户 {operation} 了体感控车的圆规掉头</v>
      </c>
      <c r="J196" s="25" t="str">
        <v>用户 23312 打开了体感控车的圆规掉头</v>
      </c>
      <c r="M196" s="3" t="str">
        <v>P0</v>
      </c>
      <c r="N196" s="3" t="str">
        <v>V1</v>
      </c>
      <c r="O196" s="94">
        <v>46188</v>
      </c>
      <c r="P196" s="3" t="str">
        <v>用户后面添加对应UserId，可以通过他找到对应的用户信息</v>
      </c>
    </row>
  </sheetData>
  <mergeCells count="22">
    <mergeCell ref="J23:J24"/>
    <mergeCell ref="I23:I24"/>
    <mergeCell ref="J36:J37"/>
    <mergeCell ref="I36:I37"/>
    <mergeCell ref="J38:J39"/>
    <mergeCell ref="I38:I39"/>
    <mergeCell ref="J90:J92"/>
    <mergeCell ref="I90:I92"/>
    <mergeCell ref="J93:J95"/>
    <mergeCell ref="I93:I95"/>
    <mergeCell ref="J96:J100"/>
    <mergeCell ref="I96:I100"/>
    <mergeCell ref="J101:J102"/>
    <mergeCell ref="I101:I102"/>
    <mergeCell ref="J110:J111"/>
    <mergeCell ref="I110:I111"/>
    <mergeCell ref="J124:J126"/>
    <mergeCell ref="I124:I126"/>
    <mergeCell ref="J134:J135"/>
    <mergeCell ref="I134:I135"/>
    <mergeCell ref="J153:J154"/>
    <mergeCell ref="I153:I154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8.714285714285714" style="1" customWidth="1"/>
    <col min="2" max="2" width="12.428571428571429" style="1" customWidth="1"/>
    <col min="3" max="3" width="19.857142857142858" style="1" customWidth="1"/>
    <col min="4" max="4" width="49.285714285714285" style="1" customWidth="1"/>
    <col min="5" max="5" width="31.454545454545446" style="1" customWidth="1"/>
    <col min="6" max="6" width="60.714285714285715" style="1" customWidth="1"/>
    <col min="7" max="7" width="17.3119219610974" style="1" customWidth="1"/>
    <col min="8" max="8" width="36.142857142857146" style="1" customWidth="1"/>
    <col min="9" max="9" width="44.42857142857143" style="1" customWidth="1"/>
    <col min="10" max="10" width="52.5301008346601" style="1" customWidth="1"/>
    <col min="11" max="15" width="15" style="1" customWidth="1"/>
    <col min="16" max="16" width="51.349206349206334" style="1" customWidth="1"/>
  </cols>
  <sheetData>
    <row r="1" spans="1:16">
      <c r="A1" s="90" t="str">
        <v>一级</v>
      </c>
      <c r="B1" s="90" t="str">
        <v>二级</v>
      </c>
      <c r="C1" s="90" t="str">
        <v>三级</v>
      </c>
      <c r="D1" s="96" t="str">
        <v>事件名称【唯一标识】</v>
      </c>
      <c r="E1" s="90" t="str">
        <v>事件名称（中文）</v>
      </c>
      <c r="F1" s="90" t="str">
        <v>事件说明</v>
      </c>
      <c r="G1" s="90" t="str">
        <v>事件字段(event_value)</v>
      </c>
      <c r="H1" s="90" t="str">
        <v>字段解释</v>
      </c>
      <c r="I1" s="90" t="str">
        <v>自然语言拼接【规则】</v>
      </c>
      <c r="J1" s="90" t="str">
        <v>事件示例</v>
      </c>
      <c r="K1" s="90" t="str">
        <v>SLS校对情况</v>
      </c>
      <c r="L1" s="90" t="str">
        <v>ZJ校对情况</v>
      </c>
      <c r="M1" s="90" t="str">
        <v>优先级</v>
      </c>
      <c r="N1" s="90" t="str">
        <v>输出版本</v>
      </c>
      <c r="O1" s="90" t="str">
        <v>输出版本日期</v>
      </c>
      <c r="P1" s="90" t="str">
        <v>备注</v>
      </c>
    </row>
    <row r="2" spans="1:16">
      <c r="A2" s="25" t="str">
        <v>人车交互</v>
      </c>
      <c r="B2" s="25" t="str">
        <v>天气路况保护</v>
      </c>
      <c r="C2" s="25" t="str">
        <v>天气路况保护</v>
      </c>
      <c r="D2" s="25" t="str">
        <v>weather_road_condition_protection_mode_switch</v>
      </c>
      <c r="E2" s="25" t="str">
        <v>天气路况保护</v>
      </c>
      <c r="F2" s="25" t="str">
        <v>用户点击切换天气路况保护开关状态，仅变化时记录</v>
      </c>
      <c r="G2" s="25" t="str">
        <v>operation</v>
      </c>
      <c r="H2" s="25" t="str">
        <v>打开 / 关闭</v>
      </c>
      <c r="I2" s="25" t="str">
        <v>用户 {operation} 了天气路况保护开关</v>
      </c>
      <c r="J2" s="25" t="str">
        <v>用户23312 打开了天气路况保护开关</v>
      </c>
      <c r="N2" s="3" t="str">
        <v>V1</v>
      </c>
      <c r="O2" s="94">
        <v>46188</v>
      </c>
      <c r="P2" s="3" t="str">
        <v>用户后面添加对应UserId，可以通过他找到对应的用户信息</v>
      </c>
    </row>
    <row r="3" spans="1:16">
      <c r="A3" s="25" t="str">
        <v>人车交互</v>
      </c>
      <c r="B3" s="25" t="str">
        <v>车内隐私保护</v>
      </c>
      <c r="C3" s="25" t="str">
        <v>操作超级隐私模式</v>
      </c>
      <c r="D3" s="25" t="str">
        <v>super_privacy_mode_operation_status_switch</v>
      </c>
      <c r="E3" s="25" t="str">
        <v>车内隐私保护</v>
      </c>
      <c r="F3" s="25" t="str">
        <v>用户点击切换车内隐私保护开关状态，仅变化时记录</v>
      </c>
      <c r="G3" s="25" t="str">
        <v>operation</v>
      </c>
      <c r="H3" s="25" t="str">
        <v>打开 / 关闭</v>
      </c>
      <c r="I3" s="25" t="str">
        <v>用户 {operation} 了超级隐私模式</v>
      </c>
      <c r="J3" s="25" t="str">
        <v>用户23312 打开了超级隐私模式</v>
      </c>
      <c r="N3" s="3" t="str">
        <v>V1</v>
      </c>
      <c r="O3" s="94">
        <v>46188</v>
      </c>
      <c r="P3" s="3" t="str">
        <v>用户后面添加对应UserId，可以通过他找到对应的用户信息</v>
      </c>
    </row>
    <row r="4" spans="1:16">
      <c r="A4" s="25" t="str">
        <v>人车交互</v>
      </c>
      <c r="B4" s="25" t="str">
        <v>多人隐私模式</v>
      </c>
      <c r="C4" s="25" t="str">
        <v>操作多人隐私模式</v>
      </c>
      <c r="D4" s="25" t="str">
        <v>multi_person_privacy_mode_operation_status_switch</v>
      </c>
      <c r="E4" s="25" t="str">
        <v>多人隐私模式</v>
      </c>
      <c r="F4" s="25" t="str">
        <v>用户点击切换多人隐私模式开关状态，仅变化时记录</v>
      </c>
      <c r="G4" s="25" t="str">
        <v>operation</v>
      </c>
      <c r="H4" s="25" t="str">
        <v>打开 / 关闭</v>
      </c>
      <c r="I4" s="25" t="str">
        <v>用户 {operation} 了多人隐私模式</v>
      </c>
      <c r="J4" s="25" t="str">
        <v>用户23312 打开了多人隐私模式</v>
      </c>
      <c r="N4" s="3" t="str">
        <v>V1</v>
      </c>
      <c r="O4" s="94">
        <v>46188</v>
      </c>
      <c r="P4" s="3" t="str">
        <v>用户后面添加对应UserId，可以通过他找到对应的用户信息</v>
      </c>
    </row>
    <row r="5" spans="1:16">
      <c r="A5" s="25" t="str">
        <v>人车交互</v>
      </c>
      <c r="B5" s="25" t="str">
        <v>整车离线模式</v>
      </c>
      <c r="C5" s="25" t="str">
        <v>操作安全模式</v>
      </c>
      <c r="D5" s="25" t="str">
        <v>safety_mode_operation_status_switch</v>
      </c>
      <c r="E5" s="25">
        <f>B5&amp;C5</f>
      </c>
      <c r="F5" s="25" t="str">
        <v>用户点击切换整车离线模式开关状态，仅变化时记录</v>
      </c>
      <c r="G5" s="25" t="str">
        <v>operation</v>
      </c>
      <c r="H5" s="25" t="str">
        <v>打开 / 关闭</v>
      </c>
      <c r="I5" s="25" t="str">
        <v>用户 {operation} 了整车离线安全模式</v>
      </c>
      <c r="J5" s="25" t="str">
        <v>用户23312 打开了整车离线安全模式</v>
      </c>
      <c r="N5" s="3" t="str">
        <v>V1</v>
      </c>
      <c r="O5" s="94">
        <v>46188</v>
      </c>
      <c r="P5" s="3" t="str">
        <v>用户后面添加对应UserId，可以通过他找到对应的用户信息</v>
      </c>
    </row>
    <row r="6" spans="1:16">
      <c r="A6" s="25" t="str">
        <v>人车交互</v>
      </c>
      <c r="B6" s="25" t="str">
        <v>账号</v>
      </c>
      <c r="C6" s="25" t="str">
        <v>操作用户中心页面</v>
      </c>
      <c r="D6" s="25" t="str">
        <v>user_center_page_operation_mode_switch</v>
      </c>
      <c r="E6" s="25">
        <f>B6&amp;C6</f>
      </c>
      <c r="F6" s="25" t="str">
        <v>用户点击切换模式开关状态，仅变化时记录</v>
      </c>
      <c r="G6" s="25" t="str">
        <v>operation</v>
      </c>
      <c r="H6" s="25" t="str">
        <v>打开 / 关闭</v>
      </c>
      <c r="I6" s="25" t="str">
        <v>用户 {operation} 了用户中心页面</v>
      </c>
      <c r="J6" s="25" t="str">
        <v>用户23312 打开了用户中心页面</v>
      </c>
      <c r="N6" s="3" t="str">
        <v>V1</v>
      </c>
      <c r="O6" s="94">
        <v>46188</v>
      </c>
      <c r="P6" s="3" t="str">
        <v>用户后面添加对应UserId，可以通过他找到对应的用户信息</v>
      </c>
    </row>
    <row r="7" spans="1:16">
      <c r="A7" s="25" t="str">
        <v>人车交互</v>
      </c>
      <c r="B7" s="25" t="str">
        <v>账号</v>
      </c>
      <c r="C7" s="25" t="str">
        <v>乘客详细信息查看</v>
      </c>
      <c r="D7" s="25" t="str">
        <v>passenger_info_view_mode_switch</v>
      </c>
      <c r="E7" s="25">
        <f>B7&amp;C7</f>
      </c>
      <c r="F7" s="25" t="str">
        <v>用户点击切换模式开关状态，仅变化时记录</v>
      </c>
      <c r="G7" s="25" t="str">
        <v>operation</v>
      </c>
      <c r="H7" s="25" t="str">
        <v>打开 / 关闭</v>
      </c>
      <c r="I7" s="25" t="str">
        <v>用户 {operation} 了乘客详细信息查看</v>
      </c>
      <c r="J7" s="25" t="str">
        <v>用户23312 打开了乘客详细信息查看</v>
      </c>
      <c r="N7" s="3" t="str">
        <v>V1</v>
      </c>
      <c r="O7" s="94">
        <v>46188</v>
      </c>
      <c r="P7" s="3" t="str">
        <v>用户后面添加对应UserId，可以通过他找到对应的用户信息</v>
      </c>
    </row>
    <row r="8" spans="1:16">
      <c r="A8" s="25" t="str">
        <v>人车交互</v>
      </c>
      <c r="B8" s="25" t="str">
        <v>账号</v>
      </c>
      <c r="C8" s="25" t="str">
        <v>乘客信息处理</v>
      </c>
      <c r="D8" s="25" t="str">
        <v>passenger_info_management_data_operation</v>
      </c>
      <c r="E8" s="25">
        <f>B8&amp;C8</f>
      </c>
      <c r="F8" s="25" t="str">
        <v>用户对乘客信息处理进行新增 / 删除操作，仅操作完成时记录</v>
      </c>
      <c r="G8" s="25" t="str">
        <v>operation</v>
      </c>
      <c r="H8" s="25" t="str">
        <v>新增 / 删除</v>
      </c>
      <c r="I8" s="25" t="str">
        <v>用户 {operation} 了乘客信息，名字{name}</v>
      </c>
      <c r="J8" s="25" t="str">
        <v>1.用户23312 新增了乘客信息，名字张三
2.用户23312 删除了乘客信息，名字李四</v>
      </c>
      <c r="N8" s="3" t="str">
        <v>V1</v>
      </c>
      <c r="O8" s="94">
        <v>46188</v>
      </c>
      <c r="P8" s="3" t="str">
        <v>用户后面添加对应UserId，可以通过他找到对应的用户信息</v>
      </c>
    </row>
    <row r="9" spans="7:16">
      <c r="G9" s="25" t="str">
        <v>name</v>
      </c>
      <c r="H9" s="25" t="str">
        <v>乘客账号名字</v>
      </c>
      <c r="I9" s="25"/>
      <c r="J9" s="25"/>
      <c r="N9" s="3" t="str">
        <v>V1</v>
      </c>
      <c r="O9" s="94">
        <v>46188</v>
      </c>
      <c r="P9" s="3" t="str">
        <v>用户后面添加对应UserId，可以通过他找到对应的用户信息</v>
      </c>
    </row>
    <row r="10" spans="1:16">
      <c r="A10" s="25" t="str">
        <v>人车交互</v>
      </c>
      <c r="B10" s="25" t="str">
        <v>账号</v>
      </c>
      <c r="C10" s="25" t="str">
        <v>面容 ID 处理</v>
      </c>
      <c r="D10" s="25" t="str">
        <v>face_id_management_data_operation</v>
      </c>
      <c r="E10" s="25">
        <f>B10&amp;C10</f>
      </c>
      <c r="F10" s="25" t="str">
        <v>用户对面容 ID 处理进行新增 / 删除 / 重录操作，仅操作完成时记录</v>
      </c>
      <c r="G10" s="25" t="str">
        <v>operation</v>
      </c>
      <c r="H10" s="25" t="str">
        <v>新增 / 删除 / 重录</v>
      </c>
      <c r="I10" s="25" t="str">
        <v>用户 {operation} 了faceID，名字{name}</v>
      </c>
      <c r="J10" s="25" t="str">
        <v>1.用户23312 新增了faceID，名字张三
2.用户23312 删除了faceID，名字李四
3.用户23312 重录了faceID，名字xxx</v>
      </c>
      <c r="N10" s="3" t="str">
        <v>V1</v>
      </c>
      <c r="O10" s="94">
        <v>46188</v>
      </c>
      <c r="P10" s="3" t="str">
        <v>用户后面添加对应UserId，可以通过他找到对应的用户信息</v>
      </c>
    </row>
    <row r="11" spans="7:16">
      <c r="G11" s="25" t="str">
        <v>name</v>
      </c>
      <c r="H11" s="25" t="str">
        <v>乘客账号名字</v>
      </c>
      <c r="I11" s="25"/>
      <c r="J11" s="25"/>
      <c r="N11" s="3" t="str">
        <v>V1</v>
      </c>
      <c r="O11" s="94">
        <v>46188</v>
      </c>
      <c r="P11" s="3" t="str">
        <v>用户后面添加对应UserId，可以通过他找到对应的用户信息</v>
      </c>
    </row>
    <row r="12" spans="1:16">
      <c r="A12" s="25" t="str">
        <v>人车交互</v>
      </c>
      <c r="B12" s="25" t="str">
        <v>用户反馈</v>
      </c>
      <c r="C12" s="25" t="str">
        <v>用户反馈操作</v>
      </c>
      <c r="D12" s="25" t="str">
        <v>user_feedback_operation_confirm_operation</v>
      </c>
      <c r="E12" s="25" t="str">
        <v>用户反馈</v>
      </c>
      <c r="F12" s="25" t="str">
        <v>用户对用户反馈操作内容进行提交 / 取消操作，仅操作完成时记录</v>
      </c>
      <c r="G12" s="25" t="str">
        <v>operation</v>
      </c>
      <c r="H12" s="25" t="str">
        <v>提交 / 取消</v>
      </c>
      <c r="I12" s="25" t="str">
        <v>用户 {operation} 了用户反馈</v>
      </c>
      <c r="J12" s="25" t="str">
        <v>用户23312 提交了用户反馈</v>
      </c>
      <c r="N12" s="3" t="str">
        <v>V1</v>
      </c>
      <c r="O12" s="94">
        <v>46188</v>
      </c>
      <c r="P12" s="3" t="str">
        <v>用户后面添加对应UserId，可以通过他找到对应的用户信息</v>
      </c>
    </row>
    <row r="13" spans="1:16">
      <c r="A13" s="25" t="str">
        <v>人车交互</v>
      </c>
      <c r="B13" s="25" t="str">
        <v>电话</v>
      </c>
      <c r="C13" s="25" t="str">
        <v>查看联系人列表</v>
      </c>
      <c r="D13" s="25" t="str">
        <v>contact_list_operation_mode_switch</v>
      </c>
      <c r="E13" s="25">
        <f>B13&amp;C13</f>
      </c>
      <c r="F13" s="25" t="str">
        <v>用户点击切换模式开关状态，仅变化时记录</v>
      </c>
      <c r="G13" s="25" t="str">
        <v>operation</v>
      </c>
      <c r="H13" s="25" t="str">
        <v>打开 / 关闭</v>
      </c>
      <c r="I13" s="25" t="str">
        <v>用户 {operation} 了联系人列表</v>
      </c>
      <c r="J13" s="25" t="str">
        <v>用户23312 打开了联系人列表</v>
      </c>
      <c r="N13" s="3" t="str">
        <v>V1</v>
      </c>
      <c r="O13" s="94">
        <v>46188</v>
      </c>
      <c r="P13" s="3" t="str">
        <v>用户后面添加对应UserId，可以通过他找到对应的用户信息</v>
      </c>
    </row>
    <row r="14" spans="1:16">
      <c r="A14" s="25" t="str">
        <v>人车交互</v>
      </c>
      <c r="B14" s="25" t="str">
        <v>电话</v>
      </c>
      <c r="C14" s="25" t="str">
        <v>查看联系人详情</v>
      </c>
      <c r="D14" s="25" t="str">
        <v>contact_detail_view_detail_view</v>
      </c>
      <c r="E14" s="25">
        <f>B14&amp;C14</f>
      </c>
      <c r="F14" s="25" t="str">
        <v>用户进行联系人详情详情查看，仅操作完成时记录</v>
      </c>
      <c r="G14" s="25" t="str">
        <v>operation</v>
      </c>
      <c r="H14" s="25" t="str">
        <v>打开 / 关闭 / 查看</v>
      </c>
      <c r="I14" s="25" t="str">
        <v>用户 {operation} 了联系人详情</v>
      </c>
      <c r="J14" s="25" t="str">
        <v>用户23312 打开了联系人详情</v>
      </c>
      <c r="N14" s="3" t="str">
        <v>V1</v>
      </c>
      <c r="O14" s="94">
        <v>46188</v>
      </c>
      <c r="P14" s="3" t="str">
        <v>用户后面添加对应UserId，可以通过他找到对应的用户信息</v>
      </c>
    </row>
    <row r="15" spans="1:16">
      <c r="A15" s="25" t="str">
        <v>人车交互</v>
      </c>
      <c r="B15" s="25" t="str">
        <v>电话</v>
      </c>
      <c r="C15" s="25" t="str">
        <v>查看最近通话列表</v>
      </c>
      <c r="D15" s="25" t="str">
        <v>recent_call_operation_mode_switch</v>
      </c>
      <c r="E15" s="25">
        <f>B15&amp;C15</f>
      </c>
      <c r="F15" s="25" t="str">
        <v>用户点击查看最近通话列表，仅打开关闭时记录</v>
      </c>
      <c r="G15" s="25" t="str">
        <v>operation</v>
      </c>
      <c r="H15" s="25" t="str">
        <v>打开 / 关闭</v>
      </c>
      <c r="I15" s="25" t="str">
        <v>用户 {operation} 了最近通话列表</v>
      </c>
      <c r="J15" s="25" t="str">
        <v>用户23312 打开了最近通话列表</v>
      </c>
      <c r="N15" s="3" t="str">
        <v>V1</v>
      </c>
      <c r="O15" s="94">
        <v>46188</v>
      </c>
      <c r="P15" s="3" t="str">
        <v>用户后面添加对应UserId，可以通过他找到对应的用户信息</v>
      </c>
    </row>
    <row r="16" spans="1:16">
      <c r="A16" s="25" t="str">
        <v>人车交互</v>
      </c>
      <c r="B16" s="25" t="str">
        <v>电话</v>
      </c>
      <c r="C16" s="25" t="str">
        <v>回拨未接来电</v>
      </c>
      <c r="D16" s="25" t="str">
        <v>call_missed_call_callback_dial_operation</v>
      </c>
      <c r="E16" s="25">
        <f>B16&amp;C16</f>
      </c>
      <c r="F16" s="25" t="str">
        <v>用户进行回拨未接来电拨打操作，仅操作完成时记录</v>
      </c>
      <c r="G16" s="25" t="str">
        <v>operation</v>
      </c>
      <c r="H16" s="25" t="str">
        <v>/</v>
      </c>
      <c r="I16" s="25" t="str">
        <v>用户回拨未接来电</v>
      </c>
      <c r="J16" s="25" t="str">
        <v>用户23312 回拨未接来电</v>
      </c>
      <c r="N16" s="3" t="str">
        <v>V1</v>
      </c>
      <c r="O16" s="94">
        <v>46188</v>
      </c>
      <c r="P16" s="3" t="str">
        <v>用户后面添加对应UserId，可以通过他找到对应的用户信息</v>
      </c>
    </row>
    <row r="17" spans="1:16">
      <c r="A17" s="25" t="str">
        <v>人车交互</v>
      </c>
      <c r="B17" s="25" t="str">
        <v>电话</v>
      </c>
      <c r="C17" s="25" t="str">
        <v>接听/挂断来电</v>
      </c>
      <c r="D17" s="25" t="str">
        <v>call_hangup_hangup_operation</v>
      </c>
      <c r="E17" s="25">
        <f>B17&amp;C17</f>
      </c>
      <c r="F17" s="25" t="str">
        <v>用户进行接听/挂断来电挂断操作，仅操作完成时记录</v>
      </c>
      <c r="G17" s="25" t="str">
        <v>operation</v>
      </c>
      <c r="H17" s="25" t="str">
        <v>接听 / 挂断</v>
      </c>
      <c r="I17" s="25" t="str">
        <v>用户 {operation} 了电话来电</v>
      </c>
      <c r="J17" s="25" t="str">
        <v>用户23312 挂断了电话来电</v>
      </c>
      <c r="N17" s="3" t="str">
        <v>V1</v>
      </c>
      <c r="O17" s="94">
        <v>46188</v>
      </c>
      <c r="P17" s="3" t="str">
        <v>用户后面添加对应UserId，可以通过他找到对应的用户信息</v>
      </c>
    </row>
    <row r="18" spans="1:16">
      <c r="A18" s="25" t="str">
        <v>人车交互</v>
      </c>
      <c r="B18" s="25" t="str">
        <v>电话</v>
      </c>
      <c r="C18" s="25" t="str">
        <v>静音控制</v>
      </c>
      <c r="D18" s="25" t="str">
        <v>call_mute_control_switch_operation</v>
      </c>
      <c r="E18" s="25">
        <f>B18&amp;C18</f>
      </c>
      <c r="F18" s="25" t="str">
        <v>用户进行静音控制切换操作，仅操作完成时记录</v>
      </c>
      <c r="G18" s="25" t="str">
        <v>operation</v>
      </c>
      <c r="H18" s="25" t="str">
        <v>打开 / 关闭</v>
      </c>
      <c r="I18" s="25" t="str">
        <v>用户电话{operation}了静音</v>
      </c>
      <c r="J18" s="25" t="str">
        <v>用户23312 电话关门了静音</v>
      </c>
      <c r="N18" s="3" t="str">
        <v>V1</v>
      </c>
      <c r="O18" s="94">
        <v>46188</v>
      </c>
      <c r="P18" s="3" t="str">
        <v>用户后面添加对应UserId，可以通过他找到对应的用户信息</v>
      </c>
    </row>
    <row r="19" spans="1:16">
      <c r="A19" s="25" t="str">
        <v>人车交互</v>
      </c>
      <c r="B19" s="25" t="str">
        <v>电话</v>
      </c>
      <c r="C19" s="25" t="str">
        <v>音频输出切换</v>
      </c>
      <c r="D19" s="25" t="str">
        <v>call_audio_output_switch_switch_operation</v>
      </c>
      <c r="E19" s="25">
        <f>B19&amp;C19</f>
      </c>
      <c r="F19" s="25" t="str">
        <v>用户进行音频输出切换切换操作，仅操作完成时记录</v>
      </c>
      <c r="G19" s="25" t="str">
        <v>mode</v>
      </c>
      <c r="H19" s="17" t="str">
        <v>头枕音响/公共音响</v>
      </c>
      <c r="I19" s="25" t="str">
        <v>用户电话音频输出切换成{mode}</v>
      </c>
      <c r="J19" s="25" t="str">
        <v>用户23312 电话音频输出切换成公共音响</v>
      </c>
      <c r="N19" s="3" t="str">
        <v>V1</v>
      </c>
      <c r="O19" s="94">
        <v>46188</v>
      </c>
      <c r="P19" s="3" t="str">
        <v>用户后面添加对应UserId，可以通过他找到对应的用户信息</v>
      </c>
    </row>
    <row r="20" spans="1:16">
      <c r="A20" s="25" t="str">
        <v>人车交互</v>
      </c>
      <c r="B20" s="25" t="str">
        <v>网络连接</v>
      </c>
      <c r="C20" s="25" t="str">
        <v>WLAN 列表</v>
      </c>
      <c r="D20" s="25" t="str">
        <v>wlan_list_page_switch</v>
      </c>
      <c r="E20" s="25">
        <f>B20&amp;C20</f>
      </c>
      <c r="F20" s="25" t="str">
        <v>用户点击打开 / 关闭页面开关页面，仅状态变化时记录</v>
      </c>
      <c r="G20" s="25" t="str">
        <v>operation</v>
      </c>
      <c r="H20" s="25" t="str">
        <v>打开 / 关闭</v>
      </c>
      <c r="I20" s="25" t="str">
        <v>用户 {operation} 了 WLAN 列表页面</v>
      </c>
      <c r="J20" s="25" t="str">
        <v>用户23312 打开了 WLAN 列表页面</v>
      </c>
      <c r="N20" s="3" t="str">
        <v>V1</v>
      </c>
      <c r="O20" s="94">
        <v>46188</v>
      </c>
      <c r="P20" s="3" t="str">
        <v>用户后面添加对应UserId，可以通过他找到对应的用户信息</v>
      </c>
    </row>
    <row r="21" spans="1:16">
      <c r="A21" s="25" t="str">
        <v>人车交互</v>
      </c>
      <c r="B21" s="25" t="str">
        <v>网络连接</v>
      </c>
      <c r="C21" s="25" t="str">
        <v>断开当前连接</v>
      </c>
      <c r="D21" s="25" t="str">
        <v>current_connection_disconnect_disconnect_operation</v>
      </c>
      <c r="E21" s="25">
        <f>B21&amp;C21</f>
      </c>
      <c r="F21" s="25" t="str">
        <v>用户进行断开当前连接断开操作，仅操作完成时记录</v>
      </c>
      <c r="G21" s="25" t="str">
        <v>operation</v>
      </c>
      <c r="H21" s="25" t="str">
        <v>断开 / 取消连接</v>
      </c>
      <c r="I21" s="25" t="str">
        <v>用户 {operation}了当前网络连接，网络名字:{name}</v>
      </c>
      <c r="J21" s="25" t="str">
        <v>用户23312 断开了当前网络连接，网络名字:SDSD</v>
      </c>
      <c r="N21" s="3" t="str">
        <v>V1</v>
      </c>
      <c r="O21" s="94">
        <v>46188</v>
      </c>
      <c r="P21" s="3" t="str">
        <v>用户后面添加对应UserId，可以通过他找到对应的用户信息</v>
      </c>
    </row>
    <row r="22" spans="7:16">
      <c r="G22" s="25" t="str">
        <v>name</v>
      </c>
      <c r="H22" s="25" t="str">
        <v>网络名字</v>
      </c>
      <c r="I22" s="25"/>
      <c r="J22" s="25"/>
      <c r="N22" s="3" t="str">
        <v>V1</v>
      </c>
      <c r="O22" s="94">
        <v>46188</v>
      </c>
      <c r="P22" s="3" t="str">
        <v>用户后面添加对应UserId，可以通过他找到对应的用户信息</v>
      </c>
    </row>
    <row r="23" spans="1:16">
      <c r="A23" s="25" t="str">
        <v>人车交互</v>
      </c>
      <c r="B23" s="25" t="str">
        <v>网络连接</v>
      </c>
      <c r="C23" s="25" t="str">
        <v>热点开关</v>
      </c>
      <c r="D23" s="25" t="str">
        <v>hotspot_switch_mode_switch</v>
      </c>
      <c r="E23" s="25">
        <f>B23&amp;C23</f>
      </c>
      <c r="F23" s="25" t="str">
        <v>用户点击切换模式开关状态，仅变化时记录</v>
      </c>
      <c r="G23" s="25" t="str">
        <v>operation</v>
      </c>
      <c r="H23" s="25" t="str">
        <v>打开 / 关闭</v>
      </c>
      <c r="I23" s="25" t="str">
        <v>用户 {operation} 了热点开关，热点名字:{name}</v>
      </c>
      <c r="J23" s="25" t="str">
        <v>1.用户23312 打开了热点开关，热点名字:sd123
2.用户23312 关闭了热点开关</v>
      </c>
      <c r="N23" s="3" t="str">
        <v>V1</v>
      </c>
      <c r="O23" s="94">
        <v>46188</v>
      </c>
      <c r="P23" s="3" t="str">
        <v>用户后面添加对应UserId，可以通过他找到对应的用户信息</v>
      </c>
    </row>
    <row r="24" spans="7:16">
      <c r="G24" s="25" t="str">
        <v>name</v>
      </c>
      <c r="H24" s="25" t="str">
        <v>热点名字</v>
      </c>
      <c r="I24" s="25"/>
      <c r="J24" s="25"/>
      <c r="N24" s="3" t="str">
        <v>V1</v>
      </c>
      <c r="O24" s="94">
        <v>46188</v>
      </c>
      <c r="P24" s="3" t="str">
        <v>用户后面添加对应UserId，可以通过他找到对应的用户信息</v>
      </c>
    </row>
    <row r="25" spans="1:16">
      <c r="A25" s="25" t="str">
        <v>人车交互</v>
      </c>
      <c r="B25" s="25" t="str">
        <v>OTA</v>
      </c>
      <c r="C25" s="25" t="str">
        <v>版本检测</v>
      </c>
      <c r="D25" s="25" t="str">
        <v>version_check_query_operation</v>
      </c>
      <c r="E25" s="25">
        <f>B25&amp;C25</f>
      </c>
      <c r="F25" s="25" t="str">
        <v>用户进行版本检测查询操作，仅操作完成时记录</v>
      </c>
      <c r="G25" s="25" t="str">
        <v>operation</v>
      </c>
      <c r="H25" s="25" t="str">
        <v>/</v>
      </c>
      <c r="I25" s="25" t="str">
        <v>用户查询了版本检测</v>
      </c>
      <c r="J25" s="25" t="str">
        <v>用户23312 查询了版本检测</v>
      </c>
      <c r="N25" s="3" t="str">
        <v>V1</v>
      </c>
      <c r="O25" s="94">
        <v>46188</v>
      </c>
      <c r="P25" s="3" t="str">
        <v>用户后面添加对应UserId，可以通过他找到对应的用户信息</v>
      </c>
    </row>
    <row r="26" spans="1:16">
      <c r="A26" s="25" t="str">
        <v>人车交互</v>
      </c>
      <c r="B26" s="25" t="str">
        <v>OTA</v>
      </c>
      <c r="C26" s="25" t="str">
        <v>新版本下载操作</v>
      </c>
      <c r="D26" s="25" t="str">
        <v>new_version_download_operation_download_operation</v>
      </c>
      <c r="E26" s="25">
        <f>B26&amp;C26</f>
      </c>
      <c r="F26" s="25" t="str">
        <v>用户进行新版本下载操作，仅操作完成时记录</v>
      </c>
      <c r="G26" s="25" t="str">
        <v>operation</v>
      </c>
      <c r="H26" s="25" t="str">
        <v>下载 / 暂停下载 / 恢复下载 / 取消下载 / 重试下载</v>
      </c>
      <c r="I26" s="25" t="str">
        <v>用户 {operation} 了新系统版本{version}</v>
      </c>
      <c r="J26" s="25" t="str">
        <v>用户23312 下载了新系统版本HarmonyOS 4.3.1</v>
      </c>
      <c r="N26" s="3" t="str">
        <v>V1</v>
      </c>
      <c r="O26" s="94">
        <v>46188</v>
      </c>
      <c r="P26" s="3" t="str">
        <v>用户后面添加对应UserId，可以通过他找到对应的用户信息</v>
      </c>
    </row>
    <row r="27" spans="7:16">
      <c r="G27" s="25" t="str">
        <v>version</v>
      </c>
      <c r="H27" s="25" t="str">
        <v>版本名称</v>
      </c>
      <c r="I27" s="25"/>
      <c r="J27" s="25"/>
      <c r="N27" s="3" t="str">
        <v>V1</v>
      </c>
      <c r="O27" s="94">
        <v>46188</v>
      </c>
      <c r="P27" s="3" t="str">
        <v>用户后面添加对应UserId，可以通过他找到对应的用户信息</v>
      </c>
    </row>
    <row r="28" spans="1:16">
      <c r="A28" s="25" t="str">
        <v>人车交互</v>
      </c>
      <c r="B28" s="25" t="str">
        <v>OTA</v>
      </c>
      <c r="C28" s="25" t="str">
        <v>新版本升级操作</v>
      </c>
      <c r="D28" s="25" t="str">
        <v>new_version_upgrade_operation_upgrade_operation</v>
      </c>
      <c r="E28" s="25">
        <f>B28&amp;C28</f>
      </c>
      <c r="F28" s="25" t="str">
        <v>用户进行新版本升级操作，仅操作完成时记录</v>
      </c>
      <c r="G28" s="25" t="str">
        <v>operation</v>
      </c>
      <c r="H28" s="25" t="str">
        <v>升级 / 预约升级 / 取消预约 / 推迟升级</v>
      </c>
      <c r="I28" s="25" t="str">
        <v>用户 {operation} 了新系统版本{version}</v>
      </c>
      <c r="J28" s="25" t="str">
        <v>用户23312 升级了新系统版本HarmonyOS 4.3.1</v>
      </c>
      <c r="N28" s="3" t="str">
        <v>V1</v>
      </c>
      <c r="O28" s="94">
        <v>46188</v>
      </c>
      <c r="P28" s="3" t="str">
        <v>用户后面添加对应UserId，可以通过他找到对应的用户信息</v>
      </c>
    </row>
    <row r="29" spans="7:16">
      <c r="G29" s="25" t="str">
        <v>version</v>
      </c>
      <c r="H29" s="25" t="str">
        <v>版本名称</v>
      </c>
      <c r="I29" s="25"/>
      <c r="J29" s="25"/>
      <c r="N29" s="3" t="str">
        <v>V1</v>
      </c>
      <c r="O29" s="94">
        <v>46188</v>
      </c>
      <c r="P29" s="3" t="str">
        <v>用户后面添加对应UserId，可以通过他找到对应的用户信息</v>
      </c>
    </row>
    <row r="30" spans="1:16">
      <c r="A30" s="25" t="str">
        <v>人车交互</v>
      </c>
      <c r="B30" s="25" t="str">
        <v>消息通知</v>
      </c>
      <c r="C30" s="25" t="str">
        <v>通知中心列表操作</v>
      </c>
      <c r="D30" s="25" t="str">
        <v>notification_center_list_operation_list_operation</v>
      </c>
      <c r="E30" s="25">
        <f>B30&amp;C30</f>
      </c>
      <c r="F30" s="25" t="str">
        <v>用户进行通知中心列表操作，仅操作完成时记录</v>
      </c>
      <c r="G30" s="25" t="str">
        <v>operation</v>
      </c>
      <c r="H30" s="25" t="str">
        <v>/</v>
      </c>
      <c r="I30" s="25" t="str">
        <v>用户点击查看了通知中心列表条目</v>
      </c>
      <c r="J30" s="25" t="str">
        <v>用户23312 点击查看了通知中心列表条目</v>
      </c>
      <c r="N30" s="3" t="str">
        <v>V1</v>
      </c>
      <c r="O30" s="94">
        <v>46188</v>
      </c>
      <c r="P30" s="3" t="str">
        <v>用户后面添加对应UserId，可以通过他找到对应的用户信息</v>
      </c>
    </row>
    <row r="31" spans="1:16">
      <c r="A31" s="25" t="str">
        <v>人车交互</v>
      </c>
      <c r="B31" s="25" t="str">
        <v>消息通知</v>
      </c>
      <c r="C31" s="25" t="str">
        <v>通知中心列表单条删除</v>
      </c>
      <c r="D31" s="25" t="str">
        <v>notification_single_delete_delete_operation</v>
      </c>
      <c r="E31" s="25">
        <f>B31&amp;C31</f>
      </c>
      <c r="F31" s="25" t="str">
        <v>用户进行通知中心列表单条删除操作，仅操作完成时记录</v>
      </c>
      <c r="G31" s="25" t="str">
        <v>operation</v>
      </c>
      <c r="H31" s="25" t="str">
        <v>/</v>
      </c>
      <c r="I31" s="25" t="str">
        <v>用户通知中心列表单条删除</v>
      </c>
      <c r="J31" s="25" t="str">
        <v>用户23312 通知中心列表单条删除</v>
      </c>
      <c r="N31" s="3" t="str">
        <v>V1</v>
      </c>
      <c r="O31" s="94">
        <v>46188</v>
      </c>
      <c r="P31" s="3" t="str">
        <v>用户后面添加对应UserId，可以通过他找到对应的用户信息</v>
      </c>
    </row>
    <row r="32" spans="1:16">
      <c r="A32" s="25" t="str">
        <v>人车交互</v>
      </c>
      <c r="B32" s="25" t="str">
        <v>消息通知</v>
      </c>
      <c r="C32" s="25" t="str">
        <v>通知中心列表全部清除</v>
      </c>
      <c r="D32" s="25" t="str">
        <v>notification_all_clear_clear_operation</v>
      </c>
      <c r="E32" s="25">
        <f>B32&amp;C32</f>
      </c>
      <c r="F32" s="25" t="str">
        <v>用户进行通知中心列表全部清除操作，仅操作完成时记录</v>
      </c>
      <c r="G32" s="25" t="str">
        <v>operation</v>
      </c>
      <c r="H32" s="25" t="str">
        <v>/</v>
      </c>
      <c r="I32" s="25" t="str">
        <v>用户通知中心列表全部清除</v>
      </c>
      <c r="J32" s="25" t="str">
        <v>用户23312 通知中心列表全部清除</v>
      </c>
      <c r="N32" s="3" t="str">
        <v>V1</v>
      </c>
      <c r="O32" s="94">
        <v>46188</v>
      </c>
      <c r="P32" s="3" t="str">
        <v>用户后面添加对应UserId，可以通过他找到对应的用户信息</v>
      </c>
    </row>
    <row r="33" spans="1:16">
      <c r="A33" s="25" t="str">
        <v>人车交互</v>
      </c>
      <c r="B33" s="25" t="str">
        <v>消息通知</v>
      </c>
      <c r="C33" s="25" t="str">
        <v>通知中心列表跳转设置</v>
      </c>
      <c r="D33" s="25" t="str">
        <v>notification_jump_to_settings_jump_operation</v>
      </c>
      <c r="E33" s="25">
        <f>B33&amp;C33</f>
      </c>
      <c r="F33" s="25" t="str">
        <v>用户进行通知中心列表跳转设置操作，仅操作完成时记录</v>
      </c>
      <c r="G33" s="25" t="str">
        <v>operation</v>
      </c>
      <c r="H33" s="25" t="str">
        <v>跳转 / 进入</v>
      </c>
      <c r="I33" s="25" t="str">
        <v>用户 {operation} 了通知中心列表跳转设置</v>
      </c>
      <c r="J33" s="25" t="str">
        <v>用户23312 跳转了通知中心列表跳转设置</v>
      </c>
      <c r="N33" s="3" t="str">
        <v>V1</v>
      </c>
      <c r="O33" s="94">
        <v>46188</v>
      </c>
      <c r="P33" s="3" t="str">
        <v>用户后面添加对应UserId，可以通过他找到对应的用户信息</v>
      </c>
    </row>
    <row r="34" spans="1:16">
      <c r="A34" s="25" t="str">
        <v>人车交互</v>
      </c>
      <c r="B34" s="25" t="str">
        <v>消息通知</v>
      </c>
      <c r="C34" s="25" t="str">
        <v>通知设置操作</v>
      </c>
      <c r="D34" s="25" t="str">
        <v>notification_settings_operation_settings_operation</v>
      </c>
      <c r="E34" s="25">
        <f>B34&amp;C34</f>
      </c>
      <c r="F34" s="25" t="str">
        <v>用户进行通知设置操作，仅操作完成时记录</v>
      </c>
      <c r="G34" s="25" t="str">
        <v>operation</v>
      </c>
      <c r="H34" s="25" t="str">
        <v>打开 / 关闭</v>
      </c>
      <c r="I34" s="25" t="str">
        <v>用户 {operation} 了通知设置操作</v>
      </c>
      <c r="J34" s="25" t="str">
        <v>用户23312 打开了通知设置操作</v>
      </c>
      <c r="N34" s="3" t="str">
        <v>V1</v>
      </c>
      <c r="O34" s="94">
        <v>46188</v>
      </c>
      <c r="P34" s="3" t="str">
        <v>用户后面添加对应UserId，可以通过他找到对应的用户信息</v>
      </c>
    </row>
    <row r="35" spans="1:16">
      <c r="A35" s="25" t="str">
        <v>人车交互</v>
      </c>
      <c r="B35" s="25" t="str">
        <v>消息通知</v>
      </c>
      <c r="C35" s="25" t="str">
        <v>操作应用通知</v>
      </c>
      <c r="D35" s="25" t="str">
        <v>app_notification_operation_app_notification_operation</v>
      </c>
      <c r="E35" s="25">
        <f>B35&amp;C35</f>
      </c>
      <c r="F35" s="25" t="str">
        <v>用户进行操作应用通知操作，仅操作完成时记录</v>
      </c>
      <c r="G35" s="25" t="str">
        <v>operation</v>
      </c>
      <c r="H35" s="25" t="str">
        <v>打开 / 关闭 </v>
      </c>
      <c r="I35" s="25" t="str">
        <v>用户 {operation} 了{appName}应用通知</v>
      </c>
      <c r="J35" s="25" t="str">
        <v>用户23312 打开了汽水音乐应用通知</v>
      </c>
      <c r="N35" s="3" t="str">
        <v>V1</v>
      </c>
      <c r="O35" s="94">
        <v>46188</v>
      </c>
      <c r="P35" s="3" t="str">
        <v>用户后面添加对应UserId，可以通过他找到对应的用户信息</v>
      </c>
    </row>
    <row r="36" spans="7:16">
      <c r="G36" s="25" t="str">
        <v>appName</v>
      </c>
      <c r="H36" s="25" t="str">
        <v>应用名字</v>
      </c>
      <c r="I36" s="25"/>
      <c r="J36" s="25"/>
      <c r="N36" s="3" t="str">
        <v>V1</v>
      </c>
      <c r="O36" s="94">
        <v>46188</v>
      </c>
      <c r="P36" s="3" t="str">
        <v>用户后面添加对应UserId，可以通过他找到对应的用户信息</v>
      </c>
    </row>
    <row r="37" spans="1:16">
      <c r="A37" s="25" t="str">
        <v>人车交互</v>
      </c>
      <c r="B37" s="25" t="str">
        <v>存储与优化</v>
      </c>
      <c r="C37" s="25" t="str">
        <v>存储清理</v>
      </c>
      <c r="D37" s="25" t="str">
        <v>storage_cleanup_cleanup_operation</v>
      </c>
      <c r="E37" s="25">
        <f>B37&amp;C37</f>
      </c>
      <c r="F37" s="25" t="str">
        <v>用户进行存储清理清理操作，仅操作完成时记录</v>
      </c>
      <c r="G37" s="25" t="str">
        <v>operation</v>
      </c>
      <c r="H37" s="25" t="str">
        <v>清理 / 清除</v>
      </c>
      <c r="I37" s="25" t="str">
        <v>用户 {operation} 了存储清理</v>
      </c>
      <c r="J37" s="25" t="str">
        <v>用户23312 清理了存储清理</v>
      </c>
      <c r="N37" s="3" t="str">
        <v>V1</v>
      </c>
      <c r="O37" s="94">
        <v>46188</v>
      </c>
      <c r="P37" s="3" t="str">
        <v>用户后面添加对应UserId，可以通过他找到对应的用户信息</v>
      </c>
    </row>
    <row r="38" spans="1:16">
      <c r="A38" s="25" t="str">
        <v>人车交互</v>
      </c>
      <c r="B38" s="25" t="str">
        <v>蓝牙设备</v>
      </c>
      <c r="C38" s="25" t="str">
        <v>蓝牙开关</v>
      </c>
      <c r="D38" s="25" t="str">
        <v>bluetooth_switch_mode_switch</v>
      </c>
      <c r="E38" s="25">
        <f>B38&amp;C38</f>
      </c>
      <c r="F38" s="25" t="str">
        <v>用户点击切换模式开关状态，仅变化时记录</v>
      </c>
      <c r="G38" s="25" t="str">
        <v>operation</v>
      </c>
      <c r="H38" s="25" t="str">
        <v>打开 / 关闭</v>
      </c>
      <c r="I38" s="25" t="str">
        <v>用户 {operation} 了蓝牙开关状态</v>
      </c>
      <c r="J38" s="25" t="str">
        <v>用户23312 打开了蓝牙开关状态</v>
      </c>
      <c r="N38" s="3" t="str">
        <v>V1</v>
      </c>
      <c r="O38" s="94">
        <v>46188</v>
      </c>
      <c r="P38" s="3" t="str">
        <v>用户后面添加对应UserId，可以通过他找到对应的用户信息</v>
      </c>
    </row>
    <row r="39" spans="1:16">
      <c r="A39" s="25" t="str">
        <v>人车交互</v>
      </c>
      <c r="B39" s="25" t="str">
        <v>蓝牙设备</v>
      </c>
      <c r="C39" s="25" t="str">
        <v>连接已配对设备</v>
      </c>
      <c r="D39" s="25" t="str">
        <v>paired_device_connect_connect_operation</v>
      </c>
      <c r="E39" s="25">
        <f>B39&amp;C39</f>
      </c>
      <c r="F39" s="25" t="str">
        <v>用户进行连接已配对设备连接操作，仅操作完成时记录</v>
      </c>
      <c r="G39" s="25" t="str">
        <v>operation</v>
      </c>
      <c r="H39" s="25" t="str">
        <v>连接 / 断开</v>
      </c>
      <c r="I39" s="25" t="str">
        <v>用户 {operation} 了连接已配对设备</v>
      </c>
      <c r="J39" s="25" t="str">
        <v>用户23312 连接了连接已配对设备</v>
      </c>
      <c r="N39" s="3" t="str">
        <v>V1</v>
      </c>
      <c r="O39" s="94">
        <v>46188</v>
      </c>
      <c r="P39" s="3" t="str">
        <v>用户后面添加对应UserId，可以通过他找到对应的用户信息</v>
      </c>
    </row>
    <row r="40" spans="1:16">
      <c r="A40" s="25" t="str">
        <v>人车交互</v>
      </c>
      <c r="B40" s="25" t="str">
        <v>蓝牙设备</v>
      </c>
      <c r="C40" s="25" t="str">
        <v>蓝牙设备扫描</v>
      </c>
      <c r="D40" s="25" t="str">
        <v>bluetooth_device_scan_scan_operation</v>
      </c>
      <c r="E40" s="25">
        <f>B40&amp;C40</f>
      </c>
      <c r="F40" s="25" t="str">
        <v>用户进行蓝牙设备扫描扫描操作，仅操作完成时记录</v>
      </c>
      <c r="G40" s="25" t="str">
        <v>operation</v>
      </c>
      <c r="H40" s="25" t="str">
        <v>扫描 / 查找</v>
      </c>
      <c r="I40" s="25" t="str">
        <v>用户 {operation} 了蓝牙设备扫描</v>
      </c>
      <c r="J40" s="25" t="str">
        <v>用户23312 扫描了蓝牙设备扫描</v>
      </c>
      <c r="N40" s="3" t="str">
        <v>V1</v>
      </c>
      <c r="O40" s="94">
        <v>46188</v>
      </c>
      <c r="P40" s="3" t="str">
        <v>用户后面添加对应UserId，可以通过他找到对应的用户信息</v>
      </c>
    </row>
    <row r="41" spans="1:16">
      <c r="A41" s="25" t="str">
        <v>人车交互</v>
      </c>
      <c r="B41" s="25" t="str">
        <v>蓝牙设备</v>
      </c>
      <c r="C41" s="25" t="str">
        <v>蓝牙设备配对</v>
      </c>
      <c r="D41" s="25" t="str">
        <v>bluetooth_device_pair_pair_operation</v>
      </c>
      <c r="E41" s="25">
        <f>B41&amp;C41</f>
      </c>
      <c r="F41" s="25" t="str">
        <v>用户进行蓝牙设备配对配对操作，仅操作完成时记录</v>
      </c>
      <c r="G41" s="25" t="str">
        <v>operation</v>
      </c>
      <c r="H41" s="25" t="str">
        <v>配对 / 取消配对</v>
      </c>
      <c r="I41" s="25" t="str">
        <v>用户 {operation} 了蓝牙设备配对</v>
      </c>
      <c r="J41" s="25" t="str">
        <v>用户23312 配对了蓝牙设备配对</v>
      </c>
      <c r="N41" s="3" t="str">
        <v>V1</v>
      </c>
      <c r="O41" s="94">
        <v>46188</v>
      </c>
      <c r="P41" s="3" t="str">
        <v>用户后面添加对应UserId，可以通过他找到对应的用户信息</v>
      </c>
    </row>
    <row r="42" spans="1:16">
      <c r="A42" s="25" t="str">
        <v>人车交互</v>
      </c>
      <c r="B42" s="25" t="str">
        <v>蓝牙设备</v>
      </c>
      <c r="C42" s="25" t="str">
        <v>通讯录同步</v>
      </c>
      <c r="D42" s="25" t="str">
        <v>contact_sync_sync_operation</v>
      </c>
      <c r="E42" s="25">
        <f>B42&amp;C42</f>
      </c>
      <c r="F42" s="25" t="str">
        <v>用户进行通讯录同步同步操作，仅操作完成时记录</v>
      </c>
      <c r="G42" s="25" t="str">
        <v>operation</v>
      </c>
      <c r="H42" s="25" t="str">
        <v>同步 / 暂不同步</v>
      </c>
      <c r="I42" s="25" t="str">
        <v>用户 {operation} 了通讯录同步</v>
      </c>
      <c r="J42" s="25" t="str">
        <v>用户23312 同步了通讯录同步</v>
      </c>
      <c r="N42" s="3" t="str">
        <v>V1</v>
      </c>
      <c r="O42" s="94">
        <v>46188</v>
      </c>
      <c r="P42" s="3" t="str">
        <v>用户后面添加对应UserId，可以通过他找到对应的用户信息</v>
      </c>
    </row>
    <row r="43" spans="1:16">
      <c r="A43" s="25" t="str">
        <v>人车交互</v>
      </c>
      <c r="B43" s="25" t="str">
        <v>蓝牙设备</v>
      </c>
      <c r="C43" s="25" t="str">
        <v>蓝牙设备断开</v>
      </c>
      <c r="D43" s="25" t="str">
        <v>bluetooth_device_disconnect_disconnect_operation</v>
      </c>
      <c r="E43" s="25">
        <f>B43&amp;C43</f>
      </c>
      <c r="F43" s="25" t="str">
        <v>用户进行蓝牙设备断开断开操作，仅操作完成时记录</v>
      </c>
      <c r="G43" s="25" t="str">
        <v>operation</v>
      </c>
      <c r="H43" s="25" t="str">
        <v>断开 / 取消连接</v>
      </c>
      <c r="I43" s="25" t="str">
        <v>用户 {operation} 了蓝牙设备断开</v>
      </c>
      <c r="J43" s="25" t="str">
        <v>用户23312 断开了蓝牙设备断开</v>
      </c>
      <c r="N43" s="3" t="str">
        <v>V1</v>
      </c>
      <c r="O43" s="94">
        <v>46188</v>
      </c>
      <c r="P43" s="3" t="str">
        <v>用户后面添加对应UserId，可以通过他找到对应的用户信息</v>
      </c>
    </row>
  </sheetData>
  <mergeCells count="14">
    <mergeCell ref="I8:I9"/>
    <mergeCell ref="J8:J9"/>
    <mergeCell ref="I10:I11"/>
    <mergeCell ref="J10:J11"/>
    <mergeCell ref="J21:J22"/>
    <mergeCell ref="I21:I22"/>
    <mergeCell ref="J23:J24"/>
    <mergeCell ref="I23:I24"/>
    <mergeCell ref="J26:J27"/>
    <mergeCell ref="I26:I27"/>
    <mergeCell ref="I28:I29"/>
    <mergeCell ref="J28:J29"/>
    <mergeCell ref="J35:J36"/>
    <mergeCell ref="I35:I36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21.285714285714285" style="1" customWidth="1"/>
    <col min="3" max="3" width="29.142857142857142" style="1" customWidth="1"/>
    <col min="4" max="4" width="21.285714285714285" style="1" customWidth="1"/>
    <col min="5" max="6" width="27.285714285714285" style="1" customWidth="1"/>
    <col min="7" max="7" width="26.142857142857142" style="1" customWidth="1"/>
    <col min="8" max="8" width="15" style="1" customWidth="1"/>
    <col min="9" max="18" width="21.285714285714285" style="1" customWidth="1"/>
    <col min="19" max="21" width="15" style="1" customWidth="1"/>
  </cols>
  <sheetData>
    <row r="1" spans="1:18">
      <c r="A1" s="100" t="str">
        <v>一级</v>
      </c>
      <c r="B1" s="100" t="str">
        <v>二级</v>
      </c>
      <c r="C1" s="100" t="str">
        <v>三级</v>
      </c>
      <c r="D1" s="96" t="str">
        <v>事件名称【唯一标识】</v>
      </c>
      <c r="E1" s="100" t="str">
        <v>事件名称（中文）</v>
      </c>
      <c r="F1" s="100" t="str">
        <v>事件说明</v>
      </c>
      <c r="G1" s="100" t="str">
        <v>取值范围</v>
      </c>
      <c r="H1" s="101" t="str">
        <v>需求人</v>
      </c>
      <c r="I1" s="90" t="str">
        <v>事件字段(event_value)</v>
      </c>
      <c r="J1" s="90" t="str">
        <v>字段解释</v>
      </c>
      <c r="K1" s="90" t="str">
        <v>自然语言拼接【规则】</v>
      </c>
      <c r="L1" s="90" t="str">
        <v>事件示例</v>
      </c>
      <c r="M1" s="90" t="str">
        <v>SLS校对情况</v>
      </c>
      <c r="N1" s="90" t="str">
        <v>ZJ校对情况</v>
      </c>
      <c r="O1" s="90" t="str">
        <v>优先级</v>
      </c>
      <c r="P1" s="90" t="str">
        <v>输出版本</v>
      </c>
      <c r="Q1" s="90" t="str">
        <v>输出版本日期</v>
      </c>
      <c r="R1" s="90" t="str">
        <v>备注</v>
      </c>
    </row>
    <row r="2" spans="1:8">
      <c r="A2" s="3" t="str">
        <v>座椅</v>
      </c>
      <c r="C2" s="25" t="str">
        <v>主驾座椅前后 - 硬件开关</v>
      </c>
      <c r="E2" s="25" t="str">
        <v>主驾座椅前后物理按键调节</v>
      </c>
      <c r="G2" s="25" t="str">
        <v>0-100%</v>
      </c>
      <c r="H2" s="3" t="str">
        <v>陈杰</v>
      </c>
    </row>
    <row r="3" spans="3:8">
      <c r="C3" s="25" t="str">
        <v>主驾座垫高度 - 硬件开关</v>
      </c>
      <c r="E3" s="25" t="str">
        <v>主驾座椅高度物理按键调节</v>
      </c>
      <c r="G3" s="25" t="str">
        <v>0-100%</v>
      </c>
      <c r="H3" s="3" t="str">
        <v>陈杰</v>
      </c>
    </row>
    <row r="4" spans="3:8">
      <c r="C4" s="17" t="str">
        <v>主驾靠背角度 - 硬件开关</v>
      </c>
      <c r="E4" s="17" t="str">
        <v>主驾靠背角度物理按键调节</v>
      </c>
      <c r="G4" s="17" t="str">
        <v>0-100%</v>
      </c>
      <c r="H4" s="3" t="str">
        <v>陈杰</v>
      </c>
    </row>
    <row r="5" spans="3:8">
      <c r="C5" s="17" t="str">
        <v>主驾腿托角度 - 硬件开关</v>
      </c>
      <c r="E5" s="17" t="str">
        <v>主驾腿托角度物理按键调节</v>
      </c>
      <c r="G5" s="17" t="str">
        <v>0-100%</v>
      </c>
      <c r="H5" s="3" t="str">
        <v>陈杰</v>
      </c>
    </row>
    <row r="6" spans="3:8">
      <c r="C6" s="17" t="str">
        <v>主驾腿托延伸 - 硬件开关</v>
      </c>
      <c r="E6" s="17" t="str">
        <v>主驾腿托延伸物理按键调节</v>
      </c>
      <c r="G6" s="17" t="str">
        <v>0-100%</v>
      </c>
      <c r="H6" s="3" t="str">
        <v>陈杰</v>
      </c>
    </row>
    <row r="7" spans="3:8">
      <c r="C7" s="27" t="str">
        <v>主驾一键复位 - 硬件开关</v>
      </c>
      <c r="E7" s="27" t="str">
        <v>主驾零重力座位一键复位</v>
      </c>
      <c r="G7" s="27" t="str">
        <v>0/1</v>
      </c>
      <c r="H7" s="3" t="str">
        <v>陈杰</v>
      </c>
    </row>
    <row r="8" spans="3:8">
      <c r="C8" s="27" t="str">
        <v>主驾一键零压 - 硬件开关</v>
      </c>
      <c r="E8" s="27" t="str">
        <v>主驾零重力座椅一键零压</v>
      </c>
      <c r="G8" s="27" t="str">
        <v>0/1</v>
      </c>
      <c r="H8" s="3" t="str">
        <v>陈杰</v>
      </c>
    </row>
    <row r="9" spans="3:8">
      <c r="C9" s="27" t="str">
        <v>主驾一键成床 - 硬件开关</v>
      </c>
      <c r="E9" s="27" t="str">
        <v>主驾零重力座椅一键成床</v>
      </c>
      <c r="G9" s="27" t="str">
        <v>0/1</v>
      </c>
      <c r="H9" s="3" t="str">
        <v>陈杰</v>
      </c>
    </row>
    <row r="10" spans="3:8">
      <c r="C10" s="17" t="str">
        <v>副驾座椅前后 - 硬件开关</v>
      </c>
      <c r="E10" s="17" t="str">
        <v>副驾座椅前后物理按键调节</v>
      </c>
      <c r="G10" s="17" t="str">
        <v>0-100%</v>
      </c>
      <c r="H10" s="3" t="str">
        <v>陈杰</v>
      </c>
    </row>
    <row r="11" spans="3:8">
      <c r="C11" s="17" t="str">
        <v>副驾座垫高度 - 硬件开关</v>
      </c>
      <c r="E11" s="17" t="str">
        <v>副驾座椅高度物理按键调节</v>
      </c>
      <c r="G11" s="17" t="str">
        <v>0-100%</v>
      </c>
      <c r="H11" s="3" t="str">
        <v>陈杰</v>
      </c>
    </row>
    <row r="12" spans="3:8">
      <c r="C12" s="17" t="str">
        <v>副驾靠背角度 - 硬件开关</v>
      </c>
      <c r="E12" s="17" t="str">
        <v>副驾靠背角度物理按键调节</v>
      </c>
      <c r="G12" s="17" t="str">
        <v>0-100%</v>
      </c>
      <c r="H12" s="3" t="str">
        <v>陈杰</v>
      </c>
    </row>
    <row r="13" spans="3:8">
      <c r="C13" s="17" t="str">
        <v>副驾腿托角度 - 硬件开关</v>
      </c>
      <c r="E13" s="17" t="str">
        <v>副驾腿托角度物理按键调节</v>
      </c>
      <c r="G13" s="17" t="str">
        <v>0-100%</v>
      </c>
      <c r="H13" s="3" t="str">
        <v>陈杰</v>
      </c>
    </row>
    <row r="14" spans="3:8">
      <c r="C14" s="17" t="str">
        <v>副驾腿托延伸 - 硬件开关</v>
      </c>
      <c r="E14" s="17" t="str">
        <v>副驾腿托延伸物理按键调节</v>
      </c>
      <c r="G14" s="17" t="str">
        <v>0-100%</v>
      </c>
      <c r="H14" s="3" t="str">
        <v>陈杰</v>
      </c>
    </row>
    <row r="15" spans="3:8">
      <c r="C15" s="27" t="str">
        <v>副驾一键复位 - 硬件开关</v>
      </c>
      <c r="E15" s="27" t="str">
        <v>副驾零重力座位一键复位</v>
      </c>
      <c r="G15" s="27" t="str">
        <v>0/1</v>
      </c>
      <c r="H15" s="3" t="str">
        <v>陈杰</v>
      </c>
    </row>
    <row r="16" spans="3:8">
      <c r="C16" s="3" t="str">
        <v>副驾一键零压 - 硬件开关</v>
      </c>
      <c r="E16" s="3" t="str">
        <v>副驾零重力座椅一键零压</v>
      </c>
      <c r="G16" s="3" t="str">
        <v>0/1</v>
      </c>
      <c r="H16" s="3" t="str">
        <v>陈杰</v>
      </c>
    </row>
    <row r="17" spans="3:8">
      <c r="C17" s="3" t="str">
        <v>副驾一键成床 - 硬件开关</v>
      </c>
      <c r="E17" s="3" t="str">
        <v>副驾零重力座椅一键成床</v>
      </c>
      <c r="G17" s="3" t="str">
        <v>0/1</v>
      </c>
      <c r="H17" s="3" t="str">
        <v>陈杰</v>
      </c>
    </row>
    <row r="18" spans="3:8">
      <c r="C18" s="25" t="str">
        <v>电动门开闭 - 硬件开关</v>
      </c>
      <c r="E18" s="25" t="str">
        <v>电动门物理按键控制</v>
      </c>
      <c r="G18" s="25" t="str">
        <v>主驾/副驾/后排左/后排右/全车</v>
      </c>
      <c r="H18" s="3" t="str">
        <v>陈杰</v>
      </c>
    </row>
    <row r="19" spans="3:8">
      <c r="C19" s="25" t="str">
        <v>充电口盖开闭 - 硬件开关</v>
      </c>
      <c r="E19" s="25" t="str">
        <v>充电口盖物理按键控制</v>
      </c>
      <c r="G19" s="3" t="str">
        <v>0/1</v>
      </c>
      <c r="H19" s="3" t="str">
        <v>陈杰</v>
      </c>
    </row>
    <row r="20" spans="3:8">
      <c r="C20" s="25" t="str">
        <v>后备箱开闭 - 硬件开关</v>
      </c>
      <c r="E20" s="25" t="str">
        <v>后备箱物理按键控制</v>
      </c>
      <c r="G20" s="3" t="str">
        <v>0/1</v>
      </c>
      <c r="H20" s="3" t="str">
        <v>陈杰</v>
      </c>
    </row>
    <row r="21" spans="3:8">
      <c r="C21" s="25" t="str">
        <v>主驾车窗开闭调节 - 硬件开关</v>
      </c>
      <c r="E21" s="25" t="str">
        <v>主驾车窗升降物理按键调节</v>
      </c>
      <c r="G21" s="25" t="str">
        <v>位置 + 打开 / 关闭</v>
      </c>
      <c r="H21" s="3" t="str">
        <v>陈杰</v>
      </c>
    </row>
    <row r="22" spans="3:8">
      <c r="C22" s="25" t="str">
        <v>副驾车窗开闭调节 - 硬件开关</v>
      </c>
      <c r="E22" s="25" t="str">
        <v>副驾车窗升降物理按键调节</v>
      </c>
      <c r="G22" s="25" t="str">
        <v>位置 + 打开 / 关闭</v>
      </c>
      <c r="H22" s="3" t="str">
        <v>陈杰</v>
      </c>
    </row>
    <row r="23" spans="3:8">
      <c r="C23" s="25" t="str">
        <v>主驾后排车窗开闭调节 - 硬件开关</v>
      </c>
      <c r="E23" s="25" t="str">
        <v>主驾后排车窗升降物理按键调节</v>
      </c>
      <c r="G23" s="25" t="str">
        <v>位置 + 打开 / 关闭</v>
      </c>
      <c r="H23" s="3" t="str">
        <v>陈杰</v>
      </c>
    </row>
    <row r="24" spans="3:8">
      <c r="C24" s="25" t="str">
        <v>副驾后排车窗开闭调节 - 硬件开关</v>
      </c>
      <c r="E24" s="25" t="str">
        <v>主驾后排车窗升降物理按键调节</v>
      </c>
      <c r="G24" s="25" t="str">
        <v>位置 + 打开 / 关闭</v>
      </c>
      <c r="H24" s="3" t="str">
        <v>陈杰</v>
      </c>
    </row>
    <row r="25" spans="3:8">
      <c r="C25" s="25" t="str">
        <v>指定阅读灯 - 硬件开关</v>
      </c>
      <c r="E25" s="25" t="str">
        <v>阅读灯物理按键控制</v>
      </c>
      <c r="G25" s="25" t="str">
        <v>位置 + 开关</v>
      </c>
      <c r="H25" s="3" t="str">
        <v>陈杰</v>
      </c>
    </row>
    <row r="26" spans="3:8">
      <c r="C26" s="25" t="str">
        <v>天际屏幕控制 - 硬件开关</v>
      </c>
      <c r="E26" s="25" t="str">
        <v>天际屏幕物理按键调节</v>
      </c>
      <c r="G26" s="25" t="str">
        <v>开启 / 关闭 / 复位 / 暂停</v>
      </c>
      <c r="H26" s="3" t="str">
        <v>陈杰</v>
      </c>
    </row>
    <row r="27" spans="3:8">
      <c r="C27" s="25" t="str">
        <v>整车锁-硬件开关</v>
      </c>
      <c r="E27" s="25" t="str">
        <v>整车锁功能开闭</v>
      </c>
      <c r="G27" s="12" t="str">
        <v>0=关闭, 1=开启</v>
      </c>
      <c r="H27" s="3" t="str">
        <v>陈杰</v>
      </c>
    </row>
    <row r="28" spans="1:8">
      <c r="A28" s="3" t="str">
        <v>方向盘</v>
      </c>
      <c r="B28" s="3" t="str">
        <v>方向盘鸣笛</v>
      </c>
      <c r="C28" s="3" t="str">
        <v>按压</v>
      </c>
      <c r="E28" s="3" t="str">
        <v>鸣笛</v>
      </c>
      <c r="G28" s="3" t="str">
        <v>开启关闭</v>
      </c>
      <c r="H28" s="3" t="str">
        <v>陈杰</v>
      </c>
    </row>
    <row r="29" spans="2:8">
      <c r="B29" s="3" t="str">
        <v>方向盘左滚轮</v>
      </c>
      <c r="C29" s="3" t="str">
        <v>短按</v>
      </c>
      <c r="E29" s="3" t="str">
        <v>辅助驾驶开关</v>
      </c>
      <c r="G29" s="3" t="str">
        <v>打开/关闭</v>
      </c>
      <c r="H29" s="3" t="str">
        <v>陈杰</v>
      </c>
    </row>
    <row r="30" spans="3:8">
      <c r="C30" s="3" t="str">
        <v>长按</v>
      </c>
      <c r="E30" s="3" t="str">
        <v>自动泊车功能开关</v>
      </c>
      <c r="G30" s="3" t="str">
        <v>打开/关闭</v>
      </c>
      <c r="H30" s="3" t="str">
        <v>陈杰</v>
      </c>
    </row>
    <row r="31" spans="3:8">
      <c r="C31" s="3" t="str">
        <v>上下滚动</v>
      </c>
      <c r="E31" s="3" t="str">
        <v>巡航车速调节</v>
      </c>
      <c r="H31" s="3" t="str">
        <v>陈杰</v>
      </c>
    </row>
    <row r="32" spans="3:8">
      <c r="C32" s="3" t="str">
        <v>左右拨动</v>
      </c>
      <c r="E32" s="3" t="str">
        <v>巡航车距调节</v>
      </c>
      <c r="H32" s="3" t="str">
        <v>陈杰</v>
      </c>
    </row>
    <row r="33" spans="2:8">
      <c r="B33" s="3" t="str">
        <v>方向盘右滚轮</v>
      </c>
      <c r="C33" s="3" t="str">
        <v>短按</v>
      </c>
      <c r="E33" s="3" t="str">
        <v>音频暂停/播放</v>
      </c>
      <c r="G33" s="25" t="str">
        <v>暂停/播放</v>
      </c>
      <c r="H33" s="3" t="str">
        <v>陈杰</v>
      </c>
    </row>
    <row r="34" spans="5:8">
      <c r="E34" s="3" t="str">
        <v>来电静音</v>
      </c>
      <c r="G34" s="3" t="str">
        <v>静音</v>
      </c>
      <c r="H34" s="3" t="str">
        <v>陈杰</v>
      </c>
    </row>
    <row r="35" spans="5:8">
      <c r="E35" s="3" t="str">
        <v>通话麦克风开关</v>
      </c>
      <c r="G35" s="3" t="str">
        <v>打开/关闭</v>
      </c>
      <c r="H35" s="3" t="str">
        <v>陈杰</v>
      </c>
    </row>
    <row r="36" spans="5:8">
      <c r="E36" s="3" t="str">
        <v>PHUD调节退出</v>
      </c>
      <c r="G36" s="3" t="str">
        <v>退出</v>
      </c>
      <c r="H36" s="3" t="str">
        <v>陈杰</v>
      </c>
    </row>
    <row r="37" spans="3:8">
      <c r="C37" s="3" t="str">
        <v>长按（自定义按键）</v>
      </c>
      <c r="E37" s="3" t="inlineStr">
        <is>
          <r>
            <rPr>
              <sz val="10"/>
              <color rgb="FF000000"/>
              <rFont val="Arial"/>
            </rPr>
            <t>全景影像 360（默认）</t>
          </r>
        </is>
      </c>
      <c r="G37" s="3" t="str">
        <v>打开/关闭</v>
      </c>
      <c r="H37" s="3" t="str">
        <v>陈杰</v>
      </c>
    </row>
    <row r="38" spans="5:8">
      <c r="E38" s="3" t="str">
        <v>ADS 体验信息反馈</v>
      </c>
      <c r="G38" s="3" t="str">
        <v>打开/关闭</v>
      </c>
      <c r="H38" s="3" t="str">
        <v>陈杰</v>
      </c>
    </row>
    <row r="39" spans="5:8">
      <c r="E39" s="3" t="str">
        <v>车外对话</v>
      </c>
      <c r="G39" s="3" t="str">
        <v>打开/关闭</v>
      </c>
      <c r="H39" s="3" t="str">
        <v>陈杰</v>
      </c>
    </row>
    <row r="40" spans="5:8">
      <c r="E40" s="3" t="inlineStr">
        <is>
          <r>
            <rPr>
              <sz val="10"/>
              <color rgb="FF000000"/>
              <rFont val="Arial"/>
            </rPr>
            <t>语音助手激活</t>
          </r>
        </is>
      </c>
      <c r="G40" s="3" t="str">
        <v>打开/关闭</v>
      </c>
      <c r="H40" s="3" t="str">
        <v>陈杰</v>
      </c>
    </row>
    <row r="41" spans="5:8">
      <c r="E41" s="3" t="inlineStr">
        <is>
          <r>
            <rPr>
              <sz val="10"/>
              <color rgb="FF000000"/>
              <rFont val="Arial"/>
            </rPr>
            <t>行车拍照（行车记录仪）</t>
          </r>
        </is>
      </c>
      <c r="G41" s="3" t="str">
        <v>打开/关闭</v>
      </c>
      <c r="H41" s="3" t="str">
        <v>陈杰</v>
      </c>
    </row>
    <row r="42" spans="5:8">
      <c r="E42" s="3" t="inlineStr">
        <is>
          <r>
            <rPr>
              <sz val="10"/>
              <color rgb="FF000000"/>
              <rFont val="Arial"/>
            </rPr>
            <t>紧急录像（行车记录仪）</t>
          </r>
        </is>
      </c>
      <c r="G42" s="3" t="str">
        <v>打开/关闭</v>
      </c>
      <c r="H42" s="3" t="str">
        <v>陈杰</v>
      </c>
    </row>
    <row r="43" spans="5:8">
      <c r="E43" s="3" t="inlineStr">
        <is>
          <r>
            <rPr>
              <sz val="10"/>
              <color rgb="FF000000"/>
              <rFont val="Arial"/>
            </rPr>
            <t>低速行人报警音</t>
          </r>
        </is>
      </c>
      <c r="G43" s="3" t="str">
        <v>打开/关闭</v>
      </c>
      <c r="H43" s="3" t="str">
        <v>陈杰</v>
      </c>
    </row>
    <row r="44" spans="5:8">
      <c r="E44" s="3" t="inlineStr">
        <is>
          <r>
            <rPr>
              <sz val="10"/>
              <color rgb="FF000000"/>
              <rFont val="Arial"/>
            </rPr>
            <t>切换多媒体音源</t>
          </r>
        </is>
      </c>
      <c r="G44" s="3" t="str">
        <v>打开/关闭</v>
      </c>
      <c r="H44" s="3" t="str">
        <v>陈杰</v>
      </c>
    </row>
    <row r="45" spans="5:8">
      <c r="E45" s="3" t="inlineStr">
        <is>
          <r>
            <rPr>
              <sz val="10"/>
              <color rgb="FF000000"/>
              <rFont val="Arial"/>
            </rPr>
            <t>智能后视开关</t>
          </r>
        </is>
      </c>
      <c r="G45" s="3" t="str">
        <v>打开/关闭</v>
      </c>
      <c r="H45" s="3" t="str">
        <v>陈杰</v>
      </c>
    </row>
    <row r="46" spans="5:8">
      <c r="E46" s="3" t="inlineStr">
        <is>
          <r>
            <rPr>
              <sz val="10"/>
              <color rgb="FF000000"/>
              <rFont val="Arial"/>
            </rPr>
            <t>对内拍照（相机）</t>
          </r>
        </is>
      </c>
      <c r="G46" s="3" t="str">
        <v>打开/关闭</v>
      </c>
      <c r="H46" s="3" t="str">
        <v>陈杰</v>
      </c>
    </row>
    <row r="47" spans="5:8">
      <c r="E47" s="3" t="inlineStr">
        <is>
          <r>
            <rPr>
              <sz val="10"/>
              <color rgb="FF000000"/>
              <rFont val="Arial"/>
            </rPr>
            <t>对外喊话</t>
          </r>
        </is>
      </c>
      <c r="G47" s="3" t="str">
        <v>打开/关闭</v>
      </c>
      <c r="H47" s="3" t="str">
        <v>陈杰</v>
      </c>
    </row>
    <row r="48" spans="5:8">
      <c r="E48" s="3" t="inlineStr">
        <is>
          <r>
            <rPr>
              <sz val="10"/>
              <color rgb="FF000000"/>
              <rFont val="Arial"/>
            </rPr>
            <t>PHUD 编辑态</t>
          </r>
        </is>
      </c>
      <c r="G48" s="3" t="str">
        <v>打开/关闭</v>
      </c>
      <c r="H48" s="3" t="str">
        <v>陈杰</v>
      </c>
    </row>
    <row r="49" spans="5:8">
      <c r="E49" s="3" t="inlineStr">
        <is>
          <r>
            <rPr>
              <sz val="10"/>
              <color rgb="FF000000"/>
              <rFont val="Arial"/>
            </rPr>
            <t>Carplay</t>
          </r>
        </is>
      </c>
      <c r="G49" s="3" t="str">
        <v>打开/关闭</v>
      </c>
      <c r="H49" s="3" t="str">
        <v>陈杰</v>
      </c>
    </row>
    <row r="50" spans="3:8">
      <c r="C50" s="3" t="str">
        <v>上下滚动</v>
      </c>
      <c r="E50" s="3" t="str">
        <v>音量加减</v>
      </c>
      <c r="G50" s="3" t="str">
        <v>0-100%</v>
      </c>
      <c r="H50" s="3" t="str">
        <v>陈杰</v>
      </c>
    </row>
    <row r="51" spans="5:8">
      <c r="E51" s="3" t="str">
        <v>PHUD编辑态卡片切换</v>
      </c>
      <c r="G51" s="3" t="str">
        <v>上下切换</v>
      </c>
      <c r="H51" s="3" t="str">
        <v>陈杰</v>
      </c>
    </row>
    <row r="52" spans="5:8">
      <c r="E52" s="3" t="str">
        <v>右外后视镜镜片上下调节</v>
      </c>
      <c r="G52" s="3" t="str">
        <v>0-100%</v>
      </c>
      <c r="H52" s="3" t="str">
        <v>陈杰</v>
      </c>
    </row>
    <row r="53" spans="5:8">
      <c r="E53" s="3" t="str">
        <v>方向盘上下调节</v>
      </c>
      <c r="G53" s="3" t="str">
        <v>0-100%</v>
      </c>
      <c r="H53" s="3" t="str">
        <v>陈杰</v>
      </c>
    </row>
    <row r="54" spans="5:8">
      <c r="E54" s="3" t="str">
        <v>PHUD高度调节</v>
      </c>
      <c r="G54" s="3" t="str">
        <v>0-100%</v>
      </c>
      <c r="H54" s="3" t="str">
        <v>陈杰</v>
      </c>
    </row>
    <row r="55" spans="3:8">
      <c r="C55" s="3" t="str">
        <v>左右拨动</v>
      </c>
      <c r="E55" s="3" t="str">
        <v>音频上一首/下一首</v>
      </c>
      <c r="G55" s="25" t="str">
        <v>上一首/下一首</v>
      </c>
      <c r="H55" s="3" t="str">
        <v>陈杰</v>
      </c>
    </row>
    <row r="56" spans="5:8">
      <c r="E56" s="3" t="str">
        <v>电话接听/挂断</v>
      </c>
      <c r="G56" s="25" t="str">
        <v>接听/挂断</v>
      </c>
      <c r="H56" s="3" t="str">
        <v>陈杰</v>
      </c>
    </row>
    <row r="57" spans="5:8">
      <c r="E57" s="3" t="str">
        <v>PHUD编辑态卡片切换</v>
      </c>
      <c r="G57" s="25" t="str">
        <v>左右交换</v>
      </c>
      <c r="H57" s="3" t="str">
        <v>陈杰</v>
      </c>
    </row>
    <row r="58" spans="5:8">
      <c r="E58" s="3" t="str">
        <v>右外后视镜镜片左右调节</v>
      </c>
      <c r="G58" s="3" t="str">
        <v>0-100%</v>
      </c>
      <c r="H58" s="3" t="str">
        <v>陈杰</v>
      </c>
    </row>
    <row r="59" spans="5:8">
      <c r="E59" s="3" t="str">
        <v>方向盘伸缩调节</v>
      </c>
      <c r="G59" s="3" t="str">
        <v>0-100%</v>
      </c>
      <c r="H59" s="3" t="str">
        <v>陈杰</v>
      </c>
    </row>
    <row r="60" spans="5:8">
      <c r="E60" s="3" t="str">
        <v>智能后视语音弹窗确认</v>
      </c>
      <c r="G60" s="25" t="str">
        <v>确认/取消</v>
      </c>
      <c r="H60" s="3" t="str">
        <v>陈杰</v>
      </c>
    </row>
    <row r="61" spans="5:8">
      <c r="E61" s="3" t="str">
        <v>PHUD亮度调节</v>
      </c>
      <c r="G61" s="3" t="str">
        <v>0-100%</v>
      </c>
      <c r="H61" s="3" t="str">
        <v>陈杰</v>
      </c>
    </row>
    <row r="62" spans="5:8">
      <c r="E62" s="3" t="str">
        <v>主动服务弹窗确认</v>
      </c>
      <c r="G62" s="25" t="str">
        <v>确认/取消</v>
      </c>
      <c r="H62" s="3" t="str">
        <v>陈杰</v>
      </c>
    </row>
    <row r="63" spans="2:8">
      <c r="B63" s="3" t="str">
        <v>方向盘左卫星按键</v>
      </c>
      <c r="C63" s="3" t="str">
        <v>短按</v>
      </c>
      <c r="E63" s="3" t="str">
        <v>Boost开启</v>
      </c>
      <c r="G63" s="3" t="str">
        <v>触发</v>
      </c>
      <c r="H63" s="3" t="str">
        <v>陈杰</v>
      </c>
    </row>
    <row r="64" spans="3:8">
      <c r="C64" s="3" t="str">
        <v>长按</v>
      </c>
      <c r="E64" s="3" t="str">
        <v>旋钮模式切换</v>
      </c>
      <c r="G64" s="3" t="str">
        <v>驾驶模式/路面辅助模式/悬架高度</v>
      </c>
      <c r="H64" s="3" t="str">
        <v>陈杰</v>
      </c>
    </row>
    <row r="65" spans="3:8">
      <c r="C65" s="3" t="str">
        <v>旋转</v>
      </c>
      <c r="E65" s="3" t="str">
        <v>驾驶模式</v>
      </c>
      <c r="G65" s="3" t="str">
        <v>节能/舒适/运动/自定义</v>
      </c>
      <c r="H65" s="3" t="str">
        <v>陈杰</v>
      </c>
    </row>
    <row r="66" spans="5:8">
      <c r="E66" s="3" t="str">
        <v>路面辅助模式</v>
      </c>
      <c r="G66" s="3" t="str">
        <v>晕车舒缓/雪地/湿滑/脱困/越野</v>
      </c>
      <c r="H66" s="3" t="str">
        <v>陈杰</v>
      </c>
    </row>
    <row r="67" spans="5:8">
      <c r="E67" s="3" t="str">
        <v>悬架高度</v>
      </c>
      <c r="G67" s="3" t="str">
        <v>1、2、3、4、5</v>
      </c>
      <c r="H67" s="3" t="str">
        <v>陈杰</v>
      </c>
    </row>
    <row r="68" spans="2:8">
      <c r="B68" s="3" t="str">
        <v>方向盘右卫星按键</v>
      </c>
      <c r="C68" s="3" t="str">
        <v>短按</v>
      </c>
      <c r="E68" s="3" t="str">
        <v>always on开关</v>
      </c>
      <c r="G68" s="3" t="str">
        <v>打开/关闭</v>
      </c>
      <c r="H68" s="3" t="str">
        <v>陈杰</v>
      </c>
    </row>
    <row r="69" spans="3:8">
      <c r="C69" s="3" t="str">
        <v>长按</v>
      </c>
      <c r="E69" s="3" t="str">
        <v>TBD</v>
      </c>
      <c r="H69" s="3" t="str">
        <v>陈杰</v>
      </c>
    </row>
    <row r="70" spans="3:8">
      <c r="C70" s="3" t="str">
        <v>旋转</v>
      </c>
      <c r="E70" s="102" t="str">
        <v>豆包人设切换旋钮</v>
      </c>
      <c r="G70" s="3" t="str">
        <v>TBD</v>
      </c>
      <c r="H70" s="3" t="str">
        <v>陈杰</v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3" width="15" style="1" customWidth="1"/>
    <col min="4" max="4" width="20.285714285714285" style="1" customWidth="1"/>
    <col min="5" max="5" width="16.571428571428573" style="1" customWidth="1"/>
    <col min="6" max="6" width="15" style="1" customWidth="1"/>
    <col min="7" max="7" width="39.757030371203605" style="1" customWidth="1"/>
    <col min="8" max="8" width="15" style="1" customWidth="1"/>
    <col min="9" max="10" width="20.428571428571427" style="1" customWidth="1"/>
    <col min="11" max="11" width="15" style="1" customWidth="1"/>
    <col min="12" max="12" width="20.285714285714285" style="1" customWidth="1"/>
    <col min="13" max="22" width="15" style="1" customWidth="1"/>
  </cols>
  <sheetData>
    <row r="1" spans="1:19">
      <c r="A1" s="100" t="str">
        <v>一级</v>
      </c>
      <c r="B1" s="100" t="str">
        <v>二级</v>
      </c>
      <c r="C1" s="100" t="str">
        <v>三级</v>
      </c>
      <c r="D1" s="96" t="str">
        <v>事件名称【唯一标识】</v>
      </c>
      <c r="E1" s="100" t="str">
        <v>事件名称（中文）</v>
      </c>
      <c r="F1" s="100" t="str">
        <v>事件说明</v>
      </c>
      <c r="G1" s="100" t="str">
        <v>取值范围</v>
      </c>
      <c r="H1" s="101" t="str">
        <v>需求人</v>
      </c>
      <c r="I1" s="100" t="str">
        <v>需求描述</v>
      </c>
      <c r="J1" s="90" t="str">
        <v>事件字段(event_value)</v>
      </c>
      <c r="K1" s="90" t="str">
        <v>字段解释</v>
      </c>
      <c r="L1" s="90" t="str">
        <v>自然语言拼接【规则】</v>
      </c>
      <c r="M1" s="90" t="str">
        <v>事件示例</v>
      </c>
      <c r="N1" s="90" t="str">
        <v>SLS校对情况</v>
      </c>
      <c r="O1" s="90" t="str">
        <v>ZJ校对情况</v>
      </c>
      <c r="P1" s="90" t="str">
        <v>优先级</v>
      </c>
      <c r="Q1" s="90" t="str">
        <v>输出版本</v>
      </c>
      <c r="R1" s="90" t="str">
        <v>输出版本日期</v>
      </c>
      <c r="S1" s="90" t="str">
        <v>备注</v>
      </c>
    </row>
    <row r="2" spans="5:8">
      <c r="E2" s="3" t="str">
        <v>长时间密闭行车</v>
      </c>
      <c r="H2" s="3" t="str">
        <v>陈杰</v>
      </c>
    </row>
    <row r="3" spans="5:8">
      <c r="E3" s="3" t="str">
        <v>冷启动</v>
      </c>
      <c r="H3" s="3" t="str">
        <v>朱婧雯</v>
      </c>
    </row>
    <row r="4" spans="5:8">
      <c r="E4" s="3" t="str">
        <v>热启动</v>
      </c>
      <c r="H4" s="3" t="str">
        <v>朱婧雯</v>
      </c>
    </row>
    <row r="5" spans="5:8">
      <c r="E5" s="3" t="str">
        <v>STR启动</v>
      </c>
      <c r="H5" s="3" t="str">
        <v>朱婧雯</v>
      </c>
    </row>
    <row r="6" spans="5:8">
      <c r="E6" s="3" t="str">
        <v>face id上报</v>
      </c>
      <c r="G6" s="3" t="str">
        <v>face id=user a
user a=当天首次上车
user a 识别到的次数=1，2，3...
user a 上次上车时间=xxxx.xx.xx（如2026.5.31）</v>
      </c>
      <c r="H6" s="3" t="str">
        <v>朱婧雯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版本管理</vt:lpstr>
      <vt:lpstr>端状态v1.2（需求锁定）</vt:lpstr>
      <vt:lpstr>视觉需求收集</vt:lpstr>
      <vt:lpstr>端状态需求收集</vt:lpstr>
      <vt:lpstr>依赖豆包VLM输出原子能力</vt:lpstr>
      <vt:lpstr>端事件【HMI埋点】娱乐</vt:lpstr>
      <vt:lpstr>端事件【HMI埋点】生态</vt:lpstr>
      <vt:lpstr>端事件【HMI埋点】导航</vt:lpstr>
      <vt:lpstr>端事件【HMI埋点】车控车设</vt:lpstr>
      <vt:lpstr>端事件【HMI埋点】系统网联服务</vt:lpstr>
      <vt:lpstr>端事件【物理按键】</vt:lpstr>
      <vt:lpstr>端事件【驾驶行为】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2026-07-31T07:34:00Z</dcterms:created>
  <dcterms:modified xsi:type="dcterms:W3CDTF">2026-07-31T07:34:00Z</dcterms:modified>
</cp:coreProperties>
</file>