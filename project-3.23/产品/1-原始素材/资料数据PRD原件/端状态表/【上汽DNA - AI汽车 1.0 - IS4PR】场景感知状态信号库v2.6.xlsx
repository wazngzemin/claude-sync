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版本历史" sheetId="1" r:id="rId3"/>
    <sheet name=" v2.4" sheetId="2" r:id="rId4"/>
    <sheet name="V2.5++" sheetId="3" r:id="rId5"/>
    <sheet name="【New!!!】V2.6" sheetId="4" r:id="rId6"/>
    <sheet name="端状态进展汇总" sheetId="5" r:id="rId7"/>
    <sheet name="工作任务趋势分析" sheetId="6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月d日"/>
  </numFmts>
  <fonts count="15" x14ac:knownFonts="1">
    <font>
      <sz val="11"/>
      <color theme="1"/>
      <name val="Calibri"/>
      <family val="2"/>
      <scheme val="minor"/>
    </font>
    <font>
      <b/>
      <sz val="10"/>
      <color rgb="FF1F2329"/>
      <name val="Arial"/>
    </font>
    <font>
      <sz val="10"/>
      <color rgb="FF1F2329"/>
      <name val="Arial"/>
    </font>
    <font>
      <sz val="10"/>
      <color rgb="FF000000"/>
      <name val="Arial"/>
    </font>
    <font>
      <u/>
      <color rgb="FF0000FF"/>
    </font>
    <font>
      <b/>
      <sz val="18"/>
      <color rgb="FF1F2329"/>
      <name val="Arial"/>
    </font>
    <font>
      <sz val="10"/>
      <name val="Arial"/>
    </font>
    <font>
      <sz val="9"/>
      <color rgb="FF000000"/>
      <name val="Arial"/>
    </font>
    <font>
      <sz val="9"/>
      <color rgb="FF1F2329"/>
      <name val="Arial"/>
    </font>
    <font>
      <sz val="10"/>
      <color rgb="FFF54A45"/>
      <name val="Arial"/>
    </font>
    <font>
      <b/>
      <sz val="14"/>
      <color rgb="FF1F2329"/>
      <name val="Arial"/>
    </font>
    <font>
      <sz val="10"/>
      <color rgb="FF373C43"/>
      <name val="Arial"/>
    </font>
    <font>
      <strike/>
      <sz val="10"/>
      <color rgb="FF1F2329"/>
      <name val="Arial"/>
    </font>
    <font>
      <b/>
      <sz val="10"/>
      <name val="Arial"/>
    </font>
    <font>
      <b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DEE0E3"/>
      </patternFill>
    </fill>
    <fill>
      <patternFill patternType="solid">
        <fgColor rgb="FFBACEFD"/>
      </patternFill>
    </fill>
    <fill>
      <patternFill patternType="solid">
        <fgColor rgb="FFFFFFFF"/>
      </patternFill>
    </fill>
    <fill>
      <patternFill patternType="solid">
        <fgColor rgb="FFFFF258"/>
      </patternFill>
    </fill>
    <fill>
      <patternFill patternType="solid">
        <fgColor rgb="FF34C724"/>
      </patternFill>
    </fill>
    <fill>
      <patternFill patternType="solid">
        <fgColor rgb="FFD9F3FD"/>
      </patternFill>
    </fill>
    <fill>
      <patternFill patternType="solid">
        <fgColor rgb="FFD9F5D6"/>
      </patternFill>
    </fill>
    <fill>
      <patternFill patternType="solid">
        <fgColor rgb="FFFFC60A"/>
      </patternFill>
    </fill>
    <fill>
      <patternFill patternType="solid">
        <fgColor rgb="FFFAD355"/>
      </patternFill>
    </fill>
    <fill>
      <patternFill patternType="solid">
        <fgColor rgb="FFFAF1D1"/>
      </patternFill>
    </fill>
    <fill>
      <patternFill patternType="solid">
        <fgColor rgb="FFF54A45"/>
      </patternFill>
    </fill>
    <fill>
      <patternFill patternType="solid">
        <fgColor rgb="FFAD82F7"/>
      </patternFill>
    </fill>
    <fill>
      <patternFill patternType="solid">
        <fgColor rgb="FF7EDAFB"/>
      </patternFill>
    </fill>
    <fill>
      <patternFill patternType="solid">
        <fgColor rgb="FFC3DD40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6" fillId="8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1" fillId="12" borderId="1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righ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right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jpeg"/><Relationship Id="rId2" Type="http://schemas.openxmlformats.org/officeDocument/2006/relationships/image" Target="../media/image47.jpeg"/><Relationship Id="rId3" Type="http://schemas.openxmlformats.org/officeDocument/2006/relationships/image" Target="../media/image48.jpeg"/><Relationship Id="rId4" Type="http://schemas.openxmlformats.org/officeDocument/2006/relationships/image" Target="../media/image49.jpeg"/><Relationship Id="rId5" Type="http://schemas.openxmlformats.org/officeDocument/2006/relationships/image" Target="../media/image50.jpeg"/><Relationship Id="rId6" Type="http://schemas.openxmlformats.org/officeDocument/2006/relationships/image" Target="../media/image51.jpeg"/><Relationship Id="rId7" Type="http://schemas.openxmlformats.org/officeDocument/2006/relationships/image" Target="../media/image52.jpeg"/><Relationship Id="rId8" Type="http://schemas.openxmlformats.org/officeDocument/2006/relationships/image" Target="../media/image53.jpeg"/><Relationship Id="rId9" Type="http://schemas.openxmlformats.org/officeDocument/2006/relationships/image" Target="../media/image54.jpeg"/><Relationship Id="rId10" Type="http://schemas.openxmlformats.org/officeDocument/2006/relationships/image" Target="../media/image55.jpeg"/><Relationship Id="rId11" Type="http://schemas.openxmlformats.org/officeDocument/2006/relationships/image" Target="../media/image56.jpeg"/><Relationship Id="rId12" Type="http://schemas.openxmlformats.org/officeDocument/2006/relationships/image" Target="../media/image57.jpeg"/><Relationship Id="rId13" Type="http://schemas.openxmlformats.org/officeDocument/2006/relationships/image" Target="../media/image58.jpeg"/><Relationship Id="rId14" Type="http://schemas.openxmlformats.org/officeDocument/2006/relationships/image" Target="../media/image59.jpeg"/><Relationship Id="rId15" Type="http://schemas.openxmlformats.org/officeDocument/2006/relationships/image" Target="../media/image60.jpeg"/><Relationship Id="rId16" Type="http://schemas.openxmlformats.org/officeDocument/2006/relationships/image" Target="../media/image61.jpeg"/><Relationship Id="rId17" Type="http://schemas.openxmlformats.org/officeDocument/2006/relationships/image" Target="../media/image62.jpeg"/><Relationship Id="rId18" Type="http://schemas.openxmlformats.org/officeDocument/2006/relationships/image" Target="../media/image63.jpeg"/><Relationship Id="rId19" Type="http://schemas.openxmlformats.org/officeDocument/2006/relationships/image" Target="../media/image64.jpeg"/><Relationship Id="rId20" Type="http://schemas.openxmlformats.org/officeDocument/2006/relationships/image" Target="../media/image65.jpeg"/><Relationship Id="rId21" Type="http://schemas.openxmlformats.org/officeDocument/2006/relationships/image" Target="../media/image66.jpeg"/><Relationship Id="rId22" Type="http://schemas.openxmlformats.org/officeDocument/2006/relationships/image" Target="../media/image67.jpeg"/><Relationship Id="rId23" Type="http://schemas.openxmlformats.org/officeDocument/2006/relationships/image" Target="../media/image68.jpeg"/><Relationship Id="rId24" Type="http://schemas.openxmlformats.org/officeDocument/2006/relationships/image" Target="../media/image69.jpeg"/><Relationship Id="rId25" Type="http://schemas.openxmlformats.org/officeDocument/2006/relationships/image" Target="../media/image70.jpeg"/><Relationship Id="rId26" Type="http://schemas.openxmlformats.org/officeDocument/2006/relationships/image" Target="../media/image71.jpeg"/><Relationship Id="rId27" Type="http://schemas.openxmlformats.org/officeDocument/2006/relationships/image" Target="../media/image72.jpeg"/><Relationship Id="rId28" Type="http://schemas.openxmlformats.org/officeDocument/2006/relationships/image" Target="../media/image73.jpeg"/><Relationship Id="rId29" Type="http://schemas.openxmlformats.org/officeDocument/2006/relationships/image" Target="../media/image74.jpeg"/><Relationship Id="rId30" Type="http://schemas.openxmlformats.org/officeDocument/2006/relationships/image" Target="../media/image75.jpeg"/><Relationship Id="rId31" Type="http://schemas.openxmlformats.org/officeDocument/2006/relationships/image" Target="../media/image76.jpeg"/><Relationship Id="rId32" Type="http://schemas.openxmlformats.org/officeDocument/2006/relationships/image" Target="../media/image77.jpeg"/><Relationship Id="rId33" Type="http://schemas.openxmlformats.org/officeDocument/2006/relationships/image" Target="../media/image78.jpeg"/><Relationship Id="rId34" Type="http://schemas.openxmlformats.org/officeDocument/2006/relationships/image" Target="../media/image79.jpeg"/><Relationship Id="rId35" Type="http://schemas.openxmlformats.org/officeDocument/2006/relationships/image" Target="../media/image80.jpeg"/><Relationship Id="rId36" Type="http://schemas.openxmlformats.org/officeDocument/2006/relationships/image" Target="../media/image81.jpeg"/><Relationship Id="rId37" Type="http://schemas.openxmlformats.org/officeDocument/2006/relationships/image" Target="../media/image82.jpeg"/><Relationship Id="rId38" Type="http://schemas.openxmlformats.org/officeDocument/2006/relationships/image" Target="../media/image83.jpeg"/><Relationship Id="rId39" Type="http://schemas.openxmlformats.org/officeDocument/2006/relationships/image" Target="../media/image84.jpeg"/><Relationship Id="rId40" Type="http://schemas.openxmlformats.org/officeDocument/2006/relationships/image" Target="../media/image85.jpeg"/><Relationship Id="rId41" Type="http://schemas.openxmlformats.org/officeDocument/2006/relationships/image" Target="../media/image86.jpeg"/><Relationship Id="rId42" Type="http://schemas.openxmlformats.org/officeDocument/2006/relationships/image" Target="../media/image87.jpeg"/><Relationship Id="rId43" Type="http://schemas.openxmlformats.org/officeDocument/2006/relationships/image" Target="../media/image88.jpeg"/><Relationship Id="rId44" Type="http://schemas.openxmlformats.org/officeDocument/2006/relationships/image" Target="../media/image89.jpeg"/><Relationship Id="rId45" Type="http://schemas.openxmlformats.org/officeDocument/2006/relationships/image" Target="../media/image90.jpeg"/><Relationship Id="rId46" Type="http://schemas.openxmlformats.org/officeDocument/2006/relationships/image" Target="../media/image91.jpeg"/><Relationship Id="rId47" Type="http://schemas.openxmlformats.org/officeDocument/2006/relationships/image" Target="../media/image92.jpeg"/><Relationship Id="rId48" Type="http://schemas.openxmlformats.org/officeDocument/2006/relationships/image" Target="../media/image93.jpeg"/><Relationship Id="rId49" Type="http://schemas.openxmlformats.org/officeDocument/2006/relationships/image" Target="../media/image94.jpeg"/><Relationship Id="rId50" Type="http://schemas.openxmlformats.org/officeDocument/2006/relationships/image" Target="../media/image95.jpeg"/><Relationship Id="rId51" Type="http://schemas.openxmlformats.org/officeDocument/2006/relationships/image" Target="../media/image96.jpeg"/><Relationship Id="rId52" Type="http://schemas.openxmlformats.org/officeDocument/2006/relationships/image" Target="../media/image97.jpeg"/><Relationship Id="rId53" Type="http://schemas.openxmlformats.org/officeDocument/2006/relationships/image" Target="../media/image98.jpeg"/><Relationship Id="rId54" Type="http://schemas.openxmlformats.org/officeDocument/2006/relationships/image" Target="../media/image99.jpeg"/><Relationship Id="rId55" Type="http://schemas.openxmlformats.org/officeDocument/2006/relationships/image" Target="../media/image100.jpeg"/><Relationship Id="rId56" Type="http://schemas.openxmlformats.org/officeDocument/2006/relationships/image" Target="../media/image101.jpeg"/><Relationship Id="rId57" Type="http://schemas.openxmlformats.org/officeDocument/2006/relationships/image" Target="../media/image102.jpeg"/><Relationship Id="rId58" Type="http://schemas.openxmlformats.org/officeDocument/2006/relationships/image" Target="../media/image103.jpeg"/><Relationship Id="rId59" Type="http://schemas.openxmlformats.org/officeDocument/2006/relationships/image" Target="../media/image104.jpeg"/><Relationship Id="rId60" Type="http://schemas.openxmlformats.org/officeDocument/2006/relationships/image" Target="../media/image105.jpeg"/><Relationship Id="rId61" Type="http://schemas.openxmlformats.org/officeDocument/2006/relationships/image" Target="../media/image106.jpeg"/><Relationship Id="rId62" Type="http://schemas.openxmlformats.org/officeDocument/2006/relationships/image" Target="../media/image10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0</xdr:colOff>
      <xdr:row>37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0</xdr:colOff>
      <xdr:row>38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0</xdr:colOff>
      <xdr:row>39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0</xdr:colOff>
      <xdr:row>40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0</xdr:colOff>
      <xdr:row>50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0</xdr:colOff>
      <xdr:row>51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5</xdr:col>
      <xdr:colOff>0</xdr:colOff>
      <xdr:row>57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5</xdr:col>
      <xdr:colOff>0</xdr:colOff>
      <xdr:row>60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5</xdr:col>
      <xdr:colOff>0</xdr:colOff>
      <xdr:row>69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0</xdr:colOff>
      <xdr:row>70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0</xdr:colOff>
      <xdr:row>71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5</xdr:col>
      <xdr:colOff>0</xdr:colOff>
      <xdr:row>103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279</xdr:row>
      <xdr:rowOff>0</xdr:rowOff>
    </xdr:from>
    <xdr:to>
      <xdr:col>5</xdr:col>
      <xdr:colOff>0</xdr:colOff>
      <xdr:row>280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0</xdr:colOff>
      <xdr:row>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0</xdr:colOff>
      <xdr:row>11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0</xdr:colOff>
      <xdr:row>15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0</xdr:colOff>
      <xdr:row>29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0</xdr:colOff>
      <xdr:row>31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0</xdr:colOff>
      <xdr:row>34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0</xdr:colOff>
      <xdr:row>43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0</xdr:colOff>
      <xdr:row>45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0</xdr:colOff>
      <xdr:row>48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5</xdr:col>
      <xdr:colOff>0</xdr:colOff>
      <xdr:row>52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5</xdr:col>
      <xdr:colOff>0</xdr:colOff>
      <xdr:row>54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5</xdr:col>
      <xdr:colOff>0</xdr:colOff>
      <xdr:row>56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5</xdr:col>
      <xdr:colOff>0</xdr:colOff>
      <xdr:row>58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5</xdr:col>
      <xdr:colOff>0</xdr:colOff>
      <xdr:row>59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5</xdr:col>
      <xdr:colOff>0</xdr:colOff>
      <xdr:row>61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5</xdr:col>
      <xdr:colOff>0</xdr:colOff>
      <xdr:row>62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5</xdr:col>
      <xdr:colOff>0</xdr:colOff>
      <xdr:row>63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5</xdr:col>
      <xdr:colOff>0</xdr:colOff>
      <xdr:row>66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253</xdr:row>
      <xdr:rowOff>0</xdr:rowOff>
    </xdr:from>
    <xdr:to>
      <xdr:col>5</xdr:col>
      <xdr:colOff>0</xdr:colOff>
      <xdr:row>254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254</xdr:row>
      <xdr:rowOff>0</xdr:rowOff>
    </xdr:from>
    <xdr:to>
      <xdr:col>5</xdr:col>
      <xdr:colOff>0</xdr:colOff>
      <xdr:row>255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255</xdr:row>
      <xdr:rowOff>0</xdr:rowOff>
    </xdr:from>
    <xdr:to>
      <xdr:col>5</xdr:col>
      <xdr:colOff>0</xdr:colOff>
      <xdr:row>256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256</xdr:row>
      <xdr:rowOff>0</xdr:rowOff>
    </xdr:from>
    <xdr:to>
      <xdr:col>5</xdr:col>
      <xdr:colOff>0</xdr:colOff>
      <xdr:row>257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5</xdr:col>
      <xdr:colOff>0</xdr:colOff>
      <xdr:row>258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5</xdr:col>
      <xdr:colOff>0</xdr:colOff>
      <xdr:row>259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259</xdr:row>
      <xdr:rowOff>0</xdr:rowOff>
    </xdr:from>
    <xdr:to>
      <xdr:col>5</xdr:col>
      <xdr:colOff>0</xdr:colOff>
      <xdr:row>260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5</xdr:col>
      <xdr:colOff>0</xdr:colOff>
      <xdr:row>261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261</xdr:row>
      <xdr:rowOff>0</xdr:rowOff>
    </xdr:from>
    <xdr:to>
      <xdr:col>5</xdr:col>
      <xdr:colOff>0</xdr:colOff>
      <xdr:row>262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bytedance.larkoffice.com/file/RDPXbU8Byoxp98xxvjYcj6tvn0g" TargetMode="External"/><Relationship Id="rId2" Type="http://schemas.openxmlformats.org/officeDocument/2006/relationships/drawing" Target="../drawings/drawing1.xml"/></Relationships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eego.larkoffice.com/telematics/issue/detail/7356066653" TargetMode="External"/><Relationship Id="rId2" Type="http://schemas.openxmlformats.org/officeDocument/2006/relationships/hyperlink" Target="https://meego.larkoffice.com/telematics/issue/detail/7356045695" TargetMode="External"/><Relationship Id="rId3" Type="http://schemas.openxmlformats.org/officeDocument/2006/relationships/hyperlink" Target="https://meego.larkoffice.com/telematics/issue/detail/7356515662" TargetMode="External"/><Relationship Id="rId4" Type="http://schemas.openxmlformats.org/officeDocument/2006/relationships/hyperlink" Target="https://meego.larkoffice.com/telematics/issue/detail/7357020510" TargetMode="External"/><Relationship Id="rId5" Type="http://schemas.openxmlformats.org/officeDocument/2006/relationships/hyperlink" Target="https://meego.larkoffice.com/telematics/issue/detail/7358379029" TargetMode="External"/><Relationship Id="rId6" Type="http://schemas.openxmlformats.org/officeDocument/2006/relationships/hyperlink" Target="https://meego.larkoffice.com/telematics/issue/detail/7356051143" TargetMode="External"/><Relationship Id="rId7" Type="http://schemas.openxmlformats.org/officeDocument/2006/relationships/hyperlink" Target="https://meego.larkoffice.com/telematics/issue/detail/7356070138" TargetMode="External"/><Relationship Id="rId8" Type="http://schemas.openxmlformats.org/officeDocument/2006/relationships/hyperlink" Target="http://jira.z-onesoftware.com:8080/browse/DNA-2722" TargetMode="External"/><Relationship Id="rId9" Type="http://schemas.openxmlformats.org/officeDocument/2006/relationships/hyperlink" Target="https://meego.larkoffice.com/telematics/issue/detail/7356094669" TargetMode="External"/><Relationship Id="rId10" Type="http://schemas.openxmlformats.org/officeDocument/2006/relationships/hyperlink" Target="https://meego.larkoffice.com/telematics/issue/detail/7356070703" TargetMode="External"/><Relationship Id="rId11" Type="http://schemas.openxmlformats.org/officeDocument/2006/relationships/hyperlink" Target="https://meego.larkoffice.com/telematics/issue/detail/7356046176" TargetMode="External"/><Relationship Id="rId12" Type="http://schemas.openxmlformats.org/officeDocument/2006/relationships/hyperlink" Target="https://meego.larkoffice.com/telematics/issue/detail/7356121627" TargetMode="External"/><Relationship Id="rId13" Type="http://schemas.openxmlformats.org/officeDocument/2006/relationships/hyperlink" Target="https://meego.larkoffice.com/telematics/issue/detail/7356490802" TargetMode="External"/><Relationship Id="rId14" Type="http://schemas.openxmlformats.org/officeDocument/2006/relationships/hyperlink" Target="https://meego.larkoffice.com/telematics/issue/detail/7356070708" TargetMode="External"/><Relationship Id="rId15" Type="http://schemas.openxmlformats.org/officeDocument/2006/relationships/hyperlink" Target="https://meego.larkoffice.com/telematics/issue/detail/7356117145" TargetMode="External"/><Relationship Id="rId16" Type="http://schemas.openxmlformats.org/officeDocument/2006/relationships/hyperlink" Target="https://meego.larkoffice.com/telematics/issue/detail/7356071140" TargetMode="External"/><Relationship Id="rId17" Type="http://schemas.openxmlformats.org/officeDocument/2006/relationships/hyperlink" Target="https://meego.larkoffice.com/telematics/issue/detail/7356094676" TargetMode="External"/><Relationship Id="rId18" Type="http://schemas.openxmlformats.org/officeDocument/2006/relationships/hyperlink" Target="https://meego.larkoffice.com/telematics/issue/detail/7356119180" TargetMode="External"/><Relationship Id="rId19" Type="http://schemas.openxmlformats.org/officeDocument/2006/relationships/hyperlink" Target="https://meego.larkoffice.com/telematics/issue/detail/7356456215" TargetMode="External"/><Relationship Id="rId20" Type="http://schemas.openxmlformats.org/officeDocument/2006/relationships/hyperlink" Target="http://jira.z-onesoftware.com:8080/browse/DNA-1850" TargetMode="External"/><Relationship Id="rId21" Type="http://schemas.openxmlformats.org/officeDocument/2006/relationships/hyperlink" Target="http://jira.z-onesoftware.com:8080/browse/DNA-1850" TargetMode="External"/><Relationship Id="rId22" Type="http://schemas.openxmlformats.org/officeDocument/2006/relationships/hyperlink" Target="http://jira.z-onesoftware.com:8080/browse/DNA-1850" TargetMode="External"/><Relationship Id="rId23" Type="http://schemas.openxmlformats.org/officeDocument/2006/relationships/hyperlink" Target="https://meego.larkoffice.com/telematics/issue/detail/7356090656" TargetMode="External"/><Relationship Id="rId24" Type="http://schemas.openxmlformats.org/officeDocument/2006/relationships/hyperlink" Target="http://jira.z-onesoftware.com:8080/browse/DNA-2721" TargetMode="External"/><Relationship Id="rId25" Type="http://schemas.openxmlformats.org/officeDocument/2006/relationships/hyperlink" Target="http://jira.z-onesoftware.com:8080/browse/DNA-2899" TargetMode="External"/><Relationship Id="rId26" Type="http://schemas.openxmlformats.org/officeDocument/2006/relationships/hyperlink" Target="https://meego.larkoffice.com/telematics/issue/detail/7356511177" TargetMode="External"/><Relationship Id="rId2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93.80519494875263" style="1" customWidth="1"/>
    <col min="4" max="5" width="15" style="1" customWidth="1"/>
    <col min="6" max="6" width="56.57142857142857" style="1" customWidth="1"/>
    <col min="7" max="7" width="36.857142857142854" style="1" customWidth="1"/>
    <col min="8" max="20" width="15" style="1" customWidth="1"/>
  </cols>
  <sheetData>
    <row r="2" spans="2:6">
      <c r="B2" s="2" t="str">
        <v>版本号</v>
      </c>
      <c r="C2" s="2" t="str">
        <v>变更原因</v>
      </c>
      <c r="D2" s="2" t="str">
        <v>变更人</v>
      </c>
      <c r="E2" s="2" t="str">
        <v>变更日期</v>
      </c>
      <c r="F2" s="3" t="str">
        <v>备注</v>
      </c>
    </row>
    <row r="3" spans="3:5">
      <c r="C3" s="4" t="str">
        <v>修改navigation_0004：减少了type参数 
新增navigation_0007、navigation_0008 
新增vehicle_control_0014的参数可枚选值 
把所有参数中的“打开”变成“开启”</v>
      </c>
      <c r="D3" s="4" t="str">
        <v>陈西钺</v>
      </c>
      <c r="E3" s="4" t="str">
        <v>6月06日</v>
      </c>
    </row>
    <row r="4" spans="2:5">
      <c r="B4" s="4" t="str">
        <v>v2.1</v>
      </c>
      <c r="C4" s="4" t="str">
        <v>vehicle_control_0007：取消勾选
vehicle_control_0025：修改参数名称、新增勾选
vehicle_control_0027:  新增勾选
vehicle_control_0034: 取消勾选
system_control_0001：修改函数名称、新增参数
vehicle_control_0031：修改参数名称
vehicle_control_0012：修改参数名称</v>
      </c>
      <c r="D4" s="4" t="str">
        <v>陈西钺</v>
      </c>
      <c r="E4" s="5">
        <v>45818</v>
      </c>
    </row>
    <row r="5" spans="2:5">
      <c r="B5" s="4" t="str">
        <v>v2.2</v>
      </c>
      <c r="C5" s="4" t="str">
        <v>vehicle_control_0022：修改勾选
vehicle_control_0030：修改参数类型、修改mock值（follow 车控）</v>
      </c>
      <c r="D5" s="4" t="str">
        <v>陈西钺</v>
      </c>
      <c r="E5" s="5">
        <v>45819</v>
      </c>
    </row>
    <row r="6" ht="75" customHeight="1" spans="2:6">
      <c r="B6" s="4"/>
      <c r="C6" s="4" t="str">
        <v>vehicle_control_0027：修改勾选
signal_light_0036：更新信号状态说明
signal_light_0043：新增参数取值和Mock取值
signal_light_0053：修改Mock取值
navigation_0007：修改Mock取值，修改参数描述
navigation_0004：修改Mock取值，修改参数描述
adsd_0009：新增Mock取值
adsd_0006：修改Mock取值
vehicle_control_0003：删除函数
vehicle_control_0002：删除函数
vehicle_control_0001：删除函数
所有函数用“，”间隔</v>
      </c>
      <c r="D6" s="4" t="str">
        <v>陈西钺</v>
      </c>
      <c r="E6" s="5">
        <v>45824</v>
      </c>
      <c r="F6" s="4"/>
    </row>
    <row r="7" spans="2:5">
      <c r="B7" s="4"/>
      <c r="C7" s="4" t="str">
        <v>vehicle_control_0013：修改Mock取值
vehicle_control_0023：修改参数类型
vehicle_control_0003: 修改和函数对应关系
vehicle_control_0004: 修改和函数对应关系</v>
      </c>
      <c r="D7" s="4" t="str">
        <v>陈西钺</v>
      </c>
      <c r="E7" s="5">
        <v>45826</v>
      </c>
    </row>
    <row r="8" spans="2:5">
      <c r="B8" s="4"/>
      <c r="C8" s="4" t="str">
        <v>vehicle_control_0013：新增参数
vehicle_control_0014：新增参数
vehicle_control_0021：新增勾选</v>
      </c>
      <c r="D8" s="4" t="str">
        <v>陈西钺</v>
      </c>
      <c r="E8" s="5">
        <v>45834</v>
      </c>
    </row>
    <row r="9" spans="2:5">
      <c r="B9" s="4" t="str">
        <v>v2.3</v>
      </c>
      <c r="C9" s="4" t="str">
        <v>system_control_0001：修改勾选
vehicle_control_0011：修改勾选</v>
      </c>
      <c r="D9" s="4" t="str">
        <v>陈西钺</v>
      </c>
      <c r="E9" s="5">
        <v>45838</v>
      </c>
    </row>
    <row r="10" spans="2:5">
      <c r="B10" s="4"/>
      <c r="C10" s="4" t="str">
        <v>vehicle_control_0009：新增参数</v>
      </c>
      <c r="D10" s="4" t="str">
        <v>陈西钺</v>
      </c>
      <c r="E10" s="4" t="str">
        <v>7月01日</v>
      </c>
    </row>
    <row r="11" spans="2:5">
      <c r="B11" s="4"/>
      <c r="C11" s="4" t="str">
        <v>vehicle_control_0031：更新参数描述</v>
      </c>
      <c r="D11" s="4" t="str">
        <v>陈西钺</v>
      </c>
      <c r="E11" s="4" t="str">
        <v>7月02日</v>
      </c>
    </row>
    <row r="12" spans="2:5">
      <c r="B12" s="4"/>
      <c r="C12" s="4" t="str">
        <v>vehicle_control_0041：新增函数
vehicle_control_0018：修改赛力斯勾选</v>
      </c>
      <c r="D12" s="4" t="str">
        <v>陈西钺</v>
      </c>
      <c r="E12" s="4" t="str">
        <v>7月05日</v>
      </c>
    </row>
    <row r="13" spans="2:5">
      <c r="B13" s="4"/>
      <c r="C13" s="4" t="str">
        <v>修改所有state变为states
adsd_0023：修改参数名和描述
vehicle_control_0003：修改参数名和描述
vehicle_control_0013：修改参数名和描述
vehicle_control_0019：修改参数名和描述
vehicle_control_0020：修改参数名和描述
vehicle_control_0024：修改参数名和描述
vehicle_control_0025：修改参数名和描述
vehicle_control_0035：修改参数名和描述</v>
      </c>
      <c r="D13" s="4" t="str">
        <v>陈西钺</v>
      </c>
      <c r="E13" s="5">
        <v>45855</v>
      </c>
    </row>
    <row r="14" spans="2:5">
      <c r="B14" s="4" t="str">
        <v>v2.4</v>
      </c>
      <c r="C14" s="4" t="inlineStr">
        <is>
          <r>
            <rPr>
              <b/>
              <sz val="10"/>
              <color rgb="FF1F2329"/>
              <rFont val="Arial"/>
            </rPr>
            <t xml:space="preserve">新增函数:
</t>
          </r>
          <r>
            <rPr>
              <sz val="10"/>
              <color rgb="FF1F2329"/>
              <rFont val="Arial"/>
            </rPr>
            <t xml:space="preserve">signal_light_0054 TCS工作状态指示灯
signal_light_0055 HDC系统故障提示灯
signal_light_0056  HDC系统状态指示灯
vehicle_control_0042 行驶里程
vehicle_control_0043 车辆使用模式
vehicle_control_0044 屏幕状态
media_0003 播放模式
</t>
          </r>
          <r>
            <rPr>
              <b/>
              <sz val="10"/>
              <color rgb="FF1F2329"/>
              <rFont val="Arial"/>
            </rPr>
            <t xml:space="preserve">已有函数新增参数：
</t>
          </r>
          <r>
            <rPr>
              <sz val="10"/>
              <color rgb="FF1F2329"/>
              <rFont val="Arial"/>
            </rPr>
            <t xml:space="preserve">media_0002 当前播放视频  新增参数 app_name 应用名称
</t>
          </r>
          <r>
            <rPr>
              <b/>
              <sz val="10"/>
              <color rgb="FF1F2329"/>
              <rFont val="Arial"/>
            </rPr>
            <t xml:space="preserve">修改函数名：
</t>
          </r>
          <r>
            <rPr>
              <sz val="10"/>
              <color rgb="FF1F2329"/>
              <rFont val="Arial"/>
            </rPr>
            <t xml:space="preserve">signal_light_0013 ESP/SCSP灯关闭提示灯 -&gt; ESP/SCSP工作状态指示灯
system_control_0002 语音播报设置开关 -&gt; 语音播报设置
adsd_0012 限速调整固定速度-&gt;智驾限速固定值
</t>
          </r>
          <r>
            <rPr>
              <b/>
              <sz val="10"/>
              <color rgb="FF1F2329"/>
              <rFont val="Arial"/>
            </rPr>
            <t xml:space="preserve">修改函数描述、参数、参数描述、信号图案描述：
</t>
          </r>
          <r>
            <rPr>
              <sz val="10"/>
              <color rgb="FF1F2329"/>
              <rFont val="Arial"/>
            </rPr>
            <t xml:space="preserve">signal_light_0012 ESP/SCS故障提示灯
signal_light_0013 ESP/SCS工作状态指示灯
signal_light_0014 TCS灯故障提示灯
system_control_0002 语音播报设置
adsd_0012 限速调整固定速度
vehicle_control_0003 车辆行进状态</t>
          </r>
        </is>
      </c>
      <c r="D14" s="4" t="str">
        <v>陈西钺</v>
      </c>
      <c r="E14" s="5">
        <v>45964</v>
      </c>
    </row>
    <row r="15" spans="2:5">
      <c r="B15" s="4"/>
      <c r="C15" s="4" t="inlineStr">
        <is>
          <r>
            <rPr>
              <b/>
              <sz val="10"/>
              <color rgb="FF1F2329"/>
              <rFont val="Arial"/>
            </rPr>
            <t xml:space="preserve">已有函数新增参数：
</t>
          </r>
          <r>
            <rPr>
              <sz val="10"/>
              <color rgb="FF1F2329"/>
              <rFont val="Arial"/>
            </rPr>
            <t>system_control_0003 乘客身份信息  新增参数 face_id用户身份标识</t>
          </r>
        </is>
      </c>
      <c r="D15" s="4" t="str">
        <v>陈西钺</v>
      </c>
      <c r="E15" s="5">
        <v>45965</v>
      </c>
    </row>
    <row r="16" spans="2:5">
      <c r="B16" s="4"/>
      <c r="C16" s="4" t="inlineStr">
        <is>
          <r>
            <rPr>
              <b/>
              <sz val="10"/>
              <color rgb="FF1F2329"/>
              <rFont val="Arial"/>
            </rPr>
            <t xml:space="preserve">修改函数名：
</t>
          </r>
          <r>
            <rPr>
              <sz val="10"/>
              <color rgb="FF1F2329"/>
              <rFont val="Arial"/>
            </rPr>
            <t>signal_light_0011 制动灯 -&gt; 制动故障灯</t>
          </r>
        </is>
      </c>
      <c r="D16" s="4" t="str">
        <v>陈西钺</v>
      </c>
      <c r="E16" s="5">
        <v>45979</v>
      </c>
    </row>
    <row r="17" spans="2:5">
      <c r="B17" s="4"/>
      <c r="C17" s="6" t="inlineStr">
        <is>
          <r>
            <rPr>
              <b/>
              <sz val="10"/>
              <color rgb="FF1F2329"/>
              <rFont val="Arial"/>
            </rPr>
            <t xml:space="preserve">新增参数取值范围：
</t>
          </r>
          <r>
            <rPr>
              <sz val="10"/>
              <color rgb="FF1F2329"/>
              <rFont val="Arial"/>
            </rPr>
            <t xml:space="preserve">signal_light_0012 ESP/SCS故障提示灯
signal_light_0014 TCS灯故障提示灯
signal_light_0054 TCS工作状态指示灯
signal_light_0055  HDC系统故障提示灯
signal_light_0056  HDC系统状态指示灯</t>
          </r>
        </is>
      </c>
      <c r="D17" s="4" t="str">
        <v>陈西钺</v>
      </c>
      <c r="E17" s="5">
        <v>45981</v>
      </c>
    </row>
    <row r="18" spans="2:5">
      <c r="B18" s="7" t="str">
        <v>V2.5</v>
      </c>
      <c r="C18" s="7" t="inlineStr">
        <is>
          <r>
            <rPr>
              <b/>
              <sz val="10"/>
              <rFont val="Arial"/>
            </rPr>
            <t xml:space="preserve">新增函数：
</t>
          </r>
          <r>
            <rPr>
              <sz val="10"/>
              <rFont val="Arial"/>
            </rPr>
            <t xml:space="preserve">signal_light_0057  前舱开启指示灯
signal_light_0058  灯光故障提示灯
signal_light_0059 油量过低提示灯
signal_light_0060 发动机机冷故障提示灯
signal_light_0061 发动机排放故障提示灯
signal_light_0062 机油压力警告灯
signal_light_0063 机油监测警告灯
signal_light_0064 颗粒捕集器状态警告灯
signal_light_0065 电子系统故障提示灯
signal_light_0066 悬架系统故障提示灯
signal_light_0067 动力源状态指示灯
signal_light_0068 雨刮器故障提示灯
signal_light_0069 雨量传感器故障提示灯
signal_light_0070 脱手接管报警灯
signal_light_0071 前向主动安全辅助系统状态指示灯
signal_light_0072 后方主动安全辅助系统故障指示灯
signal_light_0073 紧急转向辅助系统故障指示灯
signal_light_0074 巡航车速功能状态指示灯
signal_light_0075 自适应巡航功能状态指示灯
signal_light_0076 领航辅助系统状态指示灯
signal_light_0077 自动泊车辅助功能状态灯
signal_light_0078 窄道辅助功能状态灯
signal_light_0079 遥控泊车辅助功能状态灯
signal_light_0080 自动泊车功能状态灯
signal_light_0081 疲劳分心报警灯
signal_light_0082 车道限速标识指示灯
vehicle_control_0045 应用状态
vehicle_control_0046 动力和电源状态</t>
          </r>
        </is>
      </c>
      <c r="D18" s="7" t="str">
        <v>陈西钺</v>
      </c>
      <c r="E18" s="8">
        <v>12.09</v>
      </c>
    </row>
    <row r="19" spans="2:5">
      <c r="B19" s="7"/>
      <c r="C19" s="7" t="inlineStr">
        <is>
          <r>
            <rPr>
              <b/>
              <sz val="10"/>
              <rFont val="Arial"/>
            </rPr>
            <t xml:space="preserve">修改函数图案&amp;状态说明&amp;取值范围：
</t>
          </r>
          <r>
            <rPr>
              <sz val="10"/>
              <rFont val="Arial"/>
            </rPr>
            <t xml:space="preserve">signal_light_0016 Autohold待命灯
signal_light_0029 方向盘角度故障提示灯
signal_light_0030 ESCL故障提示灯
signal_light_0031 转向降低提示灯</t>
          </r>
        </is>
      </c>
      <c r="D19" s="7"/>
      <c r="E19" s="8"/>
    </row>
    <row r="20" spans="2:5">
      <c r="B20" s="7"/>
      <c r="C20" s="7" t="inlineStr">
        <is>
          <r>
            <rPr>
              <b/>
              <sz val="10"/>
              <rFont val="Arial"/>
            </rPr>
            <t xml:space="preserve">修改函数名称&amp;修改函数描述&amp;新增参数：
</t>
          </r>
          <r>
            <rPr>
              <sz val="10"/>
              <rFont val="Arial"/>
            </rPr>
            <t xml:space="preserve">signal_light_0018 四驱激活灯-&gt; 四驱系统状态指示灯
media_0003 播放模式-&gt;播放模式和状态</t>
          </r>
        </is>
      </c>
      <c r="D20" s="7"/>
      <c r="E20" s="8"/>
    </row>
    <row r="21" spans="2:5">
      <c r="B21" s="7"/>
      <c r="C21" s="7" t="inlineStr">
        <is>
          <r>
            <rPr>
              <b/>
              <sz val="10"/>
              <rFont val="Arial"/>
            </rPr>
            <t xml:space="preserve">新增参数：
</t>
          </r>
          <r>
            <rPr>
              <sz val="10"/>
              <rFont val="Arial"/>
            </rPr>
            <t xml:space="preserve">media_0001 当前播放音频
vehicle_control_0017 除霜除雾开关状态</t>
          </r>
        </is>
      </c>
      <c r="D21" s="7"/>
      <c r="E21" s="8"/>
    </row>
    <row r="22" spans="2:5">
      <c r="B22" s="4" t="str">
        <v>V2.5+（标红）</v>
      </c>
      <c r="C22" s="4" t="inlineStr">
        <is>
          <r>
            <rPr>
              <b/>
              <sz val="10"/>
              <color rgb="FF1F2329"/>
              <rFont val="Arial"/>
            </rPr>
            <t xml:space="preserve">新增函数：
</t>
          </r>
          <r>
            <rPr>
              <sz val="10"/>
              <color rgb="FF1F2329"/>
              <rFont val="Arial"/>
            </rPr>
            <t xml:space="preserve">vlm_static_passenger 舱内静态乘客描述
vlm_static_object 舱内静态物品描述
vlm_dynamic_passenger 舱内动态态乘客描述
vlm_dynamic_vibe  舱内互动和氛围描述
vlm_outside  舱外描述
system_control_0005 豆包账号状态
vehicle_control_0048 冰箱状态
vehicle_control_0049 遮阳帘状态
vehicle_control_0050 DVR状态
vehicle_control_0051 OMS状态
vehicle_control_0052 DMS状态
</t>
          </r>
          <r>
            <rPr>
              <b/>
              <sz val="10"/>
              <color rgb="FF1F2329"/>
              <rFont val="Arial"/>
            </rPr>
            <t xml:space="preserve">参数修改：
</t>
          </r>
          <r>
            <rPr>
              <sz val="10"/>
              <color rgb="FF1F2329"/>
              <rFont val="Arial"/>
            </rPr>
            <t xml:space="preserve">vehicle_control_0012 续航状态
media_0002 当前播放视频
vehicle_control_0022 座椅位置状态</t>
          </r>
        </is>
      </c>
      <c r="D22" s="4" t="str">
        <v>吴仁杰</v>
      </c>
      <c r="E22" s="4" t="str">
        <v>2026.4.14</v>
      </c>
    </row>
    <row r="23" spans="2:6">
      <c r="B23" s="4" t="str">
        <v>V2.5++（标红）</v>
      </c>
      <c r="C23" s="4" t="inlineStr">
        <is>
          <r>
            <rPr>
              <sz val="10"/>
              <color rgb="FF1F2329"/>
              <rFont val="Arial"/>
            </rPr>
            <t xml:space="preserve">对齐主线2.8版本
</t>
          </r>
          <r>
            <rPr>
              <b/>
              <sz val="10"/>
              <color rgb="FF1F2329"/>
              <rFont val="Arial"/>
            </rPr>
            <t xml:space="preserve">删除（上汽无端侧vlm）：
</t>
          </r>
          <r>
            <rPr>
              <sz val="10"/>
              <color rgb="FF1F2329"/>
              <rFont val="Arial"/>
            </rPr>
            <t xml:space="preserve">vlm_static_passenger 舱内静态乘客描述
vlm_static_object 舱内静态物品描述
vlm_dynamic_passenger 舱内动态态乘客描述
vlm_dynamic_vibe  舱内互动和氛围描述
vlm_outside  舱外描述
</t>
          </r>
          <r>
            <rPr>
              <b/>
              <sz val="10"/>
              <color rgb="FF1F2329"/>
              <rFont val="Arial"/>
            </rPr>
            <t xml:space="preserve">新增：
</t>
          </r>
          <r>
            <rPr>
              <sz val="10"/>
              <color rgb="FF1F2329"/>
              <rFont val="Arial"/>
            </rPr>
            <t xml:space="preserve">signal_light_0089  发动机故障警告灯
vehicle_control_0047 经济驾驶指示灯
signal_light_0083 未有目标限速指示灯
signal_light_0084 智能限速激活和超速状态指示灯
signal_light_0085 限速辅助状态指示灯
signal_light_0086 巡航辅助系统状态灯
signal_light_0087 限速辅助系统故障灯
signal_light_0088 ACC系统故障灯
interaction_0001 ASR识别状态
interaction_0002 TTS播报状态
signal_light_0090  单踏板指示灯
</t>
          </r>
          <r>
            <rPr>
              <b/>
              <sz val="10"/>
              <color rgb="FF1F2329"/>
              <rFont val="Arial"/>
            </rPr>
            <t xml:space="preserve">更新：
</t>
          </r>
          <r>
            <rPr>
              <sz val="10"/>
              <color rgb="FF1F2329"/>
              <rFont val="Arial"/>
            </rPr>
            <t xml:space="preserve">signal_light_0021 充电系统故障灯
signal_light_0059 油量过低提示灯
signal_light_0060 发动机机冷故障提示灯
signal_light_0061 发动机排放故障提示灯
signal_light_0082 车道限速标识指示灯
signal_light_0053 阅读灯
system_control_0003 乘客身份信息
vehicle_control_0030 儿童锁状态
vehicle_control_0022 座椅位置状态
vehicle_control_0023 座椅通风开关状态
vehicle_control_0024 座椅加热状态
vehicle_control_0025 座椅按摩模式
vehicle_control_0016 空调制冷开关状态
vehicle_control_0014 空调风向模式
vehicle_control_0013 车内空调状态
adsd_0013 限速调整百分比
adsd_0011 限速调整区间
signal_light_0008  智能大灯控制系统开启提示灯（自动远近光切换）
signal_light_0022  辅助系统供电故障指示灯
signal_light_0025  第一排安全带未系提醒灯
signal_light_0035  钥匙不在车内/防盗指示灯
signal_light_0036  动力电池故障指示灯  
signal_light_0055  HDC系统故障提示灯
signal_light_0064  颗粒捕集器状态警告灯
signal_light_0084  智能限速激活和超速状态指示灯
signal_light_0075  自适应巡航功能状态指示灯
adsd_0024             警示方式
vehicle_control_0005 能量回收状态
signal_light_0066  ：悬架系统故障提示灯
signal_light_0073 ：紧急转向辅助系统故障指示灯</t>
          </r>
        </is>
      </c>
      <c r="D23" s="4" t="str">
        <v>吴仁杰</v>
      </c>
      <c r="E23" s="4" t="str">
        <v>2026.4.15</v>
      </c>
      <c r="F23" s="4" t="str">
        <v>对齐主线2.8，DNA不含vlm</v>
      </c>
    </row>
    <row r="24" spans="2:5">
      <c r="B24" s="4"/>
      <c r="C24" s="4" t="str">
        <v>删除：
system_control_0005 豆包账号状态
修改：
增加“字节是否需要”列，标注Y/N</v>
      </c>
      <c r="D24" s="4" t="str">
        <v>吴仁杰</v>
      </c>
      <c r="E24" s="4" t="str">
        <v>2026.4.16</v>
      </c>
    </row>
    <row r="25" spans="2:5">
      <c r="B25" s="4"/>
      <c r="C25" s="4" t="str">
        <v>更新：
signal_light_0052 氛围灯模式
</v>
      </c>
      <c r="D25" s="4" t="str">
        <v>吴仁杰</v>
      </c>
      <c r="E25" s="4" t="str">
        <v>2026.4.22</v>
      </c>
    </row>
    <row r="26" spans="2:5">
      <c r="B26" s="4"/>
      <c r="C26" s="4" t="str">
        <v>更新：
media_0001 当前播放音频，新增字段
vehicle_control_0022 座椅位置状态，腰腿腿托字段更新</v>
      </c>
      <c r="D26" s="4" t="str">
        <v>吴仁杰</v>
      </c>
      <c r="E26" s="4" t="str">
        <v>2026.4.23</v>
      </c>
    </row>
    <row r="27" spans="3:6">
      <c r="C27" s="7" t="str">
        <v>新增：
signal_light_0091～signal_light_0117信号灯
adsd_0041～adsd_0050 智驾
vehicle_control_0053 动力源状态
vehicle_control_0054 上下电状态
更新(名称、枚举、参数等）：
signal_light_0012
signal_light_0013
signal_light_0014
signal_light_0024
signal_light_0026
signal_light_0027
signal_light_0028
signal_light_0033
signal_light_0034
signal_light_0037
signal_light_0049
signal_light_0052
signal_light_0067
signal_light_0073
signal_light_0075
signal_light_0077
adsd_0009
adsd_0014～adsd_0016、
adsd_0018、
adsd_0019、
adsd_0023、
adsd_0024、
adsd_0036、
adsd_0037、
adsd_0040
vehicle_control_0046
vehicle_control_0028</v>
      </c>
      <c r="D27" s="7" t="str">
        <v>吴仁杰</v>
      </c>
      <c r="E27" s="7" t="str">
        <v>2026.5.6</v>
      </c>
      <c r="F27" s="9" t="str">
        <v>参照DNA客户表格更新：
【知识库8】IS4PR辅助驾驶参数查询列表v1.0_端状态_0316.xlsx 
【知识库3】IS4PR仪表灯及端状态-0206.xlsx:https://bytedance.larkoffice.com/file/NTcbb1vTvotKzBxOslVc4bQ5n8d 
【知识库8】IS4PR辅助驾驶参数查询列表v1.0_端状态_0424.xlsx:https://bytedance.larkoffice.com/file/TQMzbYavjosZhnxcpB5cpyFFnqh 
【知识库3】IS4PR仪表灯及端状态-0424.xlsx:https://bytedance.larkoffice.com/file/OZkHb66gMon6RrxUVfcc7ZoKnQe </v>
      </c>
    </row>
    <row r="28" spans="2:5">
      <c r="B28" s="4" t="str">
        <v>v2.5++</v>
      </c>
      <c r="C28" s="4" t="str">
        <v>新增
vehicle_control_0055 车窗锁状态</v>
      </c>
      <c r="D28" s="4" t="str">
        <v>韩天亮</v>
      </c>
      <c r="E28" s="4" t="str">
        <v>2026.5.18</v>
      </c>
    </row>
    <row r="29" spans="2:5">
      <c r="B29" s="4" t="str">
        <v>v2.5++</v>
      </c>
      <c r="C29" s="4" t="str">
        <v>修改DVR状态内容
将“前，后，左，右，前主”修改为“主视角，全视角”
将多主key状态删除
修改驾驶员监测状态
将疲劳提醒和分心提醒内容修改
新增
新增vehicle_control_0056 哨兵模式状态</v>
      </c>
      <c r="D29" s="4" t="str">
        <v>韩天亮</v>
      </c>
      <c r="E29" s="4" t="str">
        <v>2026.5.27</v>
      </c>
    </row>
    <row r="30" spans="2:5">
      <c r="B30" s="4" t="str">
        <v>v2.5++</v>
      </c>
      <c r="C30" s="4" t="str">
        <v>新增
system_control_0001中的子参数状态 
上次保养日期：Last_maintenance_date
新增
通讯录名称端状态</v>
      </c>
      <c r="D30" s="4" t="str">
        <v>韩天亮</v>
      </c>
      <c r="E30" s="4" t="str">
        <v>2026.6.1</v>
      </c>
    </row>
    <row r="31" spans="2:5">
      <c r="B31" s="4" t="str">
        <v>v2.5++</v>
      </c>
      <c r="C31" s="4" t="str">
        <v>新增
navigation_0005中参数字段：1.congestion_time   2.congestion_dist
navigation_0006中参数字段：1.roda_name 2.congestion_dist 3.congestion_time 4.to_congestion_dist
新增
navigation_0009 当前限速</v>
      </c>
      <c r="D31" s="4" t="str">
        <v>韩天亮</v>
      </c>
      <c r="E31" s="4" t="str">
        <v>2026.6.10</v>
      </c>
    </row>
    <row r="32" spans="2:5">
      <c r="B32" s="4" t="str">
        <v>V2.6</v>
      </c>
      <c r="C32" s="4" t="str">
        <v>新增V2.6sheet页
将已确认不需要的信号做删除处理</v>
      </c>
      <c r="D32" s="4" t="str">
        <v>韩天亮</v>
      </c>
      <c r="E32" s="4" t="str">
        <v>2026.6.15</v>
      </c>
    </row>
    <row r="33" spans="2:5">
      <c r="B33" s="4" t="str">
        <v>V2.6</v>
      </c>
      <c r="C33" s="4" t="str">
        <v>新增
能耗情况 vehicle_control_0057 端状态</v>
      </c>
      <c r="D33" s="4" t="str">
        <v>韩天亮</v>
      </c>
      <c r="E33" s="4" t="str">
        <v>2026.6.18</v>
      </c>
    </row>
    <row r="34" spans="2:5">
      <c r="B34" s="4" t="str">
        <v>V2.6</v>
      </c>
      <c r="C34" s="4" t="str">
        <v>新增系统与设置模块
system_control_0005  版本信息状态</v>
      </c>
      <c r="D34" s="4" t="str">
        <v>韩天亮</v>
      </c>
      <c r="E34" s="4" t="str">
        <v>2026.6.23</v>
      </c>
    </row>
    <row r="35" spans="2:5">
      <c r="B35" s="4" t="str">
        <v>V2.6</v>
      </c>
      <c r="C35" s="4" t="str">
        <v>navigation_0003/0004/0007/0008增加poi_id、poi名称参数</v>
      </c>
      <c r="D35" s="4" t="str">
        <v>吴仁杰</v>
      </c>
      <c r="E35" s="10">
        <v>20260702</v>
      </c>
    </row>
    <row r="36" spans="2:5">
      <c r="B36" s="4" t="str">
        <v>V2.6</v>
      </c>
      <c r="C36" s="4" t="str">
        <v>新增
vehicle_control_0032 取值范围增加 “自动档”</v>
      </c>
      <c r="D36" s="4" t="str">
        <v>韩天亮</v>
      </c>
      <c r="E36" s="10">
        <v>20260706</v>
      </c>
    </row>
    <row r="37" spans="2:5">
      <c r="B37" s="4" t="str">
        <v>V2.6</v>
      </c>
      <c r="C37" s="4" t="str">
        <v>navigation_0003/0004/0007/0008删除poi_id参数
删除了playlist播放列表参数；
删除了平均能耗信号。</v>
      </c>
      <c r="D37" s="4" t="str">
        <v>韩天亮</v>
      </c>
      <c r="E37" s="10">
        <v>20260713</v>
      </c>
    </row>
  </sheetData>
  <mergeCells count="7">
    <mergeCell ref="B5:B8"/>
    <mergeCell ref="B9:B13"/>
    <mergeCell ref="B14:B17"/>
    <mergeCell ref="B18:B21"/>
    <mergeCell ref="D18:D21"/>
    <mergeCell ref="E18:E21"/>
    <mergeCell ref="B23:B26"/>
  </mergeCells>
  <hyperlinks>
    <hyperlink ref="F27" r:id="rId1"/>
  </hyperlinks>
  <pageMargins left="0.7" right="0.7" top="0.75" bottom="0.75" header="0.3" footer="0.3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9.571428571428571" style="1" customWidth="1"/>
    <col min="2" max="2" width="19.571428571428573" style="1" customWidth="1"/>
    <col min="3" max="3" width="23.142857142857142" style="1" customWidth="1"/>
    <col min="4" max="5" width="9.857142857142858" style="1" customWidth="1"/>
    <col min="6" max="6" width="37.285714285714285" style="1" customWidth="1"/>
    <col min="7" max="7" width="20.14880715891299" style="1" customWidth="1"/>
    <col min="8" max="8" width="20.714285714285715" style="1" customWidth="1"/>
    <col min="9" max="9" width="21.428571428571427" style="1" customWidth="1"/>
    <col min="10" max="10" width="28.958330968446262" style="1" customWidth="1"/>
    <col min="11" max="11" width="8.714285714285714" style="1" customWidth="1"/>
    <col min="12" max="12" width="14" style="1" customWidth="1"/>
    <col min="13" max="13" width="19.571428571428573" style="1" customWidth="1"/>
    <col min="14" max="21" width="15" style="1" customWidth="1"/>
  </cols>
  <sheetData>
    <row r="1" spans="1:12">
      <c r="A1" s="11" t="str">
        <v>一级分类</v>
      </c>
      <c r="B1" s="11" t="str">
        <v>二级分类</v>
      </c>
      <c r="C1" s="11" t="str">
        <v>信号ID</v>
      </c>
      <c r="D1" s="12" t="str">
        <v>图案数量</v>
      </c>
      <c r="E1" s="13"/>
      <c r="F1" s="11" t="str">
        <v>信号名称</v>
      </c>
      <c r="G1" s="11" t="str">
        <v>信号状态参数</v>
      </c>
      <c r="H1" s="11" t="str">
        <v>信号状态参数（中文）</v>
      </c>
      <c r="I1" s="11" t="str">
        <v>类型</v>
      </c>
      <c r="J1" s="11" t="str">
        <v>取值范围</v>
      </c>
      <c r="K1" s="11" t="str">
        <v>多主key</v>
      </c>
      <c r="L1" s="14" t="str">
        <v>常用状态范围 </v>
      </c>
    </row>
    <row r="2" spans="1:12">
      <c r="A2" s="15" t="str">
        <v>车灯</v>
      </c>
      <c r="B2" s="15" t="str">
        <v>状态灯</v>
      </c>
      <c r="C2" s="15" t="str">
        <v>signal_light_0001</v>
      </c>
      <c r="D2" s="16">
        <v>1</v>
      </c>
      <c r="E2" s="15" t="str">
        <v>{"src":"https://bytedance.larkoffice.com/space/api/box/stream/download/v2/cover/MvY3bsQ0doMHcKxHXP8cr1AxnUd/?height=1280&amp;mount_node_token=Pbw4sSfIRhhc2EthDUicfRr1nWb&amp;mount_point=sheet_image&amp;policy=equal&amp;width=1280","width":34,"height":25}</v>
      </c>
      <c r="F2" s="15" t="str">
        <v>近光灯</v>
      </c>
      <c r="G2" s="15" t="str">
        <v>states</v>
      </c>
      <c r="H2" s="15" t="str">
        <v>状态</v>
      </c>
      <c r="I2" s="15" t="str">
        <v>enum</v>
      </c>
      <c r="J2" s="15" t="str">
        <v>关闭，显示绿色</v>
      </c>
      <c r="L2" s="16">
        <v>1</v>
      </c>
    </row>
    <row r="3" spans="1:12">
      <c r="A3" s="15" t="str">
        <v>车灯</v>
      </c>
      <c r="B3" s="15" t="str">
        <v>状态灯</v>
      </c>
      <c r="C3" s="15" t="str">
        <v>signal_light_0002</v>
      </c>
      <c r="D3" s="16">
        <v>1</v>
      </c>
      <c r="E3" s="15" t="str">
        <v>{"src":"https://bytedance.larkoffice.com/space/api/box/stream/download/v2/cover/UiPvb8WcYo0ROJxowu5cQ67Wn8L/?height=1280&amp;mount_node_token=Pbw4sSfIRhhc2EthDUicfRr1nWb&amp;mount_point=sheet_image&amp;policy=equal&amp;width=1280","width":34,"height":25}</v>
      </c>
      <c r="F3" s="15" t="str">
        <v>远光灯</v>
      </c>
      <c r="G3" s="15" t="str">
        <v>states</v>
      </c>
      <c r="H3" s="15" t="str">
        <v>状态</v>
      </c>
      <c r="I3" s="15" t="str">
        <v>enum</v>
      </c>
      <c r="J3" s="15" t="str">
        <v>关闭，显示蓝色</v>
      </c>
      <c r="L3" s="16">
        <v>1</v>
      </c>
    </row>
    <row r="4" spans="1:12">
      <c r="A4" s="15" t="str">
        <v>车灯</v>
      </c>
      <c r="B4" s="15" t="str">
        <v>状态灯</v>
      </c>
      <c r="C4" s="15" t="str">
        <v>signal_light_0003</v>
      </c>
      <c r="F4" s="15" t="str">
        <v>日间行车灯</v>
      </c>
      <c r="G4" s="15" t="str">
        <v>switch</v>
      </c>
      <c r="H4" s="15" t="str">
        <v>开关</v>
      </c>
      <c r="I4" s="15" t="str">
        <v>enum</v>
      </c>
      <c r="J4" s="15" t="str">
        <v>开启，关闭</v>
      </c>
      <c r="L4" s="16">
        <v>1</v>
      </c>
    </row>
    <row r="5" spans="1:12">
      <c r="A5" s="15" t="str">
        <v>车灯</v>
      </c>
      <c r="B5" s="15" t="str">
        <v>状态灯</v>
      </c>
      <c r="C5" s="15" t="str">
        <v>signal_light_0004</v>
      </c>
      <c r="D5" s="16">
        <v>1</v>
      </c>
      <c r="E5" s="15" t="str">
        <v>{"src":"https://bytedance.larkoffice.com/space/api/box/stream/download/v2/cover/Lo3Zb43pQo4ZwuxaP3iccHH4nId/?height=1280&amp;mount_node_token=Pbw4sSfIRhhc2EthDUicfRr1nWb&amp;mount_point=sheet_image&amp;policy=equal&amp;width=1280","width":32,"height":30}</v>
      </c>
      <c r="F5" s="15" t="str">
        <v>后雾灯</v>
      </c>
      <c r="G5" s="15" t="str">
        <v>states</v>
      </c>
      <c r="H5" s="15" t="str">
        <v>状态</v>
      </c>
      <c r="I5" s="15" t="str">
        <v>enum</v>
      </c>
      <c r="J5" s="15" t="str">
        <v>关闭，显示黄色</v>
      </c>
      <c r="L5" s="16">
        <v>1</v>
      </c>
    </row>
    <row r="6" spans="1:12">
      <c r="A6" s="15" t="str">
        <v>车灯</v>
      </c>
      <c r="B6" s="15" t="str">
        <v>状态灯</v>
      </c>
      <c r="C6" s="15" t="str">
        <v>signal_light_0005</v>
      </c>
      <c r="D6" s="16">
        <v>1</v>
      </c>
      <c r="E6" s="15" t="str">
        <v>{"src":"https://bytedance.larkoffice.com/space/api/box/stream/download/v2/cover/D0rpbdVeTo9qJmxmtprcdRl1n70/?height=1280&amp;mount_node_token=Pbw4sSfIRhhc2EthDUicfRr1nWb&amp;mount_point=sheet_image&amp;policy=equal&amp;width=1280","width":36,"height":23}</v>
      </c>
      <c r="F6" s="15" t="str">
        <v>位置灯</v>
      </c>
      <c r="G6" s="15" t="str">
        <v>states</v>
      </c>
      <c r="H6" s="15" t="str">
        <v>状态</v>
      </c>
      <c r="I6" s="15" t="str">
        <v>enum</v>
      </c>
      <c r="J6" s="15" t="str">
        <v>关闭，显示绿色</v>
      </c>
      <c r="L6" s="16">
        <v>1</v>
      </c>
    </row>
    <row r="7" spans="1:12">
      <c r="A7" s="15" t="str">
        <v>车灯</v>
      </c>
      <c r="B7" s="15" t="str">
        <v>状态灯</v>
      </c>
      <c r="C7" s="15" t="str">
        <v>signal_light_0006</v>
      </c>
      <c r="D7" s="16">
        <v>1</v>
      </c>
      <c r="E7" s="15" t="str">
        <v>{"src":"https://bytedance.larkoffice.com/space/api/box/stream/download/v2/cover/GEx9bb7BPoJbnnxGtuMcJdRMnng/?height=1280&amp;mount_node_token=Pbw4sSfIRhhc2EthDUicfRr1nWb&amp;mount_point=sheet_image&amp;policy=equal&amp;width=1280","width":34,"height":27}</v>
      </c>
      <c r="F7" s="15" t="str">
        <v>左转向灯</v>
      </c>
      <c r="G7" s="15" t="str">
        <v>states</v>
      </c>
      <c r="H7" s="15" t="str">
        <v>状态</v>
      </c>
      <c r="I7" s="15" t="str">
        <v>enum</v>
      </c>
      <c r="J7" s="15" t="str">
        <v>关闭，显示绿色</v>
      </c>
      <c r="L7" s="16">
        <v>1</v>
      </c>
    </row>
    <row r="8" spans="7:12">
      <c r="G8" s="15" t="str">
        <v>flash</v>
      </c>
      <c r="H8" s="15" t="str">
        <v>闪烁频率</v>
      </c>
      <c r="I8" s="15" t="str">
        <v>enum</v>
      </c>
      <c r="J8" s="15" t="str">
        <v>2.5Hz，5Hz，常亮</v>
      </c>
      <c r="L8" s="16">
        <v>1</v>
      </c>
    </row>
    <row r="9" spans="1:12">
      <c r="A9" s="15" t="str">
        <v>车灯</v>
      </c>
      <c r="B9" s="15" t="str">
        <v>状态灯</v>
      </c>
      <c r="C9" s="15" t="str">
        <v>signal_light_0007</v>
      </c>
      <c r="D9" s="16">
        <v>1</v>
      </c>
      <c r="E9" s="15" t="str">
        <v>{"src":"https://bytedance.larkoffice.com/space/api/box/stream/download/v2/cover/FjKVbUz3kocPZNx8glBcdNlLnyd/?height=1280&amp;mount_node_token=Pbw4sSfIRhhc2EthDUicfRr1nWb&amp;mount_point=sheet_image&amp;policy=equal&amp;width=1280","width":34,"height":27}</v>
      </c>
      <c r="F9" s="15" t="str">
        <v>右转向灯</v>
      </c>
      <c r="G9" s="15" t="str">
        <v>states</v>
      </c>
      <c r="H9" s="15" t="str">
        <v>状态</v>
      </c>
      <c r="I9" s="15" t="str">
        <v>enum</v>
      </c>
      <c r="J9" s="15" t="str">
        <v>关闭，显示绿色</v>
      </c>
      <c r="L9" s="16">
        <v>1</v>
      </c>
    </row>
    <row r="10" spans="7:12">
      <c r="G10" s="15" t="str">
        <v>flash</v>
      </c>
      <c r="H10" s="15" t="str">
        <v>闪烁频率</v>
      </c>
      <c r="I10" s="15" t="str">
        <v>enum</v>
      </c>
      <c r="J10" s="15" t="str">
        <v>2.5Hz，5Hz，常亮</v>
      </c>
      <c r="L10" s="16">
        <v>1</v>
      </c>
    </row>
    <row r="11" spans="1:10">
      <c r="A11" s="15" t="str">
        <v>车灯</v>
      </c>
      <c r="B11" s="15" t="str">
        <v>状态灯</v>
      </c>
      <c r="C11" s="15" t="str">
        <v>signal_light_0008</v>
      </c>
      <c r="D11" s="16">
        <v>1</v>
      </c>
      <c r="E11" s="15" t="str">
        <v>{"src":"https://bytedance.larkoffice.com/space/api/box/stream/download/v2/cover/HXC9bxJhQoKYvdxg6ZocFOD7nrh/?height=1280&amp;mount_node_token=Pbw4sSfIRhhc2EthDUicfRr1nWb&amp;mount_point=sheet_image&amp;policy=equal&amp;width=1280","width":34,"height":25}</v>
      </c>
      <c r="F11" s="15" t="str">
        <v>智能大灯控制系统开启提示灯（自动远近光切换）</v>
      </c>
      <c r="G11" s="15" t="str">
        <v>states</v>
      </c>
      <c r="H11" s="15" t="str">
        <v>状态</v>
      </c>
      <c r="I11" s="15" t="str">
        <v>enum</v>
      </c>
      <c r="J11" s="15" t="str">
        <v>关闭，显示绿色</v>
      </c>
    </row>
    <row r="12" spans="1:10">
      <c r="A12" s="15" t="str">
        <v>车灯</v>
      </c>
      <c r="B12" s="15" t="str">
        <v>故障灯</v>
      </c>
      <c r="C12" s="15" t="str">
        <v>signal_light_0009</v>
      </c>
      <c r="D12" s="16">
        <v>1</v>
      </c>
      <c r="E12" s="15" t="str">
        <v>{"src":"https://bytedance.larkoffice.com/space/api/box/stream/download/v2/cover/Ta5Nb45zLoLqLZx4kUbc9oLFnkf/?height=1280&amp;mount_node_token=Pbw4sSfIRhhc2EthDUicfRr1nWb&amp;mount_point=sheet_image&amp;policy=equal&amp;width=1280","width":34,"height":25}</v>
      </c>
      <c r="F12" s="15" t="str">
        <v>AFS灯光故障</v>
      </c>
      <c r="G12" s="15" t="str">
        <v>states</v>
      </c>
      <c r="H12" s="15" t="str">
        <v>状态</v>
      </c>
      <c r="I12" s="15" t="str">
        <v>enum</v>
      </c>
      <c r="J12" s="15" t="str">
        <v>关闭，显示黄色</v>
      </c>
    </row>
    <row r="13" spans="1:10">
      <c r="A13" s="15" t="str">
        <v>车灯</v>
      </c>
      <c r="B13" s="15" t="str">
        <v>故障灯</v>
      </c>
      <c r="C13" s="15" t="str">
        <v>signal_light_0010</v>
      </c>
      <c r="D13" s="16">
        <v>1</v>
      </c>
      <c r="E13" s="15" t="str">
        <v>{"src":"https://bytedance.larkoffice.com/space/api/box/stream/download/v2/cover/Zgpfb0hbJo5Dv4x3aOQcHKDDnzf/?height=1280&amp;mount_node_token=Pbw4sSfIRhhc2EthDUicfRr1nWb&amp;mount_point=sheet_image&amp;policy=equal&amp;width=1280","width":31,"height":25}</v>
      </c>
      <c r="F13" s="15" t="str">
        <v>ABS故障灯</v>
      </c>
      <c r="G13" s="15" t="str">
        <v>states</v>
      </c>
      <c r="H13" s="15" t="str">
        <v>状态</v>
      </c>
      <c r="I13" s="15" t="str">
        <v>enum</v>
      </c>
      <c r="J13" s="15" t="str">
        <v>关闭，显示黄色</v>
      </c>
    </row>
    <row r="14" spans="1:10">
      <c r="A14" s="15" t="str">
        <v>车灯</v>
      </c>
      <c r="B14" s="15" t="str">
        <v>状态灯</v>
      </c>
      <c r="C14" s="15" t="str">
        <v>signal_light_0011</v>
      </c>
      <c r="D14" s="16">
        <v>1</v>
      </c>
      <c r="E14" s="15" t="str">
        <v>{"src":"https://bytedance.larkoffice.com/space/api/box/stream/download/v2/cover/ZG11bSkfbo30X7xWDaqcOjHSnPe/?height=1280&amp;mount_node_token=Pbw4sSfIRhhc2EthDUicfRr1nWb&amp;mount_point=sheet_image&amp;policy=equal&amp;width=1280","width":31,"height":25}</v>
      </c>
      <c r="F14" s="17" t="str">
        <v>制动故障灯</v>
      </c>
      <c r="G14" s="15" t="str">
        <v>states</v>
      </c>
      <c r="H14" s="15" t="str">
        <v>状态</v>
      </c>
      <c r="I14" s="15" t="str">
        <v>enum</v>
      </c>
      <c r="J14" s="15" t="str">
        <v>关闭，显示红色</v>
      </c>
    </row>
    <row r="15" spans="1:10">
      <c r="A15" s="15" t="str">
        <v>车灯</v>
      </c>
      <c r="B15" s="15" t="str">
        <v>故障灯</v>
      </c>
      <c r="C15" s="15" t="str">
        <v>signal_light_0012</v>
      </c>
      <c r="D15" s="16">
        <v>1</v>
      </c>
      <c r="E15" s="18" t="str">
        <v>{"src":"https://bytedance.larkoffice.com/space/api/box/stream/download/v2/cover/UpukbI38dowIlQxK53hc5AJhnld/?height=1280&amp;mount_node_token=Pbw4sSfIRhhc2EthDUicfRr1nWb&amp;mount_point=sheet_image&amp;policy=equal&amp;width=1280","width":23,"height":29}</v>
      </c>
      <c r="F15" s="15" t="str">
        <v> ESP/SCS故障提示灯</v>
      </c>
      <c r="G15" s="15" t="str">
        <v>states</v>
      </c>
      <c r="H15" s="15" t="str">
        <v>状态</v>
      </c>
      <c r="I15" s="15" t="str">
        <v>enum</v>
      </c>
      <c r="J15" s="15" t="str">
        <v>关闭，黄灯常亮</v>
      </c>
    </row>
    <row r="16" spans="1:10">
      <c r="A16" s="15" t="str">
        <v>车灯</v>
      </c>
      <c r="B16" s="15" t="str">
        <v>状态灯</v>
      </c>
      <c r="C16" s="15" t="str">
        <v>signal_light_0013</v>
      </c>
      <c r="D16" s="16">
        <v>1</v>
      </c>
      <c r="E16" s="18" t="str">
        <v>{"src":"https://bytedance.larkoffice.com/space/api/box/stream/download/v2/cover/EKN2b50aGoxcRfxStfmcniRonFA/?height=1280&amp;mount_node_token=Pbw4sSfIRhhc2EthDUicfRr1nWb&amp;mount_point=sheet_image&amp;policy=equal&amp;width=1280","width":23,"height":37}</v>
      </c>
      <c r="F16" s="15" t="str">
        <v> ESP/SCS工作状态指示灯</v>
      </c>
      <c r="G16" s="15" t="str">
        <v>states</v>
      </c>
      <c r="H16" s="15" t="str">
        <v>状态</v>
      </c>
      <c r="I16" s="15" t="str">
        <v>enum</v>
      </c>
      <c r="J16" s="15" t="str">
        <v>关闭，黄色闪烁</v>
      </c>
    </row>
    <row r="17" spans="1:10">
      <c r="A17" s="15" t="str">
        <v>车灯</v>
      </c>
      <c r="B17" s="15" t="str">
        <v>故障灯</v>
      </c>
      <c r="C17" s="15" t="str">
        <v>signal_light_0014</v>
      </c>
      <c r="D17" s="16">
        <v>1</v>
      </c>
      <c r="E17" s="15" t="str">
        <v>{"src":"https://bytedance.larkoffice.com/space/api/box/stream/download/v2/cover/Pkitbi3AhoDQbuxwN19cRCwRnkf/?height=1280&amp;mount_node_token=Pbw4sSfIRhhc2EthDUicfRr1nWb&amp;mount_point=sheet_image&amp;policy=equal&amp;width=1280","width":23,"height":29}</v>
      </c>
      <c r="F17" s="15" t="str">
        <v>TCS灯故障提示灯</v>
      </c>
      <c r="G17" s="15" t="str">
        <v>states</v>
      </c>
      <c r="H17" s="15" t="str">
        <v>状态</v>
      </c>
      <c r="I17" s="15" t="str">
        <v>enum</v>
      </c>
      <c r="J17" s="15" t="str">
        <v>关闭，黄灯常亮</v>
      </c>
    </row>
    <row r="18" spans="1:10">
      <c r="A18" s="15" t="str">
        <v>车灯</v>
      </c>
      <c r="B18" s="15" t="str">
        <v>状态灯</v>
      </c>
      <c r="C18" s="15" t="str">
        <v>signal_light_0054</v>
      </c>
      <c r="D18" s="16">
        <v>2</v>
      </c>
      <c r="E18" s="15" t="str">
        <v>{"src":"https://bytedance.larkoffice.com/space/api/box/stream/download/v2/cover/Pkitbi3AhoDQbuxwN19cRCwRnkf/?height=1280&amp;mount_node_token=Pbw4sSfIRhhc2EthDUicfRr1nWb&amp;mount_point=sheet_image&amp;policy=equal&amp;width=1280","width":23,"height":29}</v>
      </c>
      <c r="F18" s="15" t="str">
        <v>TCS工作状态指示灯</v>
      </c>
      <c r="G18" s="15" t="str">
        <v>states</v>
      </c>
      <c r="H18" s="15" t="str">
        <v>状态</v>
      </c>
      <c r="I18" s="15" t="str">
        <v>enum</v>
      </c>
      <c r="J18" s="15" t="str">
        <v>关闭，黄灯常亮，黄色闪烁</v>
      </c>
    </row>
    <row r="19" spans="1:10">
      <c r="A19" s="15" t="str">
        <v>车灯</v>
      </c>
      <c r="B19" s="15" t="str">
        <v>状态灯</v>
      </c>
      <c r="C19" s="15" t="str">
        <v>signal_light_0015</v>
      </c>
      <c r="D19" s="16">
        <v>1</v>
      </c>
      <c r="E19" s="15" t="str">
        <v>{"src":"https://bytedance.larkoffice.com/space/api/box/stream/download/v2/cover/LXXwbAJvgofvwxx9HQNcpJg0nIe/?height=1280&amp;mount_node_token=Pbw4sSfIRhhc2EthDUicfRr1nWb&amp;mount_point=sheet_image&amp;policy=equal&amp;width=1280","width":27,"height":19}</v>
      </c>
      <c r="F19" s="15" t="str">
        <v>Autohold激活灯</v>
      </c>
      <c r="G19" s="15" t="str">
        <v>states</v>
      </c>
      <c r="H19" s="15" t="str">
        <v>状态</v>
      </c>
      <c r="I19" s="15" t="str">
        <v>enum</v>
      </c>
      <c r="J19" s="15" t="str">
        <v>关闭，显示绿色</v>
      </c>
    </row>
    <row r="20" spans="1:10">
      <c r="A20" s="15" t="str">
        <v>车灯</v>
      </c>
      <c r="B20" s="15" t="str">
        <v>状态灯</v>
      </c>
      <c r="C20" s="15" t="str">
        <v>signal_light_0016</v>
      </c>
      <c r="D20" s="16">
        <v>1</v>
      </c>
      <c r="E20" s="15" t="str">
        <v>{"src":"https://bytedance.larkoffice.com/space/api/box/stream/download/v2/cover/BHNvb17KrorPrYxqGWOcI1E0n1c/?height=1280&amp;mount_node_token=Pbw4sSfIRhhc2EthDUicfRr1nWb&amp;mount_point=sheet_image&amp;policy=equal&amp;width=1280","width":27,"height":19}</v>
      </c>
      <c r="F20" s="15" t="str">
        <v>Autohold待命灯</v>
      </c>
      <c r="G20" s="15" t="str">
        <v>states</v>
      </c>
      <c r="H20" s="15" t="str">
        <v>状态</v>
      </c>
      <c r="I20" s="15" t="str">
        <v>enum</v>
      </c>
      <c r="J20" s="15" t="str">
        <v>关闭，显示白色</v>
      </c>
    </row>
    <row r="21" spans="1:10">
      <c r="A21" s="15" t="str">
        <v>车灯</v>
      </c>
      <c r="B21" s="15" t="str">
        <v>故障灯</v>
      </c>
      <c r="C21" s="15" t="str">
        <v>signal_light_0017</v>
      </c>
      <c r="D21" s="16">
        <v>1</v>
      </c>
      <c r="E21" s="15" t="str">
        <v>{"src":"https://bytedance.larkoffice.com/space/api/box/stream/download/v2/cover/TYLcbYew9oqXlbxk5atc0gYSnRd/?height=1280&amp;mount_node_token=Pbw4sSfIRhhc2EthDUicfRr1nWb&amp;mount_point=sheet_image&amp;policy=equal&amp;width=1280","width":31,"height":24}</v>
      </c>
      <c r="F21" s="15" t="str">
        <v>Autohold故障灯</v>
      </c>
      <c r="G21" s="15" t="str">
        <v>states</v>
      </c>
      <c r="H21" s="15" t="str">
        <v>状态</v>
      </c>
      <c r="I21" s="15" t="str">
        <v>enum</v>
      </c>
      <c r="J21" s="15" t="str">
        <v>关闭，显示黄色</v>
      </c>
    </row>
    <row r="22" spans="1:10">
      <c r="A22" s="15" t="str">
        <v>车灯</v>
      </c>
      <c r="B22" s="15" t="str">
        <v>状态灯</v>
      </c>
      <c r="C22" s="15" t="str">
        <v>signal_light_0018</v>
      </c>
      <c r="D22" s="16">
        <v>1</v>
      </c>
      <c r="E22" s="15" t="str">
        <v>{"src":"https://bytedance.larkoffice.com/space/api/box/stream/download/v2/cover/CjdBbmYiEoxqZMxbljgcCFonn8g/?height=1280&amp;mount_node_token=Pbw4sSfIRhhc2EthDUicfRr1nWb&amp;mount_point=sheet_image&amp;policy=equal&amp;width=1280","width":32,"height":35}</v>
      </c>
      <c r="F22" s="15" t="str">
        <v>四驱激活灯</v>
      </c>
      <c r="G22" s="15" t="str">
        <v>states</v>
      </c>
      <c r="H22" s="15" t="str">
        <v>状态</v>
      </c>
      <c r="I22" s="15" t="str">
        <v>enum</v>
      </c>
      <c r="J22" s="15" t="str">
        <v>关闭，显示绿色</v>
      </c>
    </row>
    <row r="23" spans="1:10">
      <c r="A23" s="15" t="str">
        <v>车灯</v>
      </c>
      <c r="B23" s="15" t="str">
        <v>故障灯</v>
      </c>
      <c r="C23" s="15" t="str">
        <v>signal_light_0019</v>
      </c>
      <c r="D23" s="16">
        <v>1</v>
      </c>
      <c r="E23" s="15" t="str">
        <v>{"src":"https://bytedance.larkoffice.com/space/api/box/stream/download/v2/cover/MizGbQUN1oNb3xxvJtecW4jlnPh/?height=1280&amp;mount_node_token=Pbw4sSfIRhhc2EthDUicfRr1nWb&amp;mount_point=sheet_image&amp;policy=equal&amp;width=1280","width":34,"height":33}</v>
      </c>
      <c r="F23" s="15" t="str">
        <v>胎压异常提示灯</v>
      </c>
      <c r="G23" s="15" t="str">
        <v>states</v>
      </c>
      <c r="H23" s="15" t="str">
        <v>状态</v>
      </c>
      <c r="I23" s="15" t="str">
        <v>enum</v>
      </c>
      <c r="J23" s="15" t="str">
        <v>关闭，显示黄色</v>
      </c>
    </row>
    <row r="24" spans="1:10">
      <c r="A24" s="17" t="str">
        <v>车灯</v>
      </c>
      <c r="B24" s="17" t="str">
        <v>故障灯</v>
      </c>
      <c r="C24" s="17" t="str">
        <v>signal_light_0020</v>
      </c>
      <c r="D24" s="19">
        <v>1</v>
      </c>
      <c r="E24" s="17" t="str">
        <v>{"src":"https://bytedance.larkoffice.com/space/api/box/stream/download/v2/cover/Ie47bohG3oVWw6x8voQcLpStntd/?height=1280&amp;mount_node_token=Pbw4sSfIRhhc2EthDUicfRr1nWb&amp;mount_point=sheet_image&amp;policy=equal&amp;width=1280","width":34,"height":33}</v>
      </c>
      <c r="F24" s="17" t="str">
        <v>胎压系统故障灯</v>
      </c>
      <c r="G24" s="17" t="str">
        <v>states</v>
      </c>
      <c r="H24" s="17" t="str">
        <v>状态</v>
      </c>
      <c r="I24" s="17" t="str">
        <v>enum</v>
      </c>
      <c r="J24" s="17" t="str">
        <v>关闭，显示黄色</v>
      </c>
    </row>
    <row r="25" spans="7:10">
      <c r="G25" s="15" t="str">
        <v>flash</v>
      </c>
      <c r="H25" s="15" t="str">
        <v>闪烁频率</v>
      </c>
      <c r="I25" s="15" t="str">
        <v>enum</v>
      </c>
      <c r="J25" s="15" t="str">
        <v>0.5Hz，常亮</v>
      </c>
    </row>
    <row r="26" spans="1:10">
      <c r="A26" s="20" t="str">
        <v>车灯</v>
      </c>
      <c r="B26" s="20" t="str">
        <v>故障灯</v>
      </c>
      <c r="C26" s="20" t="str">
        <v>signal_light_0021</v>
      </c>
      <c r="D26" s="21">
        <v>1</v>
      </c>
      <c r="E26" s="20" t="str">
        <v>{"src":"https://bytedance.larkoffice.com/space/api/box/stream/download/v2/cover/L2kbbEBy0oiE7Dx7DwWcdHRPnFb/?height=1280&amp;mount_node_token=Pbw4sSfIRhhc2EthDUicfRr1nWb&amp;mount_point=sheet_image&amp;policy=equal&amp;width=1280","width":36,"height":29}</v>
      </c>
      <c r="F26" s="20" t="str">
        <v>充电系统故障灯</v>
      </c>
      <c r="G26" s="20" t="str">
        <v>states</v>
      </c>
      <c r="H26" s="20" t="str">
        <v>状态</v>
      </c>
      <c r="I26" s="20" t="str">
        <v>enum</v>
      </c>
      <c r="J26" s="20" t="str">
        <v>关闭，显示红色</v>
      </c>
    </row>
    <row r="27" spans="1:10">
      <c r="A27" s="15" t="str">
        <v>车灯</v>
      </c>
      <c r="B27" s="15" t="str">
        <v>状态灯</v>
      </c>
      <c r="C27" s="15" t="str">
        <v>signal_light_0022</v>
      </c>
      <c r="D27" s="16">
        <v>1</v>
      </c>
      <c r="E27" s="15" t="str">
        <v>{"src":"https://bytedance.larkoffice.com/space/api/box/stream/download/v2/cover/XnQLby0pco1gUhxRJMkccFc3nXb/?height=1280&amp;mount_node_token=Pbw4sSfIRhhc2EthDUicfRr1nWb&amp;mount_point=sheet_image&amp;policy=equal&amp;width=1280","width":36,"height":29}</v>
      </c>
      <c r="F27" s="15" t="str">
        <v>辅助系统供电故障指示灯</v>
      </c>
      <c r="G27" s="15" t="str">
        <v>states</v>
      </c>
      <c r="H27" s="15" t="str">
        <v>状态</v>
      </c>
      <c r="I27" s="15" t="str">
        <v>enum</v>
      </c>
      <c r="J27" s="15" t="str">
        <v>关闭，显示红色</v>
      </c>
    </row>
    <row r="28" spans="1:10">
      <c r="A28" s="15" t="str">
        <v>车灯</v>
      </c>
      <c r="B28" s="15" t="str">
        <v>故障灯</v>
      </c>
      <c r="C28" s="15" t="str">
        <v>signal_light_0023</v>
      </c>
      <c r="D28" s="16">
        <v>1</v>
      </c>
      <c r="E28" s="15" t="str">
        <v>{"src":"https://bytedance.larkoffice.com/space/api/box/stream/download/v2/cover/BBxDbFmmAo648XxLgLBcmXhQngb/?height=1280&amp;mount_node_token=Pbw4sSfIRhhc2EthDUicfRr1nWb&amp;mount_point=sheet_image&amp;policy=equal&amp;width=1280","width":32,"height":29}</v>
      </c>
      <c r="F28" s="15" t="str">
        <v>安全气囊故障灯</v>
      </c>
      <c r="G28" s="15" t="str">
        <v>states</v>
      </c>
      <c r="H28" s="15" t="str">
        <v>状态</v>
      </c>
      <c r="I28" s="15" t="str">
        <v>enum</v>
      </c>
      <c r="J28" s="15" t="str">
        <v>关闭，显示红色</v>
      </c>
    </row>
    <row r="29" spans="1:10">
      <c r="A29" s="15" t="str">
        <v>车灯</v>
      </c>
      <c r="B29" s="15" t="str">
        <v>故障灯</v>
      </c>
      <c r="C29" s="15" t="str">
        <v>signal_light_0024</v>
      </c>
      <c r="D29" s="16">
        <v>1</v>
      </c>
      <c r="E29" s="15" t="str">
        <v>{"src":"https://bytedance.larkoffice.com/space/api/box/stream/download/v2/cover/OwUtbHg5voOcN6xqIR6cFrfcnDc/?height=1280&amp;mount_node_token=Pbw4sSfIRhhc2EthDUicfRr1nWb&amp;mount_point=sheet_image&amp;policy=equal&amp;width=1280","width":32,"height":29}</v>
      </c>
      <c r="F29" s="15" t="str">
        <v>安全气囊未标定灯</v>
      </c>
      <c r="G29" s="15" t="str">
        <v>states</v>
      </c>
      <c r="H29" s="15" t="str">
        <v>状态</v>
      </c>
      <c r="I29" s="15" t="str">
        <v>enum</v>
      </c>
      <c r="J29" s="15" t="str">
        <v>关闭，显示红色</v>
      </c>
    </row>
    <row r="30" spans="7:10">
      <c r="G30" s="15" t="str">
        <v>flash</v>
      </c>
      <c r="H30" s="15" t="str">
        <v>闪烁频率</v>
      </c>
      <c r="I30" s="15" t="str">
        <v>enum</v>
      </c>
      <c r="J30" s="15" t="str">
        <v>0.5Hz，常亮</v>
      </c>
    </row>
    <row r="31" spans="1:10">
      <c r="A31" s="15" t="str">
        <v>车灯</v>
      </c>
      <c r="B31" s="15" t="str">
        <v>状态灯</v>
      </c>
      <c r="C31" s="15" t="str">
        <v>signal_light_0025</v>
      </c>
      <c r="D31" s="16">
        <v>1</v>
      </c>
      <c r="E31" s="15" t="str">
        <v>{"src":"https://bytedance.larkoffice.com/space/api/box/stream/download/v2/cover/Pm4BbD880omf9Nx06iscVYhBnBg/?height=1280&amp;mount_node_token=Pbw4sSfIRhhc2EthDUicfRr1nWb&amp;mount_point=sheet_image&amp;policy=equal&amp;width=1280","width":28,"height":28}</v>
      </c>
      <c r="F31" s="15" t="str">
        <v>第一排安全带未系提醒灯</v>
      </c>
      <c r="G31" s="15" t="str">
        <v>states</v>
      </c>
      <c r="H31" s="15" t="str">
        <v>状态</v>
      </c>
      <c r="I31" s="15" t="str">
        <v>enum</v>
      </c>
      <c r="J31" s="15" t="str">
        <v>关闭，显示红色</v>
      </c>
    </row>
    <row r="32" spans="1:10">
      <c r="A32" s="15" t="str">
        <v>车灯</v>
      </c>
      <c r="B32" s="15" t="str">
        <v>状态灯</v>
      </c>
      <c r="C32" s="15" t="str">
        <v>signal_light_0026</v>
      </c>
      <c r="D32" s="16">
        <v>1</v>
      </c>
      <c r="E32" s="15" t="str">
        <v>{"src":"https://bytedance.larkoffice.com/space/api/box/stream/download/v2/cover/K3GhbjsGeoeXk1xldhEcO5IpnKg/?height=1280&amp;mount_node_token=Pbw4sSfIRhhc2EthDUicfRr1nWb&amp;mount_point=sheet_image&amp;policy=equal&amp;width=1280","width":85,"height":29}</v>
      </c>
      <c r="F32" s="15" t="str">
        <v>第二排安全带未系提示灯</v>
      </c>
      <c r="G32" s="15" t="str">
        <v>states</v>
      </c>
      <c r="H32" s="15" t="str">
        <v>状态</v>
      </c>
      <c r="I32" s="15" t="str">
        <v>enum</v>
      </c>
      <c r="J32" s="15" t="str">
        <v>关闭，显示红色</v>
      </c>
    </row>
    <row r="33" spans="1:10">
      <c r="A33" s="15" t="str">
        <v>车灯</v>
      </c>
      <c r="B33" s="15" t="str">
        <v>状态灯</v>
      </c>
      <c r="C33" s="15" t="str">
        <v>signal_light_0027</v>
      </c>
      <c r="D33" s="16">
        <v>1</v>
      </c>
      <c r="E33" s="15" t="str">
        <v>{"src":"https://bytedance.larkoffice.com/space/api/box/stream/download/v2/cover/W4UrbD2LqomAc3xo1TMcP5grnIh/?height=1280&amp;mount_node_token=Pbw4sSfIRhhc2EthDUicfRr1nWb&amp;mount_point=sheet_image&amp;policy=equal&amp;width=1280","width":37,"height":35}</v>
      </c>
      <c r="F33" s="15" t="str">
        <v>安全约束系统--行人保护提醒报警灯</v>
      </c>
      <c r="G33" s="15" t="str">
        <v>states</v>
      </c>
      <c r="H33" s="15" t="str">
        <v>状态</v>
      </c>
      <c r="I33" s="15" t="str">
        <v>enum</v>
      </c>
      <c r="J33" s="15" t="str">
        <v>关闭，显示红色</v>
      </c>
    </row>
    <row r="34" spans="1:10">
      <c r="A34" s="15" t="str">
        <v>车灯</v>
      </c>
      <c r="B34" s="15" t="str">
        <v>故障灯</v>
      </c>
      <c r="C34" s="15" t="str">
        <v>signal_light_0028</v>
      </c>
      <c r="D34" s="16">
        <v>1</v>
      </c>
      <c r="E34" s="15" t="str">
        <v>{"src":"https://bytedance.larkoffice.com/space/api/box/stream/download/v2/cover/JdGSbPmYNoVGJ0xnYegcSAamnRg/?height=1280&amp;mount_node_token=Pbw4sSfIRhhc2EthDUicfRr1nWb&amp;mount_point=sheet_image&amp;policy=equal&amp;width=1280","width":32,"height":26}</v>
      </c>
      <c r="F34" s="15" t="str">
        <v>转向故障提示灯</v>
      </c>
      <c r="G34" s="15" t="str">
        <v>states</v>
      </c>
      <c r="H34" s="15" t="str">
        <v>状态</v>
      </c>
      <c r="I34" s="15" t="str">
        <v>enum</v>
      </c>
      <c r="J34" s="15" t="str">
        <v>关闭，显示红色</v>
      </c>
    </row>
    <row r="35" spans="7:10">
      <c r="G35" s="15" t="str">
        <v>flash</v>
      </c>
      <c r="H35" s="15" t="str">
        <v>闪烁频率</v>
      </c>
      <c r="I35" s="15" t="str">
        <v>enum</v>
      </c>
      <c r="J35" s="15" t="str">
        <v>0.5Hz，常亮</v>
      </c>
    </row>
    <row r="36" spans="1:10">
      <c r="A36" s="15" t="str">
        <v>车灯</v>
      </c>
      <c r="B36" s="15" t="str">
        <v>故障灯</v>
      </c>
      <c r="C36" s="15" t="str">
        <v>signal_light_0029</v>
      </c>
      <c r="D36" s="16">
        <v>1</v>
      </c>
      <c r="E36" s="15" t="str">
        <v>{"src":"https://bytedance.larkoffice.com/space/api/box/stream/download/v2/cover/BjSCbnfF2o4qzUxZ3wXc6k0Xnlb/?height=1280&amp;mount_node_token=Pbw4sSfIRhhc2EthDUicfRr1nWb&amp;mount_point=sheet_image&amp;policy=equal&amp;width=1280","width":32,"height":26}</v>
      </c>
      <c r="F36" s="15" t="str">
        <v>方向盘角度故障提示灯</v>
      </c>
      <c r="G36" s="15" t="str">
        <v>states</v>
      </c>
      <c r="H36" s="15" t="str">
        <v>状态</v>
      </c>
      <c r="I36" s="15" t="str">
        <v>enum</v>
      </c>
      <c r="J36" s="15" t="str">
        <v>关闭，显示红色</v>
      </c>
    </row>
    <row r="37" spans="1:10">
      <c r="A37" s="15" t="str">
        <v>车灯</v>
      </c>
      <c r="B37" s="15" t="str">
        <v>故障灯</v>
      </c>
      <c r="C37" s="15" t="str">
        <v>signal_light_0030</v>
      </c>
      <c r="D37" s="16">
        <v>1</v>
      </c>
      <c r="E37" s="15" t="str">
        <v>{"src":"https://bytedance.larkoffice.com/space/api/box/stream/download/v2/cover/OgFlbdUBhow4slxnPXWcVaQ1n3e/?height=1280&amp;mount_node_token=Pbw4sSfIRhhc2EthDUicfRr1nWb&amp;mount_point=sheet_image&amp;policy=equal&amp;width=1280","width":32,"height":26}</v>
      </c>
      <c r="F37" s="15" t="str">
        <v>ESCL故障提示灯</v>
      </c>
      <c r="G37" s="15" t="str">
        <v>states</v>
      </c>
      <c r="H37" s="15" t="str">
        <v>状态</v>
      </c>
      <c r="I37" s="15" t="str">
        <v>enum</v>
      </c>
      <c r="J37" s="15" t="str">
        <v>关闭，显示红色</v>
      </c>
    </row>
    <row r="38" spans="1:10">
      <c r="A38" s="15" t="str">
        <v>车灯</v>
      </c>
      <c r="B38" s="15" t="str">
        <v>状态灯</v>
      </c>
      <c r="C38" s="15" t="str">
        <v>signal_light_0031</v>
      </c>
      <c r="D38" s="16">
        <v>1</v>
      </c>
      <c r="E38" s="15" t="str">
        <v>{"src":"https://bytedance.larkoffice.com/space/api/box/stream/download/v2/cover/HOi7bJBK4ojTVzxR81RcDTYwndd/?height=1280&amp;mount_node_token=Pbw4sSfIRhhc2EthDUicfRr1nWb&amp;mount_point=sheet_image&amp;policy=equal&amp;width=1280","width":32,"height":26}</v>
      </c>
      <c r="F38" s="15" t="str">
        <v>转向降低提示灯</v>
      </c>
      <c r="G38" s="15" t="str">
        <v>states</v>
      </c>
      <c r="H38" s="15" t="str">
        <v>状态</v>
      </c>
      <c r="I38" s="15" t="str">
        <v>enum</v>
      </c>
      <c r="J38" s="15" t="str">
        <v>关闭，显示黄色</v>
      </c>
    </row>
    <row r="39" spans="1:10">
      <c r="A39" s="15" t="str">
        <v>车灯</v>
      </c>
      <c r="B39" s="15" t="str">
        <v>状态灯</v>
      </c>
      <c r="C39" s="15" t="str">
        <v>signal_light_0032</v>
      </c>
      <c r="D39" s="16">
        <v>1</v>
      </c>
      <c r="E39" s="15" t="str">
        <v>{"src":"https://bytedance.larkoffice.com/space/api/box/stream/download/v2/cover/Cj5EbkOAeoYMalxjzIbct7HFnyh/?height=1280&amp;mount_node_token=Pbw4sSfIRhhc2EthDUicfRr1nWb&amp;mount_point=sheet_image&amp;policy=equal&amp;width=1280","width":25,"height":31}</v>
      </c>
      <c r="F39" s="15" t="str">
        <v>EPB指示提示灯</v>
      </c>
      <c r="G39" s="15" t="str">
        <v>states</v>
      </c>
      <c r="H39" s="15" t="str">
        <v>状态</v>
      </c>
      <c r="I39" s="15" t="str">
        <v>enum</v>
      </c>
      <c r="J39" s="15" t="str">
        <v>关闭，显示红色</v>
      </c>
    </row>
    <row r="40" spans="1:10">
      <c r="A40" s="15" t="str">
        <v>车灯</v>
      </c>
      <c r="B40" s="15" t="str">
        <v>状态灯</v>
      </c>
      <c r="C40" s="15" t="str">
        <v>signal_light_0033</v>
      </c>
      <c r="D40" s="16">
        <v>1</v>
      </c>
      <c r="E40" s="15" t="str">
        <v>{"src":"https://bytedance.larkoffice.com/space/api/box/stream/download/v2/cover/Lh40bxgpAoIIqfxxGEmcdS2hnmc/?height=1280&amp;mount_node_token=Pbw4sSfIRhhc2EthDUicfRr1nWb&amp;mount_point=sheet_image&amp;policy=equal&amp;width=1280","width":25,"height":31}</v>
      </c>
      <c r="F40" s="15" t="str">
        <v>EPB未释放提示灯</v>
      </c>
      <c r="G40" s="15" t="str">
        <v>states</v>
      </c>
      <c r="H40" s="15" t="str">
        <v>状态</v>
      </c>
      <c r="I40" s="15" t="str">
        <v>enum</v>
      </c>
      <c r="J40" s="15" t="str">
        <v>关闭，显示红色</v>
      </c>
    </row>
    <row r="41" spans="7:10">
      <c r="G41" s="15" t="str">
        <v>flash</v>
      </c>
      <c r="H41" s="15" t="str">
        <v>闪烁频率</v>
      </c>
      <c r="I41" s="15" t="str">
        <v>enum</v>
      </c>
      <c r="J41" s="15" t="str">
        <v>2Hz，常亮</v>
      </c>
    </row>
    <row r="42" spans="1:10">
      <c r="A42" s="15" t="str">
        <v>车灯</v>
      </c>
      <c r="B42" s="15" t="str">
        <v>故障灯</v>
      </c>
      <c r="C42" s="15" t="str">
        <v>signal_light_0034</v>
      </c>
      <c r="D42" s="16">
        <v>1</v>
      </c>
      <c r="E42" s="15" t="str">
        <v>{"src":"https://bytedance.larkoffice.com/space/api/box/stream/download/v2/cover/Z4p0bA2Veo8glCxHVZoc8j2Hnkg/?height=1280&amp;mount_node_token=Pbw4sSfIRhhc2EthDUicfRr1nWb&amp;mount_point=sheet_image&amp;policy=equal&amp;width=1280","width":31,"height":33}</v>
      </c>
      <c r="F42" s="15" t="str">
        <v>EPB故障提示灯</v>
      </c>
      <c r="G42" s="15" t="str">
        <v>states</v>
      </c>
      <c r="H42" s="15" t="str">
        <v>状态</v>
      </c>
      <c r="I42" s="15" t="str">
        <v>enum</v>
      </c>
      <c r="J42" s="15" t="str">
        <v>关闭，显示黄色</v>
      </c>
    </row>
    <row r="43" spans="7:10">
      <c r="G43" s="15" t="str">
        <v>flash</v>
      </c>
      <c r="H43" s="15" t="str">
        <v>闪烁频率</v>
      </c>
      <c r="I43" s="15" t="str">
        <v>enum</v>
      </c>
      <c r="J43" s="15" t="str">
        <v>2Hz，常亮</v>
      </c>
    </row>
    <row r="44" spans="1:10">
      <c r="A44" s="15" t="str">
        <v>车灯</v>
      </c>
      <c r="B44" s="15" t="str">
        <v>状态灯</v>
      </c>
      <c r="C44" s="15" t="str">
        <v>signal_light_0035</v>
      </c>
      <c r="D44" s="16">
        <v>1</v>
      </c>
      <c r="E44" s="15" t="str">
        <v>{"src":"https://bytedance.larkoffice.com/space/api/box/stream/download/v2/cover/YTAKb02vdo9nDYxtbMxc2P8Jn1f/?height=1280&amp;mount_node_token=Pbw4sSfIRhhc2EthDUicfRr1nWb&amp;mount_point=sheet_image&amp;policy=equal&amp;width=1280","width":37,"height":36}</v>
      </c>
      <c r="F44" s="15" t="str">
        <v>钥匙不在车内/防盗指示灯</v>
      </c>
      <c r="G44" s="15" t="str">
        <v>states</v>
      </c>
      <c r="H44" s="15" t="str">
        <v>状态</v>
      </c>
      <c r="I44" s="15" t="str">
        <v>enum</v>
      </c>
      <c r="J44" s="15" t="str">
        <v>关闭，显示红色</v>
      </c>
    </row>
    <row r="45" spans="1:10">
      <c r="A45" s="15" t="str">
        <v>车灯</v>
      </c>
      <c r="B45" s="15" t="str">
        <v>故障灯</v>
      </c>
      <c r="C45" s="15" t="str">
        <v>signal_light_0036</v>
      </c>
      <c r="D45" s="16">
        <v>2</v>
      </c>
      <c r="F45" s="15" t="str">
        <v>动力电池故障指示灯</v>
      </c>
      <c r="G45" s="15" t="str">
        <v>states</v>
      </c>
      <c r="H45" s="15" t="str">
        <v>状态</v>
      </c>
      <c r="I45" s="15" t="str">
        <v>enum</v>
      </c>
      <c r="J45" s="15" t="str">
        <v>关闭，显示红色，显示黄色</v>
      </c>
    </row>
    <row r="46" spans="1:10">
      <c r="A46" s="15" t="str">
        <v>车灯</v>
      </c>
      <c r="B46" s="15" t="str">
        <v>状态灯</v>
      </c>
      <c r="C46" s="15" t="str">
        <v>signal_light_0037</v>
      </c>
      <c r="D46" s="16">
        <v>1</v>
      </c>
      <c r="E46" s="15" t="str">
        <v>{"src":"https://bytedance.larkoffice.com/space/api/box/stream/download/v2/cover/NkLkb9UYyoUy7bxtBUlcStTMnXe/?height=1280&amp;mount_node_token=Pbw4sSfIRhhc2EthDUicfRr1nWb&amp;mount_point=sheet_image&amp;policy=equal&amp;width=1280","width":46,"height":34}</v>
      </c>
      <c r="F46" s="15" t="str">
        <v>动力电池电量灯</v>
      </c>
      <c r="G46" s="15" t="str">
        <v>states</v>
      </c>
      <c r="H46" s="15" t="str">
        <v>状态</v>
      </c>
      <c r="I46" s="15" t="str">
        <v>enum</v>
      </c>
      <c r="J46" s="15" t="str">
        <v>关闭，显示绿色</v>
      </c>
    </row>
    <row r="47" spans="1:10">
      <c r="A47" s="15" t="str">
        <v>车灯</v>
      </c>
      <c r="B47" s="15" t="str">
        <v>状态灯</v>
      </c>
      <c r="C47" s="15" t="str">
        <v>signal_light_0038</v>
      </c>
      <c r="D47" s="16">
        <v>1</v>
      </c>
      <c r="E47" s="15" t="str">
        <v>{"src":"https://bytedance.larkoffice.com/space/api/box/stream/download/v2/cover/QCd2buThyoQcClxFX9ecGKhhnLh/?height=1280&amp;mount_node_token=Pbw4sSfIRhhc2EthDUicfRr1nWb&amp;mount_point=sheet_image&amp;policy=equal&amp;width=1280","width":32,"height":21}</v>
      </c>
      <c r="F47" s="15" t="str">
        <v>动力电池电量低提示灯</v>
      </c>
      <c r="G47" s="15" t="str">
        <v>states</v>
      </c>
      <c r="H47" s="15" t="str">
        <v>状态</v>
      </c>
      <c r="I47" s="15" t="str">
        <v>enum</v>
      </c>
      <c r="J47" s="15" t="str">
        <v>关闭，显示黄色</v>
      </c>
    </row>
    <row r="48" spans="7:10">
      <c r="G48" s="15" t="str">
        <v>flash</v>
      </c>
      <c r="H48" s="15" t="str">
        <v>闪烁频率</v>
      </c>
      <c r="I48" s="15" t="str">
        <v>enum</v>
      </c>
      <c r="J48" s="15" t="str">
        <v>0.5Hz，常亮</v>
      </c>
    </row>
    <row r="49" spans="1:10">
      <c r="A49" s="15" t="str">
        <v>车灯</v>
      </c>
      <c r="B49" s="15" t="str">
        <v>状态灯</v>
      </c>
      <c r="C49" s="15" t="str">
        <v>signal_light_0039</v>
      </c>
      <c r="D49" s="16">
        <v>1</v>
      </c>
      <c r="E49" s="15" t="str">
        <v>{"src":"https://bytedance.larkoffice.com/space/api/box/stream/download/v2/cover/JMKeb3yDaoHaq2xrhbqcHssyngb/?height=1280&amp;mount_node_token=Pbw4sSfIRhhc2EthDUicfRr1nWb&amp;mount_point=sheet_image&amp;policy=equal&amp;width=1280","width":31,"height":27}</v>
      </c>
      <c r="F49" s="15" t="str">
        <v>充放电枪连接灯</v>
      </c>
      <c r="G49" s="15" t="str">
        <v>states</v>
      </c>
      <c r="H49" s="15" t="str">
        <v>状态</v>
      </c>
      <c r="I49" s="15" t="str">
        <v>enum</v>
      </c>
      <c r="J49" s="15" t="str">
        <v>关闭，显示红色</v>
      </c>
    </row>
    <row r="50" spans="1:10">
      <c r="A50" s="15" t="str">
        <v>车灯</v>
      </c>
      <c r="B50" s="15" t="str">
        <v>状态灯</v>
      </c>
      <c r="C50" s="15" t="str">
        <v>signal_light_0040</v>
      </c>
      <c r="D50" s="16">
        <v>1</v>
      </c>
      <c r="E50" s="15" t="str">
        <v>{"src":"https://bytedance.larkoffice.com/space/api/box/stream/download/v2/cover/OUyvb27gjoONRbxhfrnc3U1RnBf/?height=1280&amp;mount_node_token=Pbw4sSfIRhhc2EthDUicfRr1nWb&amp;mount_point=sheet_image&amp;policy=equal&amp;width=1280","width":31,"height":30}</v>
      </c>
      <c r="F50" s="15" t="str">
        <v>充电灯</v>
      </c>
      <c r="G50" s="15" t="str">
        <v>states</v>
      </c>
      <c r="H50" s="15" t="str">
        <v>状态</v>
      </c>
      <c r="I50" s="15" t="str">
        <v>enum</v>
      </c>
      <c r="J50" s="15" t="str">
        <v>关闭，显示绿色</v>
      </c>
    </row>
    <row r="51" spans="1:10">
      <c r="A51" s="15" t="str">
        <v>车灯</v>
      </c>
      <c r="B51" s="15" t="str">
        <v>故障灯</v>
      </c>
      <c r="C51" s="15" t="str">
        <v>signal_light_0041</v>
      </c>
      <c r="D51" s="16">
        <v>1</v>
      </c>
      <c r="E51" s="15" t="str">
        <v>{"src":"https://bytedance.larkoffice.com/space/api/box/stream/download/v2/cover/Zy3cbTIiZoheuixWKdicO0axn7c/?height=1280&amp;mount_node_token=Pbw4sSfIRhhc2EthDUicfRr1nWb&amp;mount_point=sheet_image&amp;policy=equal&amp;width=1280","width":29,"height":30}</v>
      </c>
      <c r="F51" s="15" t="str">
        <v>充放电故障灯</v>
      </c>
      <c r="G51" s="15" t="str">
        <v>states</v>
      </c>
      <c r="H51" s="15" t="str">
        <v>状态</v>
      </c>
      <c r="I51" s="15" t="str">
        <v>enum</v>
      </c>
      <c r="J51" s="15" t="str">
        <v>关闭，显示黄色</v>
      </c>
    </row>
    <row r="52" spans="7:10">
      <c r="G52" s="15" t="str">
        <v>flash</v>
      </c>
      <c r="H52" s="15" t="str">
        <v>闪烁频率</v>
      </c>
      <c r="I52" s="15" t="str">
        <v>enum</v>
      </c>
      <c r="J52" s="15" t="str">
        <v>1Hz，常亮</v>
      </c>
    </row>
    <row r="53" spans="1:10">
      <c r="A53" s="15" t="str">
        <v>车灯</v>
      </c>
      <c r="B53" s="15" t="str">
        <v>状态灯</v>
      </c>
      <c r="C53" s="15" t="str">
        <v>signal_light_0042</v>
      </c>
      <c r="D53" s="16">
        <v>1</v>
      </c>
      <c r="E53" s="15" t="str">
        <v>{"src":"https://bytedance.larkoffice.com/space/api/box/stream/download/v2/cover/Cgk4bFGYbo0hw6xXbkncipG9nAf/?height=1280&amp;mount_node_token=Pbw4sSfIRhhc2EthDUicfRr1nWb&amp;mount_point=sheet_image&amp;policy=equal&amp;width=1280","width":29,"height":30}</v>
      </c>
      <c r="F53" s="15" t="str">
        <v>放电灯</v>
      </c>
      <c r="G53" s="15" t="str">
        <v>states</v>
      </c>
      <c r="H53" s="15" t="str">
        <v>状态</v>
      </c>
      <c r="I53" s="15" t="str">
        <v>enum</v>
      </c>
      <c r="J53" s="15" t="str">
        <v>关闭，显示蓝色</v>
      </c>
    </row>
    <row r="54" spans="1:10">
      <c r="A54" s="15" t="str">
        <v>车灯</v>
      </c>
      <c r="B54" s="15" t="str">
        <v>状态灯</v>
      </c>
      <c r="C54" s="15" t="str">
        <v>signal_light_0043</v>
      </c>
      <c r="D54" s="16">
        <v>1</v>
      </c>
      <c r="E54" s="22" t="str">
        <v>EP</v>
      </c>
      <c r="F54" s="15" t="str">
        <v>挡位信号无效提示灯</v>
      </c>
      <c r="G54" s="15" t="str">
        <v>colour</v>
      </c>
      <c r="H54" s="15" t="str">
        <v>颜色</v>
      </c>
      <c r="I54" s="15" t="str">
        <v>enum</v>
      </c>
      <c r="J54" s="15" t="str">
        <v>关闭，白色</v>
      </c>
    </row>
    <row r="55" spans="1:10">
      <c r="A55" s="15" t="str">
        <v>车灯</v>
      </c>
      <c r="B55" s="15" t="str">
        <v>状态灯</v>
      </c>
      <c r="C55" s="15" t="str">
        <v>signal_light_0044</v>
      </c>
      <c r="D55" s="16">
        <v>1</v>
      </c>
      <c r="E55" s="15" t="str">
        <v>{"src":"https://bytedance.larkoffice.com/space/api/box/stream/download/v2/cover/WCpVb4mv6oXq0SxWAMcceSpHncQ/?height=1280&amp;mount_node_token=Pbw4sSfIRhhc2EthDUicfRr1nWb&amp;mount_point=sheet_image&amp;policy=equal&amp;width=1280","width":41,"height":23}</v>
      </c>
      <c r="F55" s="15" t="str">
        <v>系统就绪灯</v>
      </c>
      <c r="G55" s="15" t="str">
        <v>states</v>
      </c>
      <c r="H55" s="15" t="str">
        <v>状态</v>
      </c>
      <c r="I55" s="15" t="str">
        <v>enum</v>
      </c>
      <c r="J55" s="15" t="str">
        <v>关闭，显示绿色</v>
      </c>
    </row>
    <row r="56" spans="1:10">
      <c r="A56" s="15" t="str">
        <v>车灯</v>
      </c>
      <c r="B56" s="15" t="str">
        <v>故障灯</v>
      </c>
      <c r="C56" s="15" t="str">
        <v>signal_light_0045</v>
      </c>
      <c r="D56" s="16">
        <v>2</v>
      </c>
      <c r="F56" s="15" t="str">
        <v>系统故障灯</v>
      </c>
      <c r="G56" s="15" t="str">
        <v>states</v>
      </c>
      <c r="H56" s="15" t="str">
        <v>状态</v>
      </c>
      <c r="I56" s="15" t="str">
        <v>enum</v>
      </c>
      <c r="J56" s="15" t="str">
        <v>关闭，显示红色，显示黄色</v>
      </c>
    </row>
    <row r="57" spans="1:10">
      <c r="A57" s="15" t="str">
        <v>车灯</v>
      </c>
      <c r="B57" s="15" t="str">
        <v>故障灯</v>
      </c>
      <c r="C57" s="15" t="str">
        <v>signal_light_0046</v>
      </c>
      <c r="D57" s="16">
        <v>1</v>
      </c>
      <c r="E57" s="15" t="str">
        <v>{"src":"https://bytedance.larkoffice.com/space/api/box/stream/download/v2/cover/V4UnbiOBPogRaDxHU1KcTE6nnQe/?height=1280&amp;mount_node_token=Pbw4sSfIRhhc2EthDUicfRr1nWb&amp;mount_point=sheet_image&amp;policy=equal&amp;width=1280","width":25,"height":24}</v>
      </c>
      <c r="F57" s="15" t="str">
        <v>功率受限灯</v>
      </c>
      <c r="G57" s="15" t="str">
        <v>states</v>
      </c>
      <c r="H57" s="15" t="str">
        <v>状态</v>
      </c>
      <c r="I57" s="15" t="str">
        <v>enum</v>
      </c>
      <c r="J57" s="15" t="str">
        <v>关闭，显示黄色</v>
      </c>
    </row>
    <row r="58" spans="1:10">
      <c r="A58" s="15" t="str">
        <v>车灯</v>
      </c>
      <c r="B58" s="15" t="str">
        <v>故障灯</v>
      </c>
      <c r="C58" s="15" t="str">
        <v>signal_light_0047</v>
      </c>
      <c r="D58" s="16">
        <v>2</v>
      </c>
      <c r="F58" s="15" t="str">
        <v>电机故障灯</v>
      </c>
      <c r="G58" s="15" t="str">
        <v>states</v>
      </c>
      <c r="H58" s="15" t="str">
        <v>状态</v>
      </c>
      <c r="I58" s="15" t="str">
        <v>enum</v>
      </c>
      <c r="J58" s="15" t="str">
        <v>关闭，显示红色，显示黄色</v>
      </c>
    </row>
    <row r="59" spans="7:10">
      <c r="G59" s="15" t="str">
        <v>flash</v>
      </c>
      <c r="H59" s="15" t="str">
        <v>闪烁频率</v>
      </c>
      <c r="I59" s="15" t="str">
        <v>enum</v>
      </c>
      <c r="J59" s="15" t="str">
        <v>0.5Hz，常亮</v>
      </c>
    </row>
    <row r="60" spans="1:10">
      <c r="A60" s="15" t="str">
        <v>车灯</v>
      </c>
      <c r="B60" s="15" t="str">
        <v>故障灯</v>
      </c>
      <c r="C60" s="15" t="str">
        <v>signal_light_0048</v>
      </c>
      <c r="D60" s="16">
        <v>1</v>
      </c>
      <c r="E60" s="15" t="str">
        <v>{"src":"https://bytedance.larkoffice.com/space/api/box/stream/download/v2/cover/My61bxkFsoBUIuxyswWcg2rMnmf/?height=1280&amp;mount_node_token=Pbw4sSfIRhhc2EthDUicfRr1nWb&amp;mount_point=sheet_image&amp;policy=equal&amp;width=1280","width":38,"height":29}</v>
      </c>
      <c r="F60" s="15" t="str">
        <v>空气悬架指示灯</v>
      </c>
      <c r="G60" s="15" t="str">
        <v>states</v>
      </c>
      <c r="H60" s="15" t="str">
        <v>状态</v>
      </c>
      <c r="I60" s="15" t="str">
        <v>enum</v>
      </c>
      <c r="J60" s="15" t="str">
        <v>关闭，显示红色</v>
      </c>
    </row>
    <row r="61" spans="1:10">
      <c r="A61" s="15" t="str">
        <v>车灯</v>
      </c>
      <c r="B61" s="15" t="str">
        <v>状态灯</v>
      </c>
      <c r="C61" s="15" t="str">
        <v>signal_light_0049</v>
      </c>
      <c r="D61" s="16">
        <v>2</v>
      </c>
      <c r="F61" s="15" t="str">
        <v>Ecall状态灯</v>
      </c>
      <c r="G61" s="15" t="str">
        <v>states</v>
      </c>
      <c r="H61" s="15" t="str">
        <v>状态</v>
      </c>
      <c r="I61" s="15" t="str">
        <v>enum</v>
      </c>
      <c r="J61" s="15" t="str">
        <v>关闭，显示红色，显示黄色</v>
      </c>
    </row>
    <row r="62" spans="1:10">
      <c r="A62" s="15" t="str">
        <v>车灯</v>
      </c>
      <c r="B62" s="15" t="str">
        <v>故障灯</v>
      </c>
      <c r="C62" s="15" t="str">
        <v>signal_light_0050</v>
      </c>
      <c r="D62" s="16">
        <v>1</v>
      </c>
      <c r="F62" s="15" t="str">
        <v>后轮转向故障灯</v>
      </c>
      <c r="G62" s="15" t="str">
        <v>states</v>
      </c>
      <c r="H62" s="15" t="str">
        <v>状态</v>
      </c>
      <c r="I62" s="15" t="str">
        <v>enum</v>
      </c>
      <c r="J62" s="15" t="str">
        <v>关闭，显示红色</v>
      </c>
    </row>
    <row r="63" spans="1:10">
      <c r="A63" s="15" t="str">
        <v>车灯</v>
      </c>
      <c r="B63" s="15" t="str">
        <v>状态灯</v>
      </c>
      <c r="C63" s="15" t="str">
        <v>signal_light_0051</v>
      </c>
      <c r="F63" s="15" t="str">
        <v>危险报警灯</v>
      </c>
      <c r="G63" s="15" t="str">
        <v>switch</v>
      </c>
      <c r="H63" s="15" t="str">
        <v>开关</v>
      </c>
      <c r="I63" s="15" t="str">
        <v>enum</v>
      </c>
      <c r="J63" s="15" t="str">
        <v>开启，关闭</v>
      </c>
    </row>
    <row r="64" spans="1:12">
      <c r="A64" s="15" t="str">
        <v>车灯</v>
      </c>
      <c r="B64" s="15" t="str">
        <v>车内灯</v>
      </c>
      <c r="C64" s="15" t="str">
        <v>signal_light_0052</v>
      </c>
      <c r="F64" s="15" t="str">
        <v>氛围灯</v>
      </c>
      <c r="G64" s="15" t="str">
        <v>states</v>
      </c>
      <c r="H64" s="15" t="str">
        <v>状态</v>
      </c>
      <c r="I64" s="15" t="str">
        <v>str</v>
      </c>
      <c r="J64" s="15" t="str">
        <v>关闭，显示红色，显示橙色，显示黄色，显示金色，显示绿色，显示蓝色，显示紫色，显示青色，显示灰色，显示花灰色，显示白色，显示粉红色</v>
      </c>
      <c r="L64" s="16">
        <v>1</v>
      </c>
    </row>
    <row r="65" spans="7:12">
      <c r="G65" s="15" t="str">
        <v>switch</v>
      </c>
      <c r="H65" s="15" t="str">
        <v>模式选项</v>
      </c>
      <c r="I65" s="15" t="str">
        <v>enum</v>
      </c>
      <c r="J65" s="15" t="str">
        <v>音乐随动模式</v>
      </c>
      <c r="L65" s="16">
        <v>1</v>
      </c>
    </row>
    <row r="66" spans="1:12">
      <c r="A66" s="15" t="str">
        <v>车灯</v>
      </c>
      <c r="B66" s="15" t="str">
        <v>车内灯</v>
      </c>
      <c r="C66" s="15" t="str">
        <v>signal_light_0053</v>
      </c>
      <c r="F66" s="15" t="str">
        <v>阅读灯</v>
      </c>
      <c r="G66" s="15" t="str">
        <v>switch</v>
      </c>
      <c r="H66" s="15" t="str">
        <v>开关</v>
      </c>
      <c r="I66" s="15" t="str">
        <v>enum</v>
      </c>
      <c r="J66" s="15" t="str">
        <v>开启，关闭</v>
      </c>
      <c r="L66" s="16">
        <v>1</v>
      </c>
    </row>
    <row r="67" spans="7:12">
      <c r="G67" s="15" t="str">
        <v>position</v>
      </c>
      <c r="H67" s="15" t="str">
        <v>位置</v>
      </c>
      <c r="I67" s="15" t="str">
        <v>enum</v>
      </c>
      <c r="J67" s="15" t="str">
        <v>主驾，副驾，左后，右后，前排，后排，全车</v>
      </c>
      <c r="K67" s="23">
        <v>1</v>
      </c>
      <c r="L67" s="19">
        <v>1</v>
      </c>
    </row>
    <row r="68" spans="1:10">
      <c r="A68" s="15" t="str">
        <v>车灯</v>
      </c>
      <c r="B68" s="18" t="str">
        <v>故障灯</v>
      </c>
      <c r="C68" s="15" t="str">
        <v>signal_light_0055 </v>
      </c>
      <c r="D68" s="24">
        <v>1</v>
      </c>
      <c r="E68" s="15" t="str">
        <v>{"src":"https://bytedance.larkoffice.com/space/api/box/stream/download/v2/cover/AY4ybCGcNoZGa5xaG9kcLw94ngg/?height=1280&amp;mount_node_token=Pbw4sSfIRhhc2EthDUicfRr1nWb&amp;mount_point=sheet_image&amp;policy=equal&amp;width=1280","width":263,"height":210}</v>
      </c>
      <c r="F68" s="15" t="str">
        <v>HDC系统故障提示灯</v>
      </c>
      <c r="G68" s="15" t="str">
        <v>states</v>
      </c>
      <c r="H68" s="15" t="str">
        <v>状态</v>
      </c>
      <c r="I68" s="15" t="str">
        <v>enum</v>
      </c>
      <c r="J68" s="18" t="str">
        <v>关闭，黄灯常亮</v>
      </c>
    </row>
    <row r="69" spans="1:10">
      <c r="A69" s="15" t="str">
        <v>车灯</v>
      </c>
      <c r="B69" s="15" t="str">
        <v>状态灯</v>
      </c>
      <c r="C69" s="20" t="str">
        <v>signal_light_0056 </v>
      </c>
      <c r="D69" s="16">
        <v>1</v>
      </c>
      <c r="E69" s="15" t="str">
        <v>{"src":"https://bytedance.larkoffice.com/space/api/box/stream/download/v2/cover/PgpKbrsDGocUMMx5f8vcOKNnnuS/?height=1280&amp;mount_node_token=Pbw4sSfIRhhc2EthDUicfRr1nWb&amp;mount_point=sheet_image&amp;policy=equal&amp;width=1280","width":263,"height":210}</v>
      </c>
      <c r="F69" s="15" t="str">
        <v>HDC系统状态指示灯</v>
      </c>
      <c r="G69" s="15" t="str">
        <v>states</v>
      </c>
      <c r="H69" s="15" t="str">
        <v>状态</v>
      </c>
      <c r="I69" s="15" t="str">
        <v>enum</v>
      </c>
      <c r="J69" s="18" t="str">
        <v>关闭，绿色常亮，绿色闪烁</v>
      </c>
    </row>
    <row r="70" spans="1:10">
      <c r="A70" s="15" t="str">
        <v>智驾</v>
      </c>
      <c r="B70" s="15" t="str">
        <v>全速自适应巡航</v>
      </c>
      <c r="C70" s="15" t="str">
        <v>adsd_0001</v>
      </c>
      <c r="F70" s="15" t="str">
        <v>全速自适应巡航</v>
      </c>
      <c r="G70" s="15" t="str">
        <v>switch</v>
      </c>
      <c r="H70" s="15" t="str">
        <v>模式选项</v>
      </c>
      <c r="I70" s="15" t="str">
        <v>enum</v>
      </c>
      <c r="J70" s="15" t="str">
        <v>未选择，选择</v>
      </c>
    </row>
    <row r="71" spans="7:9">
      <c r="G71" s="15" t="str">
        <v>abnormal_cause</v>
      </c>
      <c r="H71" s="15" t="str">
        <v>异常原因</v>
      </c>
      <c r="I71" s="15" t="str">
        <v>str</v>
      </c>
    </row>
    <row r="72" spans="1:10">
      <c r="A72" s="15" t="str">
        <v>智驾</v>
      </c>
      <c r="B72" s="15" t="str">
        <v>全速驾驶辅助</v>
      </c>
      <c r="C72" s="15" t="str">
        <v>adsd_0002</v>
      </c>
      <c r="F72" s="15" t="str">
        <v>全速驾驶辅助</v>
      </c>
      <c r="G72" s="15" t="str">
        <v>switch</v>
      </c>
      <c r="H72" s="15" t="str">
        <v>模式选项</v>
      </c>
      <c r="I72" s="15" t="str">
        <v>enum</v>
      </c>
      <c r="J72" s="15" t="str">
        <v>未选择，选择</v>
      </c>
    </row>
    <row r="73" spans="7:9">
      <c r="G73" s="15" t="str">
        <v>abnormal_cause</v>
      </c>
      <c r="H73" s="15" t="str">
        <v>异常原因</v>
      </c>
      <c r="I73" s="15" t="str">
        <v>str</v>
      </c>
    </row>
    <row r="74" spans="1:12">
      <c r="A74" s="15" t="str">
        <v>智驾</v>
      </c>
      <c r="B74" s="15" t="str">
        <v>领航辅助NOA</v>
      </c>
      <c r="C74" s="15" t="str">
        <v>adsd_0003</v>
      </c>
      <c r="F74" s="15" t="str">
        <v>领航辅助NOA开关</v>
      </c>
      <c r="G74" s="15" t="str">
        <v>switch</v>
      </c>
      <c r="H74" s="15" t="str">
        <v>开关</v>
      </c>
      <c r="I74" s="15" t="str">
        <v>enum</v>
      </c>
      <c r="J74" s="15" t="str">
        <v>开启，关闭</v>
      </c>
      <c r="L74" s="16">
        <v>1</v>
      </c>
    </row>
    <row r="75" spans="7:12">
      <c r="G75" s="15" t="str">
        <v>abnormal_cause</v>
      </c>
      <c r="H75" s="15" t="str">
        <v>异常原因</v>
      </c>
      <c r="I75" s="15" t="str">
        <v>str</v>
      </c>
      <c r="L75" s="16">
        <v>1</v>
      </c>
    </row>
    <row r="76" spans="1:10">
      <c r="A76" s="15" t="str">
        <v>智驾</v>
      </c>
      <c r="B76" s="15" t="str">
        <v>领航辅助</v>
      </c>
      <c r="C76" s="15" t="str">
        <v>adsd_0004</v>
      </c>
      <c r="F76" s="15" t="str">
        <v>变道确认开关</v>
      </c>
      <c r="G76" s="15" t="str">
        <v>switch</v>
      </c>
      <c r="H76" s="15" t="str">
        <v>开关</v>
      </c>
      <c r="I76" s="15" t="str">
        <v>enum</v>
      </c>
      <c r="J76" s="15" t="str">
        <v>开启，关闭</v>
      </c>
    </row>
    <row r="77" spans="7:9">
      <c r="G77" s="15" t="str">
        <v>abnormal_cause</v>
      </c>
      <c r="H77" s="15" t="str">
        <v>异常原因</v>
      </c>
      <c r="I77" s="15" t="str">
        <v>str</v>
      </c>
    </row>
    <row r="78" spans="1:10">
      <c r="A78" s="15" t="str">
        <v>智驾</v>
      </c>
      <c r="B78" s="15" t="str">
        <v>领航辅助</v>
      </c>
      <c r="C78" s="15" t="str">
        <v>adsd_0005</v>
      </c>
      <c r="F78" s="15" t="str">
        <v>信任增强开关</v>
      </c>
      <c r="G78" s="15" t="str">
        <v>switch</v>
      </c>
      <c r="H78" s="15" t="str">
        <v>开关</v>
      </c>
      <c r="I78" s="15" t="str">
        <v>enum</v>
      </c>
      <c r="J78" s="15" t="str">
        <v>开启，关闭</v>
      </c>
    </row>
    <row r="79" spans="7:9">
      <c r="G79" s="15" t="str">
        <v>abnormal_cause</v>
      </c>
      <c r="H79" s="15" t="str">
        <v>异常原因</v>
      </c>
      <c r="I79" s="15" t="str">
        <v>str</v>
      </c>
    </row>
    <row r="80" spans="1:10">
      <c r="A80" s="15" t="str">
        <v>智驾</v>
      </c>
      <c r="B80" s="15" t="str">
        <v>城市领航辅助UNP开关（开放道路NOA）</v>
      </c>
      <c r="C80" s="15" t="str">
        <v>adsd_0006</v>
      </c>
      <c r="F80" s="15" t="str">
        <v>城市领航辅助UNP开关（开放道路NOA）</v>
      </c>
      <c r="G80" s="15" t="str">
        <v>switch</v>
      </c>
      <c r="H80" s="15" t="str">
        <v>开关</v>
      </c>
      <c r="I80" s="15" t="str">
        <v>enum</v>
      </c>
      <c r="J80" s="15" t="str">
        <v>开启，关闭</v>
      </c>
    </row>
    <row r="81" spans="7:9">
      <c r="G81" s="15" t="str">
        <v>abnormal_cause</v>
      </c>
      <c r="H81" s="15" t="str">
        <v>异常原因</v>
      </c>
      <c r="I81" s="15" t="str">
        <v>str</v>
      </c>
    </row>
    <row r="82" spans="1:10">
      <c r="A82" s="15" t="str">
        <v>智驾</v>
      </c>
      <c r="B82" s="15" t="str">
        <v>Pilot全速驾驶辅助</v>
      </c>
      <c r="C82" s="15" t="str">
        <v>adsd_0007</v>
      </c>
      <c r="F82" s="15" t="str">
        <v>Pilot全速驾驶辅助</v>
      </c>
      <c r="G82" s="15" t="str">
        <v>switch</v>
      </c>
      <c r="H82" s="15" t="str">
        <v>开关</v>
      </c>
      <c r="I82" s="15" t="str">
        <v>enum</v>
      </c>
      <c r="J82" s="15" t="str">
        <v>开启，关闭</v>
      </c>
    </row>
    <row r="83" spans="7:9">
      <c r="G83" s="15" t="str">
        <v>abnormal_cause</v>
      </c>
      <c r="H83" s="15" t="str">
        <v>异常原因</v>
      </c>
      <c r="I83" s="15" t="str">
        <v>str</v>
      </c>
    </row>
    <row r="84" spans="1:10">
      <c r="A84" s="15" t="str">
        <v>智驾</v>
      </c>
      <c r="B84" s="15" t="str">
        <v>指令自动变道CALC（打灯变道）</v>
      </c>
      <c r="C84" s="15" t="str">
        <v>adsd_0008</v>
      </c>
      <c r="F84" s="15" t="str">
        <v>指令自动变道CALC（打灯变道）</v>
      </c>
      <c r="G84" s="15" t="str">
        <v>switch</v>
      </c>
      <c r="H84" s="15" t="str">
        <v>开关</v>
      </c>
      <c r="I84" s="15" t="str">
        <v>enum</v>
      </c>
      <c r="J84" s="15" t="str">
        <v>开启，关闭</v>
      </c>
    </row>
    <row r="85" spans="7:9">
      <c r="G85" s="15" t="str">
        <v>abnormal_cause</v>
      </c>
      <c r="H85" s="15" t="str">
        <v>异常原因</v>
      </c>
      <c r="I85" s="15" t="str">
        <v>str</v>
      </c>
    </row>
    <row r="86" spans="1:10">
      <c r="A86" s="15" t="str">
        <v>智驾</v>
      </c>
      <c r="B86" s="15" t="str">
        <v>智驾风格</v>
      </c>
      <c r="C86" s="15" t="str">
        <v>adsd_0009</v>
      </c>
      <c r="F86" s="15" t="str">
        <v>智驾风格选项</v>
      </c>
      <c r="G86" s="15" t="str">
        <v>switch</v>
      </c>
      <c r="H86" s="15" t="str">
        <v>模式选项</v>
      </c>
      <c r="I86" s="15" t="str">
        <v>enum</v>
      </c>
      <c r="J86" s="15" t="str">
        <v>柔和，标准，敏捷</v>
      </c>
    </row>
    <row r="87" spans="7:9">
      <c r="G87" s="15" t="str">
        <v>abnormal_cause</v>
      </c>
      <c r="H87" s="15" t="str">
        <v>异常原因</v>
      </c>
      <c r="I87" s="15" t="str">
        <v>str</v>
      </c>
    </row>
    <row r="88" spans="1:10">
      <c r="A88" s="15" t="str">
        <v>智驾</v>
      </c>
      <c r="B88" s="15" t="str">
        <v>起步提醒</v>
      </c>
      <c r="C88" s="15" t="str">
        <v>adsd_0010</v>
      </c>
      <c r="F88" s="15" t="str">
        <v>起步提醒选项开关</v>
      </c>
      <c r="G88" s="15" t="str">
        <v>switch</v>
      </c>
      <c r="H88" s="15" t="str">
        <v>开关</v>
      </c>
      <c r="I88" s="15" t="str">
        <v>enum</v>
      </c>
      <c r="J88" s="15" t="str">
        <v>开启，关闭</v>
      </c>
    </row>
    <row r="89" spans="7:9">
      <c r="G89" s="15" t="str">
        <v>abnormal_cause</v>
      </c>
      <c r="H89" s="15" t="str">
        <v>异常原因</v>
      </c>
      <c r="I89" s="15" t="str">
        <v>str</v>
      </c>
    </row>
    <row r="90" spans="1:10">
      <c r="A90" s="15" t="str">
        <v>智驾</v>
      </c>
      <c r="B90" s="15" t="str">
        <v>限速调整</v>
      </c>
      <c r="C90" s="15" t="str">
        <v>adsd_0011</v>
      </c>
      <c r="F90" s="15" t="str">
        <v>限速调整区间</v>
      </c>
      <c r="G90" s="15" t="str">
        <v>switch</v>
      </c>
      <c r="H90" s="15" t="str">
        <v>模式选项</v>
      </c>
      <c r="I90" s="15" t="str">
        <v>enum</v>
      </c>
      <c r="J90" s="18" t="str">
        <v>固定值，百分比</v>
      </c>
    </row>
    <row r="91" spans="7:9">
      <c r="G91" s="15" t="str">
        <v>abnormal_cause</v>
      </c>
      <c r="H91" s="15" t="str">
        <v>异常原因</v>
      </c>
      <c r="I91" s="15" t="str">
        <v>str</v>
      </c>
    </row>
    <row r="92" spans="1:9">
      <c r="A92" s="15" t="str">
        <v>智驾</v>
      </c>
      <c r="B92" s="15" t="str">
        <v>固定值设置</v>
      </c>
      <c r="C92" s="15" t="str">
        <v>adsd_0012</v>
      </c>
      <c r="F92" s="15" t="str">
        <v>智驾限速固定值</v>
      </c>
      <c r="G92" s="15" t="str">
        <v>value</v>
      </c>
      <c r="H92" s="15" t="str">
        <v>固定值</v>
      </c>
      <c r="I92" s="15" t="str">
        <v>str</v>
      </c>
    </row>
    <row r="93" spans="7:9">
      <c r="G93" s="15" t="str">
        <v>abnormal_cause</v>
      </c>
      <c r="H93" s="15" t="str">
        <v>异常原因</v>
      </c>
      <c r="I93" s="15" t="str">
        <v>str</v>
      </c>
    </row>
    <row r="94" spans="1:10">
      <c r="A94" s="15" t="str">
        <v>智驾</v>
      </c>
      <c r="B94" s="15" t="str">
        <v>百分比设置</v>
      </c>
      <c r="C94" s="15" t="str">
        <v>adsd_0013</v>
      </c>
      <c r="F94" s="15" t="str">
        <v>限速调整百分比</v>
      </c>
      <c r="G94" s="15" t="str">
        <v>switch</v>
      </c>
      <c r="H94" s="15" t="str">
        <v>模式选项</v>
      </c>
      <c r="I94" s="15" t="str">
        <v>enum</v>
      </c>
      <c r="J94" s="15" t="str">
        <v>用户具体设置值</v>
      </c>
    </row>
    <row r="95" spans="7:9">
      <c r="G95" s="15" t="str">
        <v>abnormal_cause</v>
      </c>
      <c r="H95" s="15" t="str">
        <v>异常原因</v>
      </c>
      <c r="I95" s="15" t="str">
        <v>str</v>
      </c>
    </row>
    <row r="96" spans="1:10">
      <c r="A96" s="15" t="str">
        <v>智驾</v>
      </c>
      <c r="B96" s="15" t="str">
        <v>限速报警</v>
      </c>
      <c r="C96" s="15" t="str">
        <v>adsd_0014</v>
      </c>
      <c r="F96" s="15" t="str">
        <v>限速报警开关</v>
      </c>
      <c r="G96" s="15" t="str">
        <v>switch</v>
      </c>
      <c r="H96" s="15" t="str">
        <v>开关</v>
      </c>
      <c r="I96" s="15" t="str">
        <v>enum</v>
      </c>
      <c r="J96" s="15" t="str">
        <v>开启，关闭</v>
      </c>
    </row>
    <row r="97" spans="7:9">
      <c r="G97" s="15" t="str">
        <v>abnormal_cause</v>
      </c>
      <c r="H97" s="15" t="str">
        <v>异常原因</v>
      </c>
      <c r="I97" s="15" t="str">
        <v>str</v>
      </c>
    </row>
    <row r="98" spans="1:10">
      <c r="A98" s="15" t="str">
        <v>智驾</v>
      </c>
      <c r="B98" s="15" t="str">
        <v>前向碰撞预警</v>
      </c>
      <c r="C98" s="15" t="str">
        <v>adsd_0015</v>
      </c>
      <c r="F98" s="15" t="str">
        <v>前向碰撞预警开关</v>
      </c>
      <c r="G98" s="15" t="str">
        <v>switch</v>
      </c>
      <c r="H98" s="15" t="str">
        <v>开关</v>
      </c>
      <c r="I98" s="15" t="str">
        <v>enum</v>
      </c>
      <c r="J98" s="15" t="str">
        <v>开启，关闭</v>
      </c>
    </row>
    <row r="99" spans="7:9">
      <c r="G99" s="15" t="str">
        <v>abnormal_cause</v>
      </c>
      <c r="H99" s="15" t="str">
        <v>异常原因</v>
      </c>
      <c r="I99" s="15" t="str">
        <v>str</v>
      </c>
    </row>
    <row r="100" spans="1:10">
      <c r="A100" s="15" t="str">
        <v>智驾</v>
      </c>
      <c r="B100" s="15" t="str">
        <v>灵敏度设置</v>
      </c>
      <c r="C100" s="15" t="str">
        <v>adsd_0016</v>
      </c>
      <c r="F100" s="15" t="str">
        <v>前向碰撞灵敏度设置</v>
      </c>
      <c r="G100" s="15" t="str">
        <v>switch</v>
      </c>
      <c r="H100" s="15" t="str">
        <v>模式选项</v>
      </c>
      <c r="I100" s="15" t="str">
        <v>enum</v>
      </c>
      <c r="J100" s="15" t="str">
        <v>低，中，高</v>
      </c>
    </row>
    <row r="101" spans="7:9">
      <c r="G101" s="15" t="str">
        <v>abnormal_cause</v>
      </c>
      <c r="H101" s="15" t="str">
        <v>异常原因</v>
      </c>
      <c r="I101" s="15" t="str">
        <v>str</v>
      </c>
    </row>
    <row r="102" spans="1:10">
      <c r="A102" s="15" t="str">
        <v>智驾</v>
      </c>
      <c r="B102" s="15" t="str">
        <v>自动紧急制动</v>
      </c>
      <c r="C102" s="15" t="str">
        <v>adsd_0017</v>
      </c>
      <c r="F102" s="15" t="str">
        <v>自动紧急制动</v>
      </c>
      <c r="G102" s="15" t="str">
        <v>switch</v>
      </c>
      <c r="H102" s="15" t="str">
        <v>开关</v>
      </c>
      <c r="I102" s="15" t="str">
        <v>enum</v>
      </c>
      <c r="J102" s="15" t="str">
        <v>开启，关闭</v>
      </c>
    </row>
    <row r="103" spans="7:9">
      <c r="G103" s="15" t="str">
        <v>abnormal_cause</v>
      </c>
      <c r="H103" s="15" t="str">
        <v>异常原因</v>
      </c>
      <c r="I103" s="15" t="str">
        <v>str</v>
      </c>
    </row>
    <row r="104" spans="1:10">
      <c r="A104" s="15" t="str">
        <v>智驾</v>
      </c>
      <c r="B104" s="15" t="str">
        <v>后向碰撞预警</v>
      </c>
      <c r="C104" s="15" t="str">
        <v>adsd_0018</v>
      </c>
      <c r="F104" s="15" t="str">
        <v>后向碰撞预警开关</v>
      </c>
      <c r="G104" s="15" t="str">
        <v>switch</v>
      </c>
      <c r="H104" s="15" t="str">
        <v>开关</v>
      </c>
      <c r="I104" s="15" t="str">
        <v>enum</v>
      </c>
      <c r="J104" s="15" t="str">
        <v>开启，关闭</v>
      </c>
    </row>
    <row r="105" spans="7:9">
      <c r="G105" s="15" t="str">
        <v>abnormal_cause</v>
      </c>
      <c r="H105" s="15" t="str">
        <v>异常原因</v>
      </c>
      <c r="I105" s="15" t="str">
        <v>str</v>
      </c>
    </row>
    <row r="106" spans="1:10">
      <c r="A106" s="15" t="str">
        <v>智驾</v>
      </c>
      <c r="B106" s="15" t="str">
        <v>盲点预警</v>
      </c>
      <c r="C106" s="15" t="str">
        <v>adsd_0019</v>
      </c>
      <c r="F106" s="15" t="str">
        <v>盲点预警开关</v>
      </c>
      <c r="G106" s="15" t="str">
        <v>switch</v>
      </c>
      <c r="H106" s="15" t="str">
        <v>开关</v>
      </c>
      <c r="I106" s="15" t="str">
        <v>enum</v>
      </c>
      <c r="J106" s="15" t="str">
        <v>开启，关闭</v>
      </c>
    </row>
    <row r="107" spans="7:9">
      <c r="G107" s="15" t="str">
        <v>abnormal_cause</v>
      </c>
      <c r="H107" s="15" t="str">
        <v>异常原因</v>
      </c>
      <c r="I107" s="15" t="str">
        <v>str</v>
      </c>
    </row>
    <row r="108" spans="1:10">
      <c r="A108" s="15" t="str">
        <v>智驾</v>
      </c>
      <c r="B108" s="15" t="str">
        <v>侧后方来车辅助</v>
      </c>
      <c r="C108" s="15" t="str">
        <v>adsd_0020</v>
      </c>
      <c r="F108" s="15" t="str">
        <v>侧后方来车辅助警示方式</v>
      </c>
      <c r="G108" s="15" t="str">
        <v>switch</v>
      </c>
      <c r="H108" s="15" t="str">
        <v>模式选项</v>
      </c>
      <c r="I108" s="15" t="str">
        <v>enum</v>
      </c>
      <c r="J108" s="15" t="str">
        <v>关闭，警示，警示+制动</v>
      </c>
    </row>
    <row r="109" spans="7:9">
      <c r="G109" s="15" t="str">
        <v>abnormal_cause</v>
      </c>
      <c r="H109" s="15" t="str">
        <v>异常原因</v>
      </c>
      <c r="I109" s="15" t="str">
        <v>str</v>
      </c>
    </row>
    <row r="110" spans="1:10">
      <c r="A110" s="15" t="str">
        <v>智驾</v>
      </c>
      <c r="B110" s="15" t="str">
        <v>开门预警</v>
      </c>
      <c r="C110" s="15" t="str">
        <v>adsd_0021</v>
      </c>
      <c r="F110" s="15" t="str">
        <v>开门预警开关</v>
      </c>
      <c r="G110" s="15" t="str">
        <v>switch</v>
      </c>
      <c r="H110" s="15" t="str">
        <v>开关</v>
      </c>
      <c r="I110" s="15" t="str">
        <v>enum</v>
      </c>
      <c r="J110" s="15" t="str">
        <v>开启，关闭</v>
      </c>
    </row>
    <row r="111" spans="7:9">
      <c r="G111" s="15" t="str">
        <v>abnormal_cause</v>
      </c>
      <c r="H111" s="15" t="str">
        <v>异常原因</v>
      </c>
      <c r="I111" s="15" t="str">
        <v>str</v>
      </c>
    </row>
    <row r="112" spans="1:10">
      <c r="A112" s="15" t="str">
        <v>智驾</v>
      </c>
      <c r="B112" s="15" t="str">
        <v>车道偏离辅助</v>
      </c>
      <c r="C112" s="15" t="str">
        <v>adsd_0022</v>
      </c>
      <c r="F112" s="15" t="str">
        <v>车道偏离辅助</v>
      </c>
      <c r="G112" s="15" t="str">
        <v>switch</v>
      </c>
      <c r="H112" s="15" t="str">
        <v>模式选项</v>
      </c>
      <c r="I112" s="15" t="str">
        <v>enum</v>
      </c>
      <c r="J112" s="15" t="str">
        <v>关闭，警示，警示+辅助</v>
      </c>
    </row>
    <row r="113" spans="7:9">
      <c r="G113" s="15" t="str">
        <v>abnormal_cause</v>
      </c>
      <c r="H113" s="15" t="str">
        <v>异常原因</v>
      </c>
      <c r="I113" s="15" t="str">
        <v>str</v>
      </c>
    </row>
    <row r="114" spans="1:10">
      <c r="A114" s="15" t="str">
        <v>智驾</v>
      </c>
      <c r="B114" s="15" t="str">
        <v>灵敏度设置</v>
      </c>
      <c r="C114" s="15" t="str">
        <v>adsd_0023</v>
      </c>
      <c r="F114" s="15" t="str">
        <v>车道偏离预警灵敏度设置</v>
      </c>
      <c r="G114" s="15" t="str">
        <v>states</v>
      </c>
      <c r="H114" s="15" t="str">
        <v>状态</v>
      </c>
      <c r="I114" s="15" t="str">
        <v>enum</v>
      </c>
      <c r="J114" s="15" t="str">
        <v>低，中，高</v>
      </c>
    </row>
    <row r="115" spans="7:9">
      <c r="G115" s="15" t="str">
        <v>abnormal_cause</v>
      </c>
      <c r="H115" s="15" t="str">
        <v>异常原因</v>
      </c>
      <c r="I115" s="15" t="str">
        <v>str</v>
      </c>
    </row>
    <row r="116" spans="1:10">
      <c r="A116" s="15" t="str">
        <v>智驾</v>
      </c>
      <c r="B116" s="15" t="str">
        <v>警示方式</v>
      </c>
      <c r="C116" s="15" t="str">
        <v>adsd_0024</v>
      </c>
      <c r="F116" s="15" t="str">
        <v>警示方式</v>
      </c>
      <c r="G116" s="15" t="str">
        <v>switch</v>
      </c>
      <c r="H116" s="15" t="str">
        <v>模式选项</v>
      </c>
      <c r="I116" s="15" t="str">
        <v>enum</v>
      </c>
      <c r="J116" s="15" t="str">
        <v>声音，振动，声音+振动</v>
      </c>
    </row>
    <row r="117" spans="7:9">
      <c r="G117" s="15" t="str">
        <v>abnormal_cause</v>
      </c>
      <c r="H117" s="15" t="str">
        <v>异常原因</v>
      </c>
      <c r="I117" s="15" t="str">
        <v>str</v>
      </c>
    </row>
    <row r="118" spans="1:10">
      <c r="A118" s="15" t="str">
        <v>智驾</v>
      </c>
      <c r="B118" s="15" t="str">
        <v>紧急车道保持（ELK）</v>
      </c>
      <c r="C118" s="15" t="str">
        <v>adsd_0025</v>
      </c>
      <c r="F118" s="15" t="str">
        <v>紧急车道保持（ELK）开关</v>
      </c>
      <c r="G118" s="15" t="str">
        <v>switch</v>
      </c>
      <c r="H118" s="15" t="str">
        <v>开关</v>
      </c>
      <c r="I118" s="15" t="str">
        <v>enum</v>
      </c>
      <c r="J118" s="15" t="str">
        <v>开启，关闭</v>
      </c>
    </row>
    <row r="119" spans="7:9">
      <c r="G119" s="15" t="str">
        <v>abnormal_cause</v>
      </c>
      <c r="H119" s="15" t="str">
        <v>异常原因</v>
      </c>
      <c r="I119" s="15" t="str">
        <v>str</v>
      </c>
    </row>
    <row r="120" spans="1:10">
      <c r="A120" s="15" t="str">
        <v>智驾</v>
      </c>
      <c r="B120" s="15" t="str">
        <v>语音控制智驾</v>
      </c>
      <c r="C120" s="15" t="str">
        <v>adsd_0026</v>
      </c>
      <c r="F120" s="15" t="str">
        <v>语音控制智驾开关</v>
      </c>
      <c r="G120" s="15" t="str">
        <v>switch</v>
      </c>
      <c r="H120" s="15" t="str">
        <v>开关</v>
      </c>
      <c r="I120" s="15" t="str">
        <v>enum</v>
      </c>
      <c r="J120" s="15" t="str">
        <v>开启，关闭</v>
      </c>
    </row>
    <row r="121" spans="1:10">
      <c r="A121" s="15" t="str">
        <v>智驾</v>
      </c>
      <c r="B121" s="15" t="str">
        <v>导航驾驶辅助</v>
      </c>
      <c r="C121" s="15" t="str">
        <v>adsd_0027</v>
      </c>
      <c r="F121" s="15" t="str">
        <v>导航驾驶辅助</v>
      </c>
      <c r="G121" s="15" t="str">
        <v>switch</v>
      </c>
      <c r="H121" s="15" t="str">
        <v>开关</v>
      </c>
      <c r="I121" s="15" t="str">
        <v>enum</v>
      </c>
      <c r="J121" s="15" t="str">
        <v>开启，关闭</v>
      </c>
    </row>
    <row r="122" spans="7:9">
      <c r="G122" s="15" t="str">
        <v>abnormal_cause</v>
      </c>
      <c r="H122" s="15" t="str">
        <v>异常原因</v>
      </c>
      <c r="I122" s="15" t="str">
        <v>str</v>
      </c>
    </row>
    <row r="123" spans="1:10">
      <c r="A123" s="15" t="str">
        <v>智驾</v>
      </c>
      <c r="B123" s="15" t="str">
        <v>导航驾驶辅助</v>
      </c>
      <c r="C123" s="15" t="str">
        <v>adsd_0028</v>
      </c>
      <c r="F123" s="15" t="str">
        <v>自动变道确认</v>
      </c>
      <c r="G123" s="15" t="str">
        <v>switch</v>
      </c>
      <c r="H123" s="15" t="str">
        <v>开关</v>
      </c>
      <c r="I123" s="15" t="str">
        <v>enum</v>
      </c>
      <c r="J123" s="15" t="str">
        <v>开启，关闭</v>
      </c>
    </row>
    <row r="124" spans="7:9">
      <c r="G124" s="15" t="str">
        <v>abnormal_cause</v>
      </c>
      <c r="H124" s="15" t="str">
        <v>异常原因</v>
      </c>
      <c r="I124" s="15" t="str">
        <v>str</v>
      </c>
    </row>
    <row r="125" spans="1:10">
      <c r="A125" s="15" t="str">
        <v>智驾</v>
      </c>
      <c r="B125" s="15" t="str">
        <v>导航驾驶辅助</v>
      </c>
      <c r="C125" s="15" t="str">
        <v>adsd_0029</v>
      </c>
      <c r="F125" s="25" t="str">
        <v>车道巡航辅助</v>
      </c>
      <c r="G125" s="15" t="str">
        <v>switch</v>
      </c>
      <c r="H125" s="15" t="str">
        <v>开关</v>
      </c>
      <c r="I125" s="15" t="str">
        <v>enum</v>
      </c>
      <c r="J125" s="15" t="str">
        <v>开启，关闭</v>
      </c>
    </row>
    <row r="126" spans="7:9">
      <c r="G126" s="15" t="str">
        <v>abnormal_cause</v>
      </c>
      <c r="H126" s="15" t="str">
        <v>异常原因</v>
      </c>
      <c r="I126" s="15" t="str">
        <v>str</v>
      </c>
    </row>
    <row r="127" spans="1:10">
      <c r="A127" s="15" t="str">
        <v>智驾</v>
      </c>
      <c r="B127" s="15" t="str">
        <v>导航驾驶辅助</v>
      </c>
      <c r="C127" s="15" t="str">
        <v>adsd_0030</v>
      </c>
      <c r="F127" s="25" t="str">
        <v>智慧躲闪</v>
      </c>
      <c r="G127" s="15" t="str">
        <v>switch</v>
      </c>
      <c r="H127" s="15" t="str">
        <v>开关</v>
      </c>
      <c r="I127" s="15" t="str">
        <v>enum</v>
      </c>
      <c r="J127" s="15" t="str">
        <v>开启，关闭</v>
      </c>
    </row>
    <row r="128" spans="7:9">
      <c r="G128" s="15" t="str">
        <v>abnormal_cause</v>
      </c>
      <c r="H128" s="15" t="str">
        <v>异常原因</v>
      </c>
      <c r="I128" s="15" t="str">
        <v>str</v>
      </c>
    </row>
    <row r="129" spans="1:10">
      <c r="A129" s="15" t="str">
        <v>智驾</v>
      </c>
      <c r="B129" s="15" t="str">
        <v>导航驾驶辅助</v>
      </c>
      <c r="C129" s="15" t="str">
        <v>adsd_0031</v>
      </c>
      <c r="F129" s="15" t="str">
        <v>智能速度辅助</v>
      </c>
      <c r="G129" s="15" t="str">
        <v>switch</v>
      </c>
      <c r="H129" s="15" t="str">
        <v>开关</v>
      </c>
      <c r="I129" s="15" t="str">
        <v>enum</v>
      </c>
      <c r="J129" s="15" t="str">
        <v>关闭，报警，报警和限速</v>
      </c>
    </row>
    <row r="130" spans="7:9">
      <c r="G130" s="15" t="str">
        <v>abnormal_cause</v>
      </c>
      <c r="H130" s="15" t="str">
        <v>异常原因</v>
      </c>
      <c r="I130" s="15" t="str">
        <v>str</v>
      </c>
    </row>
    <row r="131" spans="1:10">
      <c r="A131" s="15" t="str">
        <v>智驾</v>
      </c>
      <c r="B131" s="15" t="str">
        <v>导航驾驶辅助</v>
      </c>
      <c r="C131" s="15" t="str">
        <v>adsd_0032</v>
      </c>
      <c r="F131" s="15" t="str">
        <v>变道辅助</v>
      </c>
      <c r="G131" s="15" t="str">
        <v>switch</v>
      </c>
      <c r="H131" s="15" t="str">
        <v>开关</v>
      </c>
      <c r="I131" s="15" t="str">
        <v>enum</v>
      </c>
      <c r="J131" s="15" t="str">
        <v>关闭，打灯变道，推荐变道</v>
      </c>
    </row>
    <row r="132" spans="7:9">
      <c r="G132" s="15" t="str">
        <v>abnormal_cause</v>
      </c>
      <c r="H132" s="15" t="str">
        <v>异常原因</v>
      </c>
      <c r="I132" s="15" t="str">
        <v>str</v>
      </c>
    </row>
    <row r="133" spans="1:10">
      <c r="A133" s="15" t="str">
        <v>智驾</v>
      </c>
      <c r="B133" s="15" t="str">
        <v>导航驾驶辅助</v>
      </c>
      <c r="C133" s="15" t="str">
        <v>adsd_0033</v>
      </c>
      <c r="F133" s="15" t="str">
        <v>变道舒适性</v>
      </c>
      <c r="G133" s="26" t="str">
        <v>switch</v>
      </c>
      <c r="H133" s="15" t="str">
        <v>模式选项</v>
      </c>
      <c r="I133" s="15" t="str">
        <v>enum</v>
      </c>
      <c r="J133" s="15" t="str">
        <v>柔和，标准，敏捷</v>
      </c>
    </row>
    <row r="134" spans="1:10">
      <c r="A134" s="15" t="str">
        <v>智驾</v>
      </c>
      <c r="B134" s="15" t="str">
        <v>导航驾驶辅助</v>
      </c>
      <c r="C134" s="15" t="str">
        <v>adsd_0034</v>
      </c>
      <c r="F134" s="15" t="str">
        <v>碰撞预警时机</v>
      </c>
      <c r="G134" s="26" t="str">
        <v>switch</v>
      </c>
      <c r="H134" s="15" t="str">
        <v>模式选项</v>
      </c>
      <c r="I134" s="15" t="str">
        <v>enum</v>
      </c>
      <c r="J134" s="15" t="str">
        <v>较早，适中，稍晚</v>
      </c>
    </row>
    <row r="135" spans="1:10">
      <c r="A135" s="15" t="str">
        <v>智驾</v>
      </c>
      <c r="B135" s="15" t="str">
        <v>导航驾驶辅助</v>
      </c>
      <c r="C135" s="15" t="str">
        <v>adsd_0035</v>
      </c>
      <c r="F135" s="15" t="str">
        <v>变道时危险预警</v>
      </c>
      <c r="G135" s="26" t="str">
        <v>switch</v>
      </c>
      <c r="H135" s="15" t="str">
        <v>开关</v>
      </c>
      <c r="I135" s="15" t="str">
        <v>enum</v>
      </c>
      <c r="J135" s="15" t="str">
        <v>打开，关闭</v>
      </c>
    </row>
    <row r="136" spans="7:9">
      <c r="G136" s="26" t="str">
        <v>abnormal_cause</v>
      </c>
      <c r="H136" s="15" t="str">
        <v>异常原因</v>
      </c>
      <c r="I136" s="15" t="str">
        <v>str</v>
      </c>
    </row>
    <row r="137" spans="1:10">
      <c r="A137" s="15" t="str">
        <v>智驾</v>
      </c>
      <c r="B137" s="15" t="str">
        <v>导航驾驶辅助</v>
      </c>
      <c r="C137" s="15" t="str">
        <v>adsd_0036</v>
      </c>
      <c r="F137" s="15" t="str">
        <v>后方横穿危险预警和紧急制动</v>
      </c>
      <c r="G137" s="26" t="str">
        <v>switch</v>
      </c>
      <c r="H137" s="15" t="str">
        <v>模式选项</v>
      </c>
      <c r="I137" s="15" t="str">
        <v>enum</v>
      </c>
      <c r="J137" s="15" t="str">
        <v>关闭，警示，警示+制动</v>
      </c>
    </row>
    <row r="138" spans="7:9">
      <c r="G138" s="26" t="str">
        <v>abnormal_cause</v>
      </c>
      <c r="H138" s="15" t="str">
        <v>异常原因</v>
      </c>
      <c r="I138" s="15" t="str">
        <v>str</v>
      </c>
    </row>
    <row r="139" spans="1:10">
      <c r="A139" s="15" t="str">
        <v>智驾</v>
      </c>
      <c r="B139" s="15" t="str">
        <v>导航驾驶辅助</v>
      </c>
      <c r="C139" s="15" t="str">
        <v>adsd_0037</v>
      </c>
      <c r="F139" s="15" t="str">
        <v>车道巡航辅助模式</v>
      </c>
      <c r="G139" s="26" t="str">
        <v>switch</v>
      </c>
      <c r="H139" s="15" t="str">
        <v>模式选项</v>
      </c>
      <c r="I139" s="15" t="str">
        <v>enum</v>
      </c>
      <c r="J139" s="15" t="str">
        <v>关闭，ACC，ICA</v>
      </c>
    </row>
    <row r="140" spans="7:9">
      <c r="G140" s="26" t="str">
        <v>abnormal_cause</v>
      </c>
      <c r="H140" s="15" t="str">
        <v>异常原因</v>
      </c>
      <c r="I140" s="15" t="str">
        <v>str</v>
      </c>
    </row>
    <row r="141" spans="1:10">
      <c r="A141" s="15" t="str">
        <v>智驾</v>
      </c>
      <c r="B141" s="15" t="str">
        <v>导航驾驶辅助</v>
      </c>
      <c r="C141" s="15" t="str">
        <v>adsd_0038</v>
      </c>
      <c r="F141" s="15" t="str">
        <v>限速辅助</v>
      </c>
      <c r="G141" s="26" t="str">
        <v>switch</v>
      </c>
      <c r="H141" s="15" t="str">
        <v>模式选项</v>
      </c>
      <c r="I141" s="15" t="str">
        <v>enum</v>
      </c>
      <c r="J141" s="15" t="str">
        <v>关闭，手动，智能</v>
      </c>
    </row>
    <row r="142" spans="7:9">
      <c r="G142" s="26" t="str">
        <v>abnormal_cause</v>
      </c>
      <c r="H142" s="15" t="str">
        <v>异常原因</v>
      </c>
      <c r="I142" s="15" t="str">
        <v>str</v>
      </c>
    </row>
    <row r="143" spans="1:10">
      <c r="A143" s="15" t="str">
        <v>智驾</v>
      </c>
      <c r="B143" s="15" t="str">
        <v>导航驾驶辅助</v>
      </c>
      <c r="C143" s="15" t="str">
        <v>adsd_0039</v>
      </c>
      <c r="F143" s="15" t="str">
        <v>智能超速报警</v>
      </c>
      <c r="G143" s="26" t="str">
        <v>switch</v>
      </c>
      <c r="H143" s="15" t="str">
        <v>开关</v>
      </c>
      <c r="I143" s="15" t="str">
        <v>enum</v>
      </c>
      <c r="J143" s="15" t="str">
        <v>关闭，开启</v>
      </c>
    </row>
    <row r="144" spans="7:9">
      <c r="G144" s="26" t="str">
        <v>abnormal_cause</v>
      </c>
      <c r="H144" s="15" t="str">
        <v>异常原因</v>
      </c>
      <c r="I144" s="15" t="str">
        <v>str</v>
      </c>
    </row>
    <row r="145" spans="1:10">
      <c r="A145" s="15" t="str">
        <v>智驾</v>
      </c>
      <c r="B145" s="15" t="str">
        <v>导航驾驶辅助</v>
      </c>
      <c r="C145" s="15" t="str">
        <v>adsd_0040</v>
      </c>
      <c r="F145" s="15" t="str">
        <v>前方安全辅助模式</v>
      </c>
      <c r="G145" s="26" t="str">
        <v>switch</v>
      </c>
      <c r="H145" s="15" t="str">
        <v>模式选项</v>
      </c>
      <c r="I145" s="15" t="str">
        <v>enum</v>
      </c>
      <c r="J145" s="15" t="str">
        <v>关闭，预警，预警+制动</v>
      </c>
    </row>
    <row r="146" spans="7:9">
      <c r="G146" s="26" t="str">
        <v>abnormal_cause</v>
      </c>
      <c r="H146" s="15" t="str">
        <v>异常原因</v>
      </c>
      <c r="I146" s="15" t="str">
        <v>str</v>
      </c>
    </row>
    <row r="147" spans="1:12">
      <c r="A147" s="15" t="str">
        <v>车控功能</v>
      </c>
      <c r="B147" s="15" t="str">
        <v>驾驶</v>
      </c>
      <c r="C147" s="15" t="str">
        <v>vehicle_control_0003</v>
      </c>
      <c r="F147" s="15" t="str">
        <v>车辆行进状态</v>
      </c>
      <c r="G147" s="15" t="str">
        <v>switch</v>
      </c>
      <c r="H147" s="15" t="str">
        <v>模式选项</v>
      </c>
      <c r="I147" s="15" t="str">
        <v>enum</v>
      </c>
      <c r="J147" s="15" t="str">
        <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v>
      </c>
      <c r="L147" s="16">
        <v>1</v>
      </c>
    </row>
    <row r="148" spans="7:12">
      <c r="G148" s="15" t="str">
        <v>states</v>
      </c>
      <c r="H148" s="15" t="str">
        <v>状态</v>
      </c>
      <c r="I148" s="15" t="str">
        <v>enum</v>
      </c>
      <c r="J148" s="15" t="str">
        <v>D，P，R，N</v>
      </c>
      <c r="L148" s="16">
        <v>1</v>
      </c>
    </row>
    <row r="149" spans="1:12">
      <c r="A149" s="15" t="str">
        <v>车控功能</v>
      </c>
      <c r="B149" s="15" t="str">
        <v>驾驶</v>
      </c>
      <c r="C149" s="15" t="str">
        <v>vehicle_control_0004</v>
      </c>
      <c r="F149" s="15" t="str">
        <v>车辆速度</v>
      </c>
      <c r="G149" s="15" t="str">
        <v>velocity</v>
      </c>
      <c r="H149" s="15" t="str">
        <v>速度</v>
      </c>
      <c r="I149" s="15" t="str">
        <v>str</v>
      </c>
      <c r="L149" s="16">
        <v>1</v>
      </c>
    </row>
    <row r="150" spans="1:12">
      <c r="A150" s="15" t="str">
        <v>车控功能</v>
      </c>
      <c r="B150" s="15" t="str">
        <v>驾驶</v>
      </c>
      <c r="C150" s="15" t="str">
        <v>vehicle_control_0005</v>
      </c>
      <c r="F150" s="15" t="str">
        <v>能量回收状态</v>
      </c>
      <c r="G150" s="15" t="str">
        <v>switch</v>
      </c>
      <c r="H150" s="15" t="str">
        <v>模式选项</v>
      </c>
      <c r="I150" s="15" t="str">
        <v>enum</v>
      </c>
      <c r="J150" s="15" t="str">
        <v>关闭，高，中，低</v>
      </c>
      <c r="L150" s="16">
        <v>1</v>
      </c>
    </row>
    <row r="151" spans="1:10">
      <c r="A151" s="15" t="str">
        <v>车控功能</v>
      </c>
      <c r="B151" s="15" t="str">
        <v>驾驶</v>
      </c>
      <c r="C151" s="15" t="str">
        <v>vehicle_control_0006</v>
      </c>
      <c r="F151" s="15" t="str">
        <v>尾翼状态</v>
      </c>
      <c r="G151" s="15" t="str">
        <v>states</v>
      </c>
      <c r="H151" s="15" t="str">
        <v>状态</v>
      </c>
      <c r="I151" s="15" t="str">
        <v>enum</v>
      </c>
      <c r="J151" s="15" t="str">
        <v>关闭，1档，2档，4档</v>
      </c>
    </row>
    <row r="152" spans="1:10">
      <c r="A152" s="15" t="str">
        <v>车控功能</v>
      </c>
      <c r="B152" s="15" t="str">
        <v>驾驶</v>
      </c>
      <c r="C152" s="15" t="str">
        <v>vehicle_control_0007</v>
      </c>
      <c r="F152" s="15" t="str">
        <v>悬架状态</v>
      </c>
      <c r="G152" s="15" t="str">
        <v>states</v>
      </c>
      <c r="H152" s="15" t="str">
        <v>高度</v>
      </c>
      <c r="I152" s="15" t="str">
        <v>enum</v>
      </c>
      <c r="J152" s="15" t="str">
        <v>高，中，低</v>
      </c>
    </row>
    <row r="153" spans="1:12">
      <c r="A153" s="15" t="str">
        <v>车控功能</v>
      </c>
      <c r="B153" s="15" t="str">
        <v>驾驶</v>
      </c>
      <c r="C153" s="15" t="str">
        <v>vehicle_control_0008</v>
      </c>
      <c r="F153" s="15" t="str">
        <v>轮胎状态</v>
      </c>
      <c r="G153" s="15" t="str">
        <v>pressure</v>
      </c>
      <c r="H153" s="15" t="str">
        <v>胎压</v>
      </c>
      <c r="I153" s="15" t="str">
        <v>str</v>
      </c>
      <c r="L153" s="16">
        <v>1</v>
      </c>
    </row>
    <row r="154" spans="7:12">
      <c r="G154" s="15" t="str">
        <v>temperature</v>
      </c>
      <c r="H154" s="15" t="str">
        <v>胎温</v>
      </c>
      <c r="I154" s="15" t="str">
        <v>str</v>
      </c>
      <c r="L154" s="16">
        <v>1</v>
      </c>
    </row>
    <row r="155" spans="7:12">
      <c r="G155" s="15" t="str">
        <v>position</v>
      </c>
      <c r="H155" s="15" t="str">
        <v>位置</v>
      </c>
      <c r="I155" s="15" t="str">
        <v>enum</v>
      </c>
      <c r="J155" s="15" t="str">
        <v>左前，右前，左后，右后</v>
      </c>
      <c r="K155" s="16">
        <v>1</v>
      </c>
      <c r="L155" s="16">
        <v>1</v>
      </c>
    </row>
    <row r="156" spans="1:12">
      <c r="A156" s="15" t="str">
        <v>车控功能</v>
      </c>
      <c r="B156" s="15" t="str">
        <v>充电</v>
      </c>
      <c r="C156" s="15" t="str">
        <v>vehicle_control_0009</v>
      </c>
      <c r="F156" s="15" t="str">
        <v>充电盖开关</v>
      </c>
      <c r="G156" s="15" t="str">
        <v>switch</v>
      </c>
      <c r="H156" s="15" t="str">
        <v>开关</v>
      </c>
      <c r="I156" s="15" t="str">
        <v>enum</v>
      </c>
      <c r="J156" s="15" t="str">
        <v>开启，关闭</v>
      </c>
      <c r="L156" s="16">
        <v>1</v>
      </c>
    </row>
    <row r="157" spans="7:12">
      <c r="G157" s="15" t="str">
        <v>type</v>
      </c>
      <c r="H157" s="15" t="str">
        <v>类型</v>
      </c>
      <c r="I157" s="15" t="str">
        <v>enum</v>
      </c>
      <c r="J157" s="15" t="str">
        <v>快充，慢充，二合一</v>
      </c>
      <c r="K157" s="16">
        <v>1</v>
      </c>
      <c r="L157" s="16">
        <v>1</v>
      </c>
    </row>
    <row r="158" spans="1:12">
      <c r="A158" s="15" t="str">
        <v>车控功能</v>
      </c>
      <c r="B158" s="15" t="str">
        <v>充电</v>
      </c>
      <c r="C158" s="15" t="str">
        <v>vehicle_control_0010</v>
      </c>
      <c r="F158" s="15" t="str">
        <v>充电状态</v>
      </c>
      <c r="G158" s="15" t="str">
        <v>status</v>
      </c>
      <c r="H158" s="15" t="str">
        <v>状态</v>
      </c>
      <c r="I158" s="15" t="str">
        <v>enum</v>
      </c>
      <c r="J158" s="15" t="str">
        <v>充电中，未充电</v>
      </c>
      <c r="L158" s="16">
        <v>1</v>
      </c>
    </row>
    <row r="159" spans="7:12">
      <c r="G159" s="15" t="str">
        <v>type</v>
      </c>
      <c r="H159" s="15" t="str">
        <v>类型</v>
      </c>
      <c r="I159" s="15" t="str">
        <v>enum</v>
      </c>
      <c r="J159" s="15" t="str">
        <v>快充，慢充</v>
      </c>
      <c r="L159" s="16">
        <v>1</v>
      </c>
    </row>
    <row r="160" spans="7:12">
      <c r="G160" s="15" t="str">
        <v>duration</v>
      </c>
      <c r="H160" s="15" t="str">
        <v>剩余充电时长</v>
      </c>
      <c r="I160" s="15" t="str">
        <v>str</v>
      </c>
      <c r="L160" s="16">
        <v>1</v>
      </c>
    </row>
    <row r="161" spans="1:12">
      <c r="A161" s="15" t="str">
        <v>车控功能</v>
      </c>
      <c r="B161" s="15" t="str">
        <v>充电</v>
      </c>
      <c r="C161" s="15" t="str">
        <v>vehicle_control_0011</v>
      </c>
      <c r="F161" s="15" t="str">
        <v>充电设置</v>
      </c>
      <c r="G161" s="15" t="str">
        <v>limit</v>
      </c>
      <c r="H161" s="15" t="str">
        <v>充电上限</v>
      </c>
      <c r="I161" s="15" t="str">
        <v>str</v>
      </c>
      <c r="L161" s="16">
        <v>1</v>
      </c>
    </row>
    <row r="162" spans="7:12">
      <c r="G162" s="15" t="str">
        <v>capacity</v>
      </c>
      <c r="H162" s="15" t="str">
        <v>最大电量</v>
      </c>
      <c r="I162" s="15" t="str">
        <v>str</v>
      </c>
      <c r="L162" s="16">
        <v>1</v>
      </c>
    </row>
    <row r="163" spans="1:12">
      <c r="A163" s="15" t="str">
        <v>车控功能</v>
      </c>
      <c r="B163" s="15" t="str">
        <v>充电</v>
      </c>
      <c r="C163" s="15" t="str">
        <v>vehicle_control_0012</v>
      </c>
      <c r="F163" s="15" t="str">
        <v>电池状态</v>
      </c>
      <c r="G163" s="15" t="str">
        <v>percentage</v>
      </c>
      <c r="H163" s="15" t="str">
        <v>剩余电量</v>
      </c>
      <c r="I163" s="15" t="str">
        <v>str</v>
      </c>
      <c r="L163" s="16">
        <v>1</v>
      </c>
    </row>
    <row r="164" spans="7:12">
      <c r="G164" s="15" t="str">
        <v>mileage</v>
      </c>
      <c r="H164" s="15" t="str">
        <v>剩余续航里程</v>
      </c>
      <c r="I164" s="15" t="str">
        <v>str</v>
      </c>
      <c r="L164" s="16">
        <v>1</v>
      </c>
    </row>
    <row r="165" spans="1:12">
      <c r="A165" s="15" t="str">
        <v>车控功能</v>
      </c>
      <c r="B165" s="15" t="str">
        <v>空调</v>
      </c>
      <c r="C165" s="15" t="str">
        <v>vehicle_control_0013</v>
      </c>
      <c r="F165" s="15" t="str">
        <v>车内空调状态</v>
      </c>
      <c r="G165" s="15" t="str">
        <v>switch</v>
      </c>
      <c r="H165" s="15" t="str">
        <v>开关</v>
      </c>
      <c r="I165" s="15" t="str">
        <v>enum</v>
      </c>
      <c r="J165" s="15" t="str">
        <v>开启，关闭</v>
      </c>
      <c r="L165" s="16">
        <v>1</v>
      </c>
    </row>
    <row r="166" spans="7:12">
      <c r="G166" s="15" t="str">
        <v>position</v>
      </c>
      <c r="H166" s="15" t="str">
        <v>位置</v>
      </c>
      <c r="I166" s="15" t="str">
        <v>str</v>
      </c>
      <c r="K166" s="16">
        <v>1</v>
      </c>
      <c r="L166" s="16">
        <v>1</v>
      </c>
    </row>
    <row r="167" spans="7:12">
      <c r="G167" s="15" t="str">
        <v>temperature</v>
      </c>
      <c r="H167" s="15" t="str">
        <v>温度</v>
      </c>
      <c r="I167" s="15" t="str">
        <v>str</v>
      </c>
      <c r="L167" s="16">
        <v>1</v>
      </c>
    </row>
    <row r="168" spans="7:12">
      <c r="G168" s="15" t="str">
        <v>mode</v>
      </c>
      <c r="H168" s="15" t="str">
        <v>模式</v>
      </c>
      <c r="I168" s="15" t="str">
        <v>str</v>
      </c>
      <c r="L168" s="16">
        <v>1</v>
      </c>
    </row>
    <row r="169" spans="7:12">
      <c r="G169" s="15" t="str">
        <v>states</v>
      </c>
      <c r="H169" s="15" t="str">
        <v>状态</v>
      </c>
      <c r="I169" s="15" t="str">
        <v>str</v>
      </c>
      <c r="L169" s="16">
        <v>1</v>
      </c>
    </row>
    <row r="170" spans="7:12">
      <c r="G170" s="15" t="str">
        <v>states</v>
      </c>
      <c r="H170" s="15" t="str">
        <v>状态</v>
      </c>
      <c r="I170" s="15" t="str">
        <v>str</v>
      </c>
      <c r="L170" s="16">
        <v>1</v>
      </c>
    </row>
    <row r="171" spans="1:12">
      <c r="A171" s="15" t="str">
        <v>车控功能</v>
      </c>
      <c r="B171" s="15" t="str">
        <v>空调</v>
      </c>
      <c r="C171" s="15" t="str">
        <v>vehicle_control_0014</v>
      </c>
      <c r="F171" s="15" t="str">
        <v>空调风向模式</v>
      </c>
      <c r="G171" s="15" t="str">
        <v>switch</v>
      </c>
      <c r="H171" s="15" t="str">
        <v>模式选项</v>
      </c>
      <c r="I171" s="15" t="str">
        <v>enum</v>
      </c>
      <c r="J171" s="15" t="str">
        <v>吹头，吹脚，吹脸，吹头吹脚，吹玻璃，吹头吹玻璃，吹头吹脚吹玻璃，吹脚吹玻璃</v>
      </c>
      <c r="L171" s="16">
        <v>1</v>
      </c>
    </row>
    <row r="172" spans="7:12">
      <c r="G172" s="15" t="str">
        <v>position</v>
      </c>
      <c r="H172" s="15" t="str">
        <v>位置</v>
      </c>
      <c r="I172" s="15" t="str">
        <v>str</v>
      </c>
      <c r="K172" s="16">
        <v>1</v>
      </c>
      <c r="L172" s="16">
        <v>1</v>
      </c>
    </row>
    <row r="173" spans="1:12">
      <c r="A173" s="15" t="str">
        <v>车控功能</v>
      </c>
      <c r="B173" s="15" t="str">
        <v>空调</v>
      </c>
      <c r="C173" s="15" t="str">
        <v>vehicle_control_0015</v>
      </c>
      <c r="F173" s="15" t="str">
        <v>空调循环模式</v>
      </c>
      <c r="G173" s="15" t="str">
        <v>switch</v>
      </c>
      <c r="H173" s="15" t="str">
        <v>模式选项</v>
      </c>
      <c r="I173" s="15" t="str">
        <v>enum</v>
      </c>
      <c r="J173" s="15" t="str">
        <v>内循环，外循环，自动循环</v>
      </c>
      <c r="L173" s="16">
        <v>1</v>
      </c>
    </row>
    <row r="174" spans="1:12">
      <c r="A174" s="15" t="str">
        <v>车控功能</v>
      </c>
      <c r="B174" s="15" t="str">
        <v>空调</v>
      </c>
      <c r="C174" s="15" t="str">
        <v>vehicle_control_0016</v>
      </c>
      <c r="F174" s="15" t="str">
        <v>空调制冷开关状态</v>
      </c>
      <c r="G174" s="15" t="str">
        <v>switch</v>
      </c>
      <c r="H174" s="15" t="str">
        <v>开关</v>
      </c>
      <c r="I174" s="15" t="str">
        <v>enum</v>
      </c>
      <c r="J174" s="15" t="str">
        <v>开启，关闭</v>
      </c>
      <c r="L174" s="16">
        <v>1</v>
      </c>
    </row>
    <row r="175" spans="1:12">
      <c r="A175" s="15" t="str">
        <v>车控功能</v>
      </c>
      <c r="B175" s="15" t="str">
        <v>空调</v>
      </c>
      <c r="C175" s="15" t="str">
        <v>vehicle_control_0017</v>
      </c>
      <c r="F175" s="15" t="str">
        <v>除霜除雾开关状态</v>
      </c>
      <c r="G175" s="15" t="str">
        <v>switch</v>
      </c>
      <c r="H175" s="15" t="str">
        <v>开关</v>
      </c>
      <c r="I175" s="15" t="str">
        <v>enum</v>
      </c>
      <c r="J175" s="15" t="str">
        <v>开启，关闭</v>
      </c>
      <c r="L175" s="16">
        <v>1</v>
      </c>
    </row>
    <row r="176" spans="1:12">
      <c r="A176" s="15" t="str">
        <v>车控功能</v>
      </c>
      <c r="B176" s="15" t="str">
        <v>空调</v>
      </c>
      <c r="C176" s="15" t="str">
        <v>vehicle_control_0018</v>
      </c>
      <c r="F176" s="15" t="str">
        <v>空气净化开关状态</v>
      </c>
      <c r="G176" s="15" t="str">
        <v>switch</v>
      </c>
      <c r="H176" s="15" t="str">
        <v>开关</v>
      </c>
      <c r="I176" s="15" t="str">
        <v>enum</v>
      </c>
      <c r="J176" s="15" t="str">
        <v>开启，关闭</v>
      </c>
      <c r="L176" s="16">
        <v>1</v>
      </c>
    </row>
    <row r="177" spans="1:12">
      <c r="A177" s="15" t="str">
        <v>车控功能</v>
      </c>
      <c r="B177" s="15" t="str">
        <v>空调</v>
      </c>
      <c r="C177" s="15" t="str">
        <v>vehicle_control_0019</v>
      </c>
      <c r="F177" s="15" t="str">
        <v>车内PM2.5空气质量 </v>
      </c>
      <c r="G177" s="15" t="str">
        <v>states</v>
      </c>
      <c r="H177" s="15" t="str">
        <v>状态</v>
      </c>
      <c r="I177" s="15" t="str">
        <v>str</v>
      </c>
      <c r="L177" s="16">
        <v>1</v>
      </c>
    </row>
    <row r="178" spans="1:12">
      <c r="A178" s="15" t="str">
        <v>车控功能</v>
      </c>
      <c r="B178" s="15" t="str">
        <v>空调</v>
      </c>
      <c r="C178" s="15" t="str">
        <v>vehicle_control_0020</v>
      </c>
      <c r="F178" s="15" t="str">
        <v>车内CO2信息</v>
      </c>
      <c r="G178" s="15" t="str">
        <v>states</v>
      </c>
      <c r="H178" s="15" t="str">
        <v>状态</v>
      </c>
      <c r="I178" s="15" t="str">
        <v>str</v>
      </c>
      <c r="L178" s="16">
        <v>1</v>
      </c>
    </row>
    <row r="179" spans="1:12">
      <c r="A179" s="15" t="str">
        <v>车控功能</v>
      </c>
      <c r="B179" s="15" t="str">
        <v>空调</v>
      </c>
      <c r="C179" s="15" t="str">
        <v>vehicle_control_0021</v>
      </c>
      <c r="F179" s="15" t="str">
        <v>车内外温度状态</v>
      </c>
      <c r="G179" s="15" t="str">
        <v>temperature</v>
      </c>
      <c r="H179" s="15" t="str">
        <v>温度</v>
      </c>
      <c r="I179" s="15" t="str">
        <v>str</v>
      </c>
      <c r="L179" s="16">
        <v>1</v>
      </c>
    </row>
    <row r="180" spans="7:12">
      <c r="G180" s="15" t="str">
        <v>position</v>
      </c>
      <c r="H180" s="15" t="str">
        <v>位置</v>
      </c>
      <c r="I180" s="15" t="str">
        <v>enum</v>
      </c>
      <c r="J180" s="17" t="str">
        <v>车内，车外</v>
      </c>
      <c r="K180" s="16">
        <v>1</v>
      </c>
      <c r="L180" s="16">
        <v>1</v>
      </c>
    </row>
    <row r="181" spans="1:12">
      <c r="A181" s="15" t="str">
        <v>车控功能</v>
      </c>
      <c r="B181" s="15" t="str">
        <v>座椅系统及设置</v>
      </c>
      <c r="C181" s="15" t="str">
        <v>vehicle_control_0022</v>
      </c>
      <c r="F181" s="15" t="str">
        <v>座椅位置状态</v>
      </c>
      <c r="G181" s="15" t="str">
        <v>position</v>
      </c>
      <c r="H181" s="15" t="str">
        <v>位置</v>
      </c>
      <c r="I181" s="15" t="str">
        <v>enum</v>
      </c>
      <c r="J181" s="15" t="str">
        <v>主驾，副驾</v>
      </c>
      <c r="K181" s="16">
        <v>1</v>
      </c>
      <c r="L181" s="16">
        <v>1</v>
      </c>
    </row>
    <row r="182" spans="7:12">
      <c r="G182" s="15" t="str">
        <v>horizontal_movement</v>
      </c>
      <c r="H182" s="15" t="str">
        <v>水平位置</v>
      </c>
      <c r="I182" s="15" t="str">
        <v>str</v>
      </c>
      <c r="L182" s="16">
        <v>1</v>
      </c>
    </row>
    <row r="183" spans="7:12">
      <c r="G183" s="15" t="str">
        <v>rotary_movement</v>
      </c>
      <c r="H183" s="15" t="str">
        <v>靠背位置</v>
      </c>
      <c r="I183" s="15" t="str">
        <v>str</v>
      </c>
      <c r="L183" s="16">
        <v>1</v>
      </c>
    </row>
    <row r="184" spans="7:12">
      <c r="G184" s="15" t="str">
        <v>vertical_movement</v>
      </c>
      <c r="H184" s="15" t="str">
        <v>高度位置</v>
      </c>
      <c r="I184" s="15" t="str">
        <v>str</v>
      </c>
      <c r="L184" s="16">
        <v>1</v>
      </c>
    </row>
    <row r="185" spans="1:12">
      <c r="A185" s="15" t="str">
        <v>车控功能</v>
      </c>
      <c r="B185" s="15" t="str">
        <v>座椅系统及设置</v>
      </c>
      <c r="C185" s="15" t="str">
        <v>vehicle_control_0023</v>
      </c>
      <c r="F185" s="15" t="str">
        <v>座椅通风开关状态</v>
      </c>
      <c r="G185" s="15" t="str">
        <v>states</v>
      </c>
      <c r="H185" s="15" t="str">
        <v>状态</v>
      </c>
      <c r="I185" s="15" t="str">
        <v>str</v>
      </c>
      <c r="L185" s="16">
        <v>1</v>
      </c>
    </row>
    <row r="186" spans="7:12">
      <c r="G186" s="15" t="str">
        <v>position</v>
      </c>
      <c r="H186" s="15" t="str">
        <v>位置</v>
      </c>
      <c r="I186" s="15" t="str">
        <v>str</v>
      </c>
      <c r="K186" s="16">
        <v>1</v>
      </c>
      <c r="L186" s="16">
        <v>1</v>
      </c>
    </row>
    <row r="187" spans="1:12">
      <c r="A187" s="15" t="str">
        <v>车控功能</v>
      </c>
      <c r="B187" s="15" t="str">
        <v>座椅系统及设置</v>
      </c>
      <c r="C187" s="15" t="str">
        <v>vehicle_control_0024</v>
      </c>
      <c r="F187" s="15" t="str">
        <v>座椅加热状态</v>
      </c>
      <c r="G187" s="15" t="str">
        <v>states</v>
      </c>
      <c r="H187" s="15" t="str">
        <v>状态</v>
      </c>
      <c r="I187" s="15" t="str">
        <v>str</v>
      </c>
      <c r="L187" s="16">
        <v>1</v>
      </c>
    </row>
    <row r="188" spans="7:12">
      <c r="G188" s="15" t="str">
        <v>position</v>
      </c>
      <c r="H188" s="15" t="str">
        <v>位置</v>
      </c>
      <c r="I188" s="15" t="str">
        <v>str</v>
      </c>
      <c r="K188" s="16">
        <v>1</v>
      </c>
      <c r="L188" s="16">
        <v>1</v>
      </c>
    </row>
    <row r="189" spans="1:12">
      <c r="A189" s="15" t="str">
        <v>车控功能</v>
      </c>
      <c r="B189" s="15" t="str">
        <v>座椅系统及设置</v>
      </c>
      <c r="C189" s="15" t="str">
        <v>vehicle_control_0025</v>
      </c>
      <c r="F189" s="15" t="str">
        <v>座椅按摩模式</v>
      </c>
      <c r="G189" s="15" t="str">
        <v>states</v>
      </c>
      <c r="H189" s="15" t="str">
        <v>状态</v>
      </c>
      <c r="I189" s="15" t="str">
        <v>enum</v>
      </c>
      <c r="J189" s="15" t="str">
        <v>关闭，1档，2档，3档</v>
      </c>
      <c r="L189" s="16">
        <v>1</v>
      </c>
    </row>
    <row r="190" spans="7:12">
      <c r="G190" s="15" t="str">
        <v>position</v>
      </c>
      <c r="H190" s="15" t="str">
        <v>位置</v>
      </c>
      <c r="I190" s="15" t="str">
        <v>str</v>
      </c>
      <c r="K190" s="16">
        <v>1</v>
      </c>
      <c r="L190" s="16">
        <v>1</v>
      </c>
    </row>
    <row r="191" spans="7:12">
      <c r="G191" s="15" t="str">
        <v>mode</v>
      </c>
      <c r="H191" s="15" t="str">
        <v>模式选项</v>
      </c>
      <c r="I191" s="15" t="str">
        <v>enum</v>
      </c>
      <c r="J191" s="15" t="str">
        <v>向上舒展，向下舒展，脉冲舒展，肩部放松，腰部放松</v>
      </c>
      <c r="L191" s="16">
        <v>1</v>
      </c>
    </row>
    <row r="192" spans="1:12">
      <c r="A192" s="15" t="str">
        <v>车控功能</v>
      </c>
      <c r="B192" s="15" t="str">
        <v>座椅系统及设置</v>
      </c>
      <c r="C192" s="15" t="str">
        <v>vehicle_control_0026</v>
      </c>
      <c r="F192" s="15" t="str">
        <v>安全带插扣状态</v>
      </c>
      <c r="G192" s="15" t="str">
        <v>status</v>
      </c>
      <c r="H192" s="15" t="str">
        <v>插扣状态</v>
      </c>
      <c r="I192" s="15" t="str">
        <v>enum</v>
      </c>
      <c r="J192" s="15" t="str">
        <v>扣好，未扣好</v>
      </c>
      <c r="L192" s="24">
        <v>1</v>
      </c>
    </row>
    <row r="193" spans="7:12">
      <c r="G193" s="15" t="str">
        <v>position</v>
      </c>
      <c r="H193" s="15" t="str">
        <v>位置</v>
      </c>
      <c r="I193" s="15" t="str">
        <v>str</v>
      </c>
      <c r="K193" s="16">
        <v>1</v>
      </c>
      <c r="L193" s="16">
        <v>1</v>
      </c>
    </row>
    <row r="194" spans="1:12">
      <c r="A194" s="15" t="str">
        <v>车控功能</v>
      </c>
      <c r="B194" s="15" t="str">
        <v>门窗类</v>
      </c>
      <c r="C194" s="15" t="str">
        <v>vehicle_control_0027</v>
      </c>
      <c r="F194" s="15" t="str">
        <v>车窗状态</v>
      </c>
      <c r="G194" s="15" t="str">
        <v>switch</v>
      </c>
      <c r="H194" s="15" t="str">
        <v>开关</v>
      </c>
      <c r="I194" s="15" t="str">
        <v>enum</v>
      </c>
      <c r="J194" s="15" t="str">
        <v>开启，关闭</v>
      </c>
      <c r="L194" s="16">
        <v>1</v>
      </c>
    </row>
    <row r="195" spans="7:12">
      <c r="G195" s="15" t="str">
        <v>degree</v>
      </c>
      <c r="H195" s="15" t="str">
        <v>开启程度</v>
      </c>
      <c r="I195" s="15" t="str">
        <v>str</v>
      </c>
      <c r="L195" s="16">
        <v>1</v>
      </c>
    </row>
    <row r="196" spans="7:12">
      <c r="G196" s="15" t="str">
        <v>transparency</v>
      </c>
      <c r="H196" s="15" t="str">
        <v>透明度</v>
      </c>
      <c r="I196" s="15" t="str">
        <v>str</v>
      </c>
      <c r="L196" s="16">
        <v>1</v>
      </c>
    </row>
    <row r="197" spans="7:12">
      <c r="G197" s="15" t="str">
        <v>position</v>
      </c>
      <c r="H197" s="15" t="str">
        <v>位置</v>
      </c>
      <c r="I197" s="15" t="str">
        <v>enum</v>
      </c>
      <c r="J197" s="15" t="str">
        <v>主驾，副驾，左后，右后，天窗</v>
      </c>
      <c r="K197" s="16">
        <v>1</v>
      </c>
      <c r="L197" s="16">
        <v>1</v>
      </c>
    </row>
    <row r="198" spans="1:12">
      <c r="A198" s="15" t="str">
        <v>车控功能</v>
      </c>
      <c r="B198" s="15" t="str">
        <v>门窗类</v>
      </c>
      <c r="C198" s="15" t="str">
        <v>vehicle_control_0028</v>
      </c>
      <c r="F198" s="15" t="str">
        <v>车门状态</v>
      </c>
      <c r="G198" s="15" t="str">
        <v>switch</v>
      </c>
      <c r="H198" s="15" t="str">
        <v>开关</v>
      </c>
      <c r="I198" s="15" t="str">
        <v>enum</v>
      </c>
      <c r="J198" s="15" t="str">
        <v>开启，关闭</v>
      </c>
      <c r="L198" s="16">
        <v>1</v>
      </c>
    </row>
    <row r="199" spans="7:12">
      <c r="G199" s="15" t="str">
        <v>degree</v>
      </c>
      <c r="H199" s="15" t="str">
        <v>开启程度</v>
      </c>
      <c r="I199" s="15" t="str">
        <v>str</v>
      </c>
      <c r="L199" s="16">
        <v>1</v>
      </c>
    </row>
    <row r="200" spans="7:12">
      <c r="G200" s="15" t="str">
        <v>position</v>
      </c>
      <c r="H200" s="15" t="str">
        <v>位置</v>
      </c>
      <c r="I200" s="15" t="str">
        <v>enum</v>
      </c>
      <c r="J200" s="15" t="str">
        <v>主驾，副驾，左后，右后，尾门</v>
      </c>
      <c r="K200" s="16">
        <v>1</v>
      </c>
      <c r="L200" s="16">
        <v>1</v>
      </c>
    </row>
    <row r="201" spans="1:12">
      <c r="A201" s="15" t="str">
        <v>车控功能</v>
      </c>
      <c r="B201" s="15" t="str">
        <v>门窗类</v>
      </c>
      <c r="C201" s="15" t="str">
        <v>vehicle_control_0029</v>
      </c>
      <c r="F201" s="15" t="str">
        <v>车门锁状态</v>
      </c>
      <c r="G201" s="15" t="str">
        <v>switch</v>
      </c>
      <c r="H201" s="15" t="str">
        <v>开关</v>
      </c>
      <c r="I201" s="15" t="str">
        <v>enum</v>
      </c>
      <c r="J201" s="15" t="str">
        <v>开启，关闭</v>
      </c>
      <c r="L201" s="16">
        <v>1</v>
      </c>
    </row>
    <row r="202" spans="7:12">
      <c r="G202" s="15" t="str">
        <v>position</v>
      </c>
      <c r="H202" s="15" t="str">
        <v>位置</v>
      </c>
      <c r="I202" s="15" t="str">
        <v>enum</v>
      </c>
      <c r="J202" s="15" t="str">
        <v>主驾，副驾，左后，右后，整车</v>
      </c>
      <c r="K202" s="16">
        <v>1</v>
      </c>
      <c r="L202" s="16">
        <v>1</v>
      </c>
    </row>
    <row r="203" spans="1:12">
      <c r="A203" s="15" t="str">
        <v>车控功能</v>
      </c>
      <c r="B203" s="15" t="str">
        <v>门窗类</v>
      </c>
      <c r="C203" s="15" t="str">
        <v>vehicle_control_0030</v>
      </c>
      <c r="F203" s="15" t="str">
        <v>儿童锁状态</v>
      </c>
      <c r="G203" s="15" t="str">
        <v>switch</v>
      </c>
      <c r="H203" s="15" t="str">
        <v>开关</v>
      </c>
      <c r="I203" s="15" t="str">
        <v>enum</v>
      </c>
      <c r="J203" s="15" t="str">
        <v>开启，关闭</v>
      </c>
      <c r="L203" s="16">
        <v>1</v>
      </c>
    </row>
    <row r="204" spans="7:12">
      <c r="G204" s="15" t="str">
        <v>position</v>
      </c>
      <c r="H204" s="15" t="str">
        <v>位置</v>
      </c>
      <c r="I204" s="15" t="str">
        <v>enum</v>
      </c>
      <c r="J204" s="15" t="str">
        <v>左后，右后，全车</v>
      </c>
      <c r="K204" s="16">
        <v>1</v>
      </c>
      <c r="L204" s="16">
        <v>1</v>
      </c>
    </row>
    <row r="205" spans="1:12">
      <c r="A205" s="15" t="str">
        <v>车控功能</v>
      </c>
      <c r="B205" s="15" t="str">
        <v>后视镜类</v>
      </c>
      <c r="C205" s="15" t="str">
        <v>vehicle_control_0031</v>
      </c>
      <c r="F205" s="15" t="str">
        <v>后视镜状态</v>
      </c>
      <c r="G205" s="15" t="str">
        <v>fold_switch</v>
      </c>
      <c r="H205" s="15" t="str">
        <v>折叠状态</v>
      </c>
      <c r="I205" s="15" t="str">
        <v>enum</v>
      </c>
      <c r="J205" s="15" t="str">
        <v>折叠，未折叠</v>
      </c>
      <c r="L205" s="16">
        <v>1</v>
      </c>
    </row>
    <row r="206" spans="7:12">
      <c r="G206" s="15" t="str">
        <v>heat_status</v>
      </c>
      <c r="H206" s="15" t="str">
        <v>加热状态</v>
      </c>
      <c r="I206" s="15" t="str">
        <v>enum</v>
      </c>
      <c r="J206" s="15" t="str">
        <v>开启，关闭</v>
      </c>
      <c r="L206" s="16">
        <v>1</v>
      </c>
    </row>
    <row r="207" spans="1:10">
      <c r="A207" s="15" t="str">
        <v>车控功能</v>
      </c>
      <c r="B207" s="15" t="str">
        <v>雨刮类</v>
      </c>
      <c r="C207" s="15" t="str">
        <v>vehicle_control_0032</v>
      </c>
      <c r="F207" s="15" t="str">
        <v>雨刮状态</v>
      </c>
      <c r="G207" s="15" t="str">
        <v>states</v>
      </c>
      <c r="H207" s="15" t="str">
        <v>状态</v>
      </c>
      <c r="I207" s="15" t="str">
        <v>enum</v>
      </c>
      <c r="J207" s="15" t="str">
        <v>关闭，1档，2档，3档</v>
      </c>
    </row>
    <row r="208" spans="1:12">
      <c r="A208" s="15" t="str">
        <v>车控功能</v>
      </c>
      <c r="B208" s="15" t="str">
        <v>方向盘类</v>
      </c>
      <c r="C208" s="15" t="str">
        <v>vehicle_control_0033</v>
      </c>
      <c r="F208" s="15" t="str">
        <v>方向盘加热状态</v>
      </c>
      <c r="G208" s="15" t="str">
        <v>states</v>
      </c>
      <c r="H208" s="15" t="str">
        <v>状态</v>
      </c>
      <c r="I208" s="15" t="str">
        <v>enum</v>
      </c>
      <c r="J208" s="15" t="str">
        <v>关闭，1档，2档，3档</v>
      </c>
      <c r="L208" s="16">
        <v>1</v>
      </c>
    </row>
    <row r="209" spans="1:10">
      <c r="A209" s="15" t="str">
        <v>车控功能</v>
      </c>
      <c r="B209" s="15" t="str">
        <v>香氛类</v>
      </c>
      <c r="C209" s="15" t="str">
        <v>vehicle_control_0034</v>
      </c>
      <c r="F209" s="15" t="str">
        <v>香氛状态</v>
      </c>
      <c r="G209" s="15" t="str">
        <v>states</v>
      </c>
      <c r="H209" s="15" t="str">
        <v>状态</v>
      </c>
      <c r="I209" s="15" t="str">
        <v>enum</v>
      </c>
      <c r="J209" s="15" t="str">
        <v>关闭，1档，2档，3档</v>
      </c>
    </row>
    <row r="210" spans="1:12">
      <c r="A210" s="15" t="str">
        <v>车控功能</v>
      </c>
      <c r="B210" s="15" t="str">
        <v>多媒体控制</v>
      </c>
      <c r="C210" s="15" t="str">
        <v>vehicle_control_0035</v>
      </c>
      <c r="F210" s="15" t="str">
        <v>音量状态</v>
      </c>
      <c r="G210" s="15" t="str">
        <v>object</v>
      </c>
      <c r="H210" s="15" t="str">
        <v>控制对象名称</v>
      </c>
      <c r="I210" s="15" t="str">
        <v>enum</v>
      </c>
      <c r="J210" s="15" t="str">
        <v>导航，媒体，语音，电话</v>
      </c>
      <c r="K210" s="16">
        <v>1</v>
      </c>
      <c r="L210" s="16">
        <v>1</v>
      </c>
    </row>
    <row r="211" spans="7:12">
      <c r="G211" s="15" t="str">
        <v>states</v>
      </c>
      <c r="H211" s="15" t="str">
        <v>状态</v>
      </c>
      <c r="I211" s="15" t="str">
        <v>str</v>
      </c>
      <c r="L211" s="16">
        <v>1</v>
      </c>
    </row>
    <row r="212" spans="7:12">
      <c r="G212" s="15" t="str">
        <v>states</v>
      </c>
      <c r="H212" s="15" t="str">
        <v>状态</v>
      </c>
      <c r="I212" s="15" t="str">
        <v>enum</v>
      </c>
      <c r="J212" s="15" t="str">
        <v>最大，最小，高，中，低</v>
      </c>
      <c r="L212" s="16">
        <v>1</v>
      </c>
    </row>
    <row r="213" spans="1:10">
      <c r="A213" s="15" t="str">
        <v>车控功能</v>
      </c>
      <c r="B213" s="15" t="str">
        <v>智能驾驶控制</v>
      </c>
      <c r="C213" s="15" t="str">
        <v>vehicle_control_0036</v>
      </c>
      <c r="F213" s="15" t="str">
        <v>车道保持开关状态</v>
      </c>
      <c r="G213" s="15" t="str">
        <v>switch</v>
      </c>
      <c r="H213" s="15" t="str">
        <v>开关</v>
      </c>
      <c r="I213" s="15" t="str">
        <v>enum</v>
      </c>
      <c r="J213" s="15" t="str">
        <v>开启，关闭</v>
      </c>
    </row>
    <row r="214" spans="1:12">
      <c r="A214" s="15" t="str">
        <v>车控功能</v>
      </c>
      <c r="B214" s="15" t="str">
        <v>智能驾驶控制</v>
      </c>
      <c r="C214" s="15" t="str">
        <v>vehicle_control_0037</v>
      </c>
      <c r="F214" s="15" t="str">
        <v>领航辅助开关状态</v>
      </c>
      <c r="G214" s="15" t="str">
        <v>switch</v>
      </c>
      <c r="H214" s="15" t="str">
        <v>开关</v>
      </c>
      <c r="I214" s="15" t="str">
        <v>enum</v>
      </c>
      <c r="J214" s="15" t="str">
        <v>开启，关闭</v>
      </c>
      <c r="L214" s="16">
        <v>1</v>
      </c>
    </row>
    <row r="215" spans="1:12">
      <c r="A215" s="15" t="str">
        <v>车控功能</v>
      </c>
      <c r="B215" s="15" t="str">
        <v>智能驾驶控制</v>
      </c>
      <c r="C215" s="15" t="str">
        <v>vehicle_control_0038</v>
      </c>
      <c r="F215" s="15" t="str">
        <v>跟车距离档位</v>
      </c>
      <c r="G215" s="15" t="str">
        <v>distance</v>
      </c>
      <c r="H215" s="15" t="str">
        <v>距离</v>
      </c>
      <c r="I215" s="15" t="str">
        <v>enum</v>
      </c>
      <c r="J215" s="15" t="str">
        <v>1档，2档，3档，4档，5档</v>
      </c>
      <c r="L215" s="16">
        <v>1</v>
      </c>
    </row>
    <row r="216" spans="1:9">
      <c r="A216" s="15" t="str">
        <v>车控功能</v>
      </c>
      <c r="B216" s="15" t="str">
        <v>智能驾驶控制</v>
      </c>
      <c r="C216" s="15" t="str">
        <v>vehicle_control_0039</v>
      </c>
      <c r="F216" s="15" t="str">
        <v>车速上限信息</v>
      </c>
      <c r="G216" s="15" t="str">
        <v>velocity</v>
      </c>
      <c r="H216" s="15" t="str">
        <v>速度</v>
      </c>
      <c r="I216" s="15" t="str">
        <v>str</v>
      </c>
    </row>
    <row r="217" spans="1:12">
      <c r="A217" s="15" t="str">
        <v>车控功能</v>
      </c>
      <c r="B217" s="15" t="str">
        <v>仪表及其它辅助系统</v>
      </c>
      <c r="C217" s="15" t="str">
        <v>vehicle_control_0040</v>
      </c>
      <c r="F217" s="15" t="str">
        <v>车机时间</v>
      </c>
      <c r="G217" s="15" t="str">
        <v>date</v>
      </c>
      <c r="H217" s="15" t="str">
        <v>时间</v>
      </c>
      <c r="I217" s="15" t="str">
        <v>str</v>
      </c>
      <c r="L217" s="19">
        <v>1</v>
      </c>
    </row>
    <row r="218" spans="1:10">
      <c r="A218" s="15" t="str">
        <v>车控功能</v>
      </c>
      <c r="B218" s="15" t="str">
        <v>仪表及其它辅助系统</v>
      </c>
      <c r="C218" s="15" t="str">
        <v>vehicle_control_0041</v>
      </c>
      <c r="F218" s="15" t="str">
        <v>空调负离子开关</v>
      </c>
      <c r="G218" s="15" t="str">
        <v>switch</v>
      </c>
      <c r="H218" s="15" t="str">
        <v>开关</v>
      </c>
      <c r="I218" s="15" t="str">
        <v>enum</v>
      </c>
      <c r="J218" s="15" t="str">
        <v>开启，关闭</v>
      </c>
    </row>
    <row r="219" spans="1:12">
      <c r="A219" s="15" t="str">
        <v>车控功能</v>
      </c>
      <c r="B219" s="15" t="str">
        <v>仪表及其它辅助系统</v>
      </c>
      <c r="C219" s="15" t="str">
        <v>vehicle_control_0042</v>
      </c>
      <c r="F219" s="15" t="str">
        <v>行驶里程</v>
      </c>
      <c r="G219" s="15" t="str">
        <v>object</v>
      </c>
      <c r="H219" s="15" t="str">
        <v>里程类型</v>
      </c>
      <c r="I219" s="15" t="str">
        <v>enum</v>
      </c>
      <c r="J219" s="15" t="str">
        <v>总里程，本次行驶里程</v>
      </c>
      <c r="K219" s="16">
        <v>1</v>
      </c>
      <c r="L219" s="16">
        <v>1</v>
      </c>
    </row>
    <row r="220" spans="7:12">
      <c r="G220" s="15" t="str">
        <v>distance</v>
      </c>
      <c r="H220" s="15" t="str">
        <v>里程</v>
      </c>
      <c r="I220" s="15" t="str">
        <v>str</v>
      </c>
      <c r="L220" s="16">
        <v>1</v>
      </c>
    </row>
    <row r="221" spans="1:10">
      <c r="A221" s="15" t="str">
        <v>车控功能</v>
      </c>
      <c r="B221" s="15" t="str">
        <v>场景与模式</v>
      </c>
      <c r="C221" s="15" t="str">
        <v>vehicle_control_0043</v>
      </c>
      <c r="F221" s="15" t="str">
        <v>车辆使用模式</v>
      </c>
      <c r="G221" s="15" t="str">
        <v>states</v>
      </c>
      <c r="H221" s="15" t="str">
        <v>模式</v>
      </c>
      <c r="I221" s="15" t="str">
        <v>enum</v>
      </c>
      <c r="J221" s="15" t="str">
        <v>洗车模式，拖车模式，寻车模式，维修模式，露营模式，影院模式，关怀模式，露营模式，隐私模式</v>
      </c>
    </row>
    <row r="222" spans="1:11">
      <c r="A222" s="15" t="str">
        <v>车控功能</v>
      </c>
      <c r="B222" s="15" t="str">
        <v>屏幕类</v>
      </c>
      <c r="C222" s="15" t="str">
        <v>vehicle_control_0044</v>
      </c>
      <c r="F222" s="15" t="str">
        <v>屏幕状态</v>
      </c>
      <c r="G222" s="15" t="str">
        <v>position</v>
      </c>
      <c r="H222" s="15" t="str">
        <v>位置</v>
      </c>
      <c r="I222" s="17" t="str">
        <v>enum</v>
      </c>
      <c r="J222" s="15" t="str">
        <v>中控屏、副驾屏、仪表、后排屏、左后屏、右后屏、前排屏、全部屏、PAD、语音屏、后排吸顶屏</v>
      </c>
      <c r="K222" s="27">
        <v>1</v>
      </c>
    </row>
    <row r="223" spans="7:9">
      <c r="G223" s="15" t="str">
        <v>states</v>
      </c>
      <c r="H223" s="15" t="str">
        <v>亮度</v>
      </c>
      <c r="I223" s="15" t="str">
        <v>str</v>
      </c>
    </row>
    <row r="224" spans="1:12">
      <c r="A224" s="15" t="str">
        <v>道路导航</v>
      </c>
      <c r="B224" s="15" t="str">
        <v>状态</v>
      </c>
      <c r="C224" s="15" t="str">
        <v>navigation_0001</v>
      </c>
      <c r="F224" s="15" t="str">
        <v>导航状态</v>
      </c>
      <c r="G224" s="15" t="str">
        <v>status</v>
      </c>
      <c r="H224" s="15" t="str">
        <v>导航状态</v>
      </c>
      <c r="I224" s="20" t="str">
        <v>enum</v>
      </c>
      <c r="J224" s="15" t="str">
        <v>未发起导航，导航中，巡航中</v>
      </c>
      <c r="L224" s="16">
        <v>1</v>
      </c>
    </row>
    <row r="225" spans="1:12">
      <c r="A225" s="15" t="str">
        <v>道路导航</v>
      </c>
      <c r="B225" s="15" t="str">
        <v>位置</v>
      </c>
      <c r="C225" s="15" t="str">
        <v>navigation_0002</v>
      </c>
      <c r="F225" s="15" t="str">
        <v>当前位置</v>
      </c>
      <c r="G225" s="15" t="str">
        <v> address</v>
      </c>
      <c r="H225" s="15" t="str">
        <v>地址</v>
      </c>
      <c r="I225" s="15" t="str">
        <v>str</v>
      </c>
      <c r="L225" s="16">
        <v>1</v>
      </c>
    </row>
    <row r="226" spans="1:10">
      <c r="A226" s="15" t="str">
        <v>道路导航</v>
      </c>
      <c r="B226" s="15" t="str">
        <v>位置</v>
      </c>
      <c r="C226" s="15" t="str">
        <v>navigation_0003</v>
      </c>
      <c r="F226" s="15" t="str">
        <v>收藏地址位置</v>
      </c>
      <c r="G226" s="15" t="str">
        <v>type</v>
      </c>
      <c r="H226" s="15" t="str">
        <v>类型</v>
      </c>
      <c r="I226" s="15" t="str">
        <v>enum</v>
      </c>
      <c r="J226" s="15" t="str">
        <v>家，公司</v>
      </c>
    </row>
    <row r="227" spans="7:9">
      <c r="G227" s="15" t="str">
        <v>address</v>
      </c>
      <c r="H227" s="15" t="str">
        <v>地址</v>
      </c>
      <c r="I227" s="15" t="str">
        <v>str</v>
      </c>
    </row>
    <row r="228" spans="1:9">
      <c r="A228" s="15" t="str">
        <v>道路导航</v>
      </c>
      <c r="B228" s="15" t="str">
        <v>位置</v>
      </c>
      <c r="C228" s="15" t="str">
        <v>navigation_0004</v>
      </c>
      <c r="F228" s="15" t="str">
        <v>目的地位置</v>
      </c>
      <c r="G228" s="15" t="str">
        <v>address</v>
      </c>
      <c r="H228" s="15" t="str">
        <v>地址</v>
      </c>
      <c r="I228" s="15" t="str">
        <v>str</v>
      </c>
    </row>
    <row r="229" spans="7:9">
      <c r="G229" s="15" t="str">
        <v>distance</v>
      </c>
      <c r="H229" s="15" t="str">
        <v>剩余距离</v>
      </c>
      <c r="I229" s="15" t="str">
        <v>str</v>
      </c>
    </row>
    <row r="230" spans="7:9">
      <c r="G230" s="15" t="str">
        <v>duration</v>
      </c>
      <c r="H230" s="15" t="str">
        <v>剩余时长</v>
      </c>
      <c r="I230" s="15" t="str">
        <v>str</v>
      </c>
    </row>
    <row r="231" spans="7:9">
      <c r="G231" s="15" t="str">
        <v>capacity</v>
      </c>
      <c r="H231" s="15" t="str">
        <v>剩余电量</v>
      </c>
      <c r="I231" s="15" t="str">
        <v>str</v>
      </c>
    </row>
    <row r="232" spans="7:9">
      <c r="G232" s="15" t="str">
        <v>time</v>
      </c>
      <c r="H232" s="15" t="str">
        <v>到达时间</v>
      </c>
      <c r="I232" s="15" t="str">
        <v>str</v>
      </c>
    </row>
    <row r="233" spans="1:9">
      <c r="A233" s="15" t="str">
        <v>道路导航</v>
      </c>
      <c r="B233" s="15" t="str">
        <v>位置</v>
      </c>
      <c r="C233" s="15" t="str">
        <v>navigation_0007</v>
      </c>
      <c r="F233" s="15" t="str">
        <v>途经点位置</v>
      </c>
      <c r="G233" s="15" t="str">
        <v>address</v>
      </c>
      <c r="H233" s="15" t="str">
        <v>地址</v>
      </c>
      <c r="I233" s="15" t="str">
        <v>str</v>
      </c>
    </row>
    <row r="234" spans="7:9">
      <c r="G234" s="15" t="str">
        <v>index</v>
      </c>
      <c r="H234" s="15" t="str">
        <v>途经点序号</v>
      </c>
      <c r="I234" s="15" t="str">
        <v>str</v>
      </c>
    </row>
    <row r="235" spans="7:9">
      <c r="G235" s="15" t="str">
        <v>distance</v>
      </c>
      <c r="H235" s="15" t="str">
        <v>剩余距离</v>
      </c>
      <c r="I235" s="15" t="str">
        <v>str</v>
      </c>
    </row>
    <row r="236" spans="7:9">
      <c r="G236" s="15" t="str">
        <v>duration</v>
      </c>
      <c r="H236" s="15" t="str">
        <v>剩余时长</v>
      </c>
      <c r="I236" s="15" t="str">
        <v>str</v>
      </c>
    </row>
    <row r="237" spans="7:9">
      <c r="G237" s="15" t="str">
        <v>capacity</v>
      </c>
      <c r="H237" s="15" t="str">
        <v>剩余电量</v>
      </c>
      <c r="I237" s="15" t="str">
        <v>str</v>
      </c>
    </row>
    <row r="238" spans="7:9">
      <c r="G238" s="15" t="str">
        <v>time</v>
      </c>
      <c r="H238" s="15" t="str">
        <v>到达时间</v>
      </c>
      <c r="I238" s="15" t="str">
        <v>str</v>
      </c>
    </row>
    <row r="239" spans="1:9">
      <c r="A239" s="15" t="str">
        <v>道路导航</v>
      </c>
      <c r="B239" s="15" t="str">
        <v>位置</v>
      </c>
      <c r="C239" s="15" t="str">
        <v>navigation_0008</v>
      </c>
      <c r="F239" s="15" t="str">
        <v>沿途服务区位置</v>
      </c>
      <c r="G239" s="15" t="str">
        <v>address</v>
      </c>
      <c r="H239" s="15" t="str">
        <v>地址</v>
      </c>
      <c r="I239" s="15" t="str">
        <v>str</v>
      </c>
    </row>
    <row r="240" spans="7:9">
      <c r="G240" s="15" t="str">
        <v>index</v>
      </c>
      <c r="H240" s="15" t="str">
        <v>沿途服务区序号</v>
      </c>
      <c r="I240" s="15" t="str">
        <v>str</v>
      </c>
    </row>
    <row r="241" spans="7:9">
      <c r="G241" s="15" t="str">
        <v>distance</v>
      </c>
      <c r="H241" s="15" t="str">
        <v>剩余距离</v>
      </c>
      <c r="I241" s="15" t="str">
        <v>str</v>
      </c>
    </row>
    <row r="242" spans="7:9">
      <c r="G242" s="15" t="str">
        <v>duration</v>
      </c>
      <c r="H242" s="15" t="str">
        <v>剩余时长</v>
      </c>
      <c r="I242" s="15" t="str">
        <v>str</v>
      </c>
    </row>
    <row r="243" spans="7:9">
      <c r="G243" s="15" t="str">
        <v>capacity</v>
      </c>
      <c r="H243" s="15" t="str">
        <v>剩余电量</v>
      </c>
      <c r="I243" s="15" t="str">
        <v>str</v>
      </c>
    </row>
    <row r="244" spans="7:9">
      <c r="G244" s="15" t="str">
        <v>time</v>
      </c>
      <c r="H244" s="15" t="str">
        <v>到达时间</v>
      </c>
      <c r="I244" s="15" t="str">
        <v>str</v>
      </c>
    </row>
    <row r="245" spans="1:9">
      <c r="A245" s="15" t="str">
        <v>道路导航</v>
      </c>
      <c r="B245" s="15" t="str">
        <v>路况</v>
      </c>
      <c r="C245" s="15" t="str">
        <v>navigation_0005</v>
      </c>
      <c r="F245" s="15" t="str">
        <v>当前拥堵情况</v>
      </c>
      <c r="G245" s="15" t="str">
        <v>road_condition</v>
      </c>
      <c r="H245" s="15" t="str">
        <v>路况</v>
      </c>
      <c r="I245" s="15" t="str">
        <v>str</v>
      </c>
    </row>
    <row r="246" spans="1:9">
      <c r="A246" s="15" t="str">
        <v>道路导航</v>
      </c>
      <c r="B246" s="15" t="str">
        <v>路况</v>
      </c>
      <c r="C246" s="15" t="str">
        <v>navigation_0006</v>
      </c>
      <c r="F246" s="15" t="str">
        <v>前方拥堵状态</v>
      </c>
      <c r="G246" s="15" t="str">
        <v>road_condition</v>
      </c>
      <c r="H246" s="15" t="str">
        <v>路况</v>
      </c>
      <c r="I246" s="15" t="str">
        <v>str</v>
      </c>
    </row>
    <row r="247" spans="1:12">
      <c r="A247" s="15" t="str">
        <v>媒体播放</v>
      </c>
      <c r="B247" s="15" t="str">
        <v>音频</v>
      </c>
      <c r="C247" s="15" t="str">
        <v>media_0001</v>
      </c>
      <c r="F247" s="15" t="str">
        <v>当前播放音频</v>
      </c>
      <c r="G247" s="15" t="str">
        <v>audio_type</v>
      </c>
      <c r="H247" s="15" t="str">
        <v>音频类型</v>
      </c>
      <c r="I247" s="15" t="str">
        <v>enum</v>
      </c>
      <c r="J247" s="15" t="str">
        <v>音乐，电台，有声节目</v>
      </c>
      <c r="L247" s="16">
        <v>1</v>
      </c>
    </row>
    <row r="248" spans="7:12">
      <c r="G248" s="15" t="str">
        <v>audio_name</v>
      </c>
      <c r="H248" s="15" t="str">
        <v>音频名称</v>
      </c>
      <c r="I248" s="15" t="str">
        <v>str</v>
      </c>
      <c r="L248" s="16">
        <v>1</v>
      </c>
    </row>
    <row r="249" spans="7:12">
      <c r="G249" s="15" t="str">
        <v>audio_artist</v>
      </c>
      <c r="H249" s="15" t="str">
        <v>音频作者</v>
      </c>
      <c r="I249" s="15" t="str">
        <v>str</v>
      </c>
      <c r="L249" s="16">
        <v>1</v>
      </c>
    </row>
    <row r="250" spans="7:12">
      <c r="G250" s="15" t="str">
        <v>app_name</v>
      </c>
      <c r="H250" s="15" t="str">
        <v>应用名称</v>
      </c>
      <c r="I250" s="15" t="str">
        <v>str</v>
      </c>
      <c r="J250" s="15" t="str">
        <v>QQ音乐，汽水音乐，网易云音乐，蓝牙音乐，USB音乐</v>
      </c>
      <c r="L250" s="16">
        <v>1</v>
      </c>
    </row>
    <row r="251" spans="7:12">
      <c r="G251" s="15" t="str">
        <v>album_name</v>
      </c>
      <c r="H251" s="15" t="str">
        <v>专辑名称</v>
      </c>
      <c r="I251" s="15" t="str">
        <v>str</v>
      </c>
      <c r="L251" s="16">
        <v>1</v>
      </c>
    </row>
    <row r="252" spans="1:12">
      <c r="A252" s="15" t="str">
        <v>媒体播放</v>
      </c>
      <c r="B252" s="15" t="str">
        <v>视频</v>
      </c>
      <c r="C252" s="15" t="str">
        <v>media_0002</v>
      </c>
      <c r="F252" s="15" t="str">
        <v>当前播放视频</v>
      </c>
      <c r="G252" s="15" t="str">
        <v>video_name</v>
      </c>
      <c r="H252" s="15" t="str">
        <v>视频名称</v>
      </c>
      <c r="I252" s="25" t="str">
        <v>str</v>
      </c>
      <c r="L252" s="16">
        <v>1</v>
      </c>
    </row>
    <row r="253" spans="7:12">
      <c r="G253" s="15" t="str">
        <v>video_type</v>
      </c>
      <c r="H253" s="26" t="str">
        <v>视频类型</v>
      </c>
      <c r="I253" s="15" t="str">
        <v>enum</v>
      </c>
      <c r="J253" s="26" t="str">
        <v>电视剧，电影，综艺，动画片，动漫，纪录片，其他，空</v>
      </c>
      <c r="L253" s="16">
        <v>1</v>
      </c>
    </row>
    <row r="254" spans="7:12">
      <c r="G254" s="15" t="str">
        <v>video_tag</v>
      </c>
      <c r="H254" s="26" t="str">
        <v>视频标签</v>
      </c>
      <c r="I254" s="15" t="str">
        <v>str</v>
      </c>
      <c r="L254" s="16">
        <v>1</v>
      </c>
    </row>
    <row r="255" spans="7:12">
      <c r="G255" s="15" t="str">
        <v>artist</v>
      </c>
      <c r="H255" s="26" t="str">
        <v>演员名字</v>
      </c>
      <c r="I255" s="15" t="str">
        <v>str</v>
      </c>
      <c r="L255" s="16">
        <v>1</v>
      </c>
    </row>
    <row r="256" spans="7:12">
      <c r="G256" s="15" t="str">
        <v>director</v>
      </c>
      <c r="H256" s="26" t="str">
        <v>导演名字</v>
      </c>
      <c r="I256" s="15" t="str">
        <v>str</v>
      </c>
      <c r="L256" s="16">
        <v>1</v>
      </c>
    </row>
    <row r="257" spans="7:12">
      <c r="G257" s="15" t="str">
        <v>media_source</v>
      </c>
      <c r="H257" s="26" t="str">
        <v>媒体源</v>
      </c>
      <c r="I257" s="15" t="str">
        <v>enum</v>
      </c>
      <c r="J257" s="26" t="str">
        <v>爱奇艺，优酷视频，哔哩哔哩，腾讯视频，芒果视频，华为视频，咪咕视频，小米视频，其他，空</v>
      </c>
      <c r="L257" s="16">
        <v>1</v>
      </c>
    </row>
    <row r="258" spans="7:12">
      <c r="G258" s="15" t="str">
        <v>episode</v>
      </c>
      <c r="H258" s="26" t="str">
        <v>视频集数</v>
      </c>
      <c r="I258" s="15" t="str">
        <v>str</v>
      </c>
      <c r="L258" s="16">
        <v>1</v>
      </c>
    </row>
    <row r="259" spans="7:12">
      <c r="G259" s="15" t="str">
        <v>season</v>
      </c>
      <c r="H259" s="26" t="str">
        <v>视频季数</v>
      </c>
      <c r="I259" s="15" t="str">
        <v>str</v>
      </c>
      <c r="L259" s="16">
        <v>1</v>
      </c>
    </row>
    <row r="260" spans="7:12">
      <c r="G260" s="15" t="str">
        <v>app_name</v>
      </c>
      <c r="H260" s="15" t="str">
        <v>应用名称</v>
      </c>
      <c r="I260" s="15" t="str">
        <v>str</v>
      </c>
      <c r="L260" s="16">
        <v>1</v>
      </c>
    </row>
    <row r="261" spans="1:12">
      <c r="A261" s="15" t="str">
        <v>媒体播放</v>
      </c>
      <c r="B261" s="15" t="str">
        <v>播放模式</v>
      </c>
      <c r="C261" s="15" t="str">
        <v>media_0003</v>
      </c>
      <c r="F261" s="15" t="str">
        <v>播放模式</v>
      </c>
      <c r="G261" s="15" t="str">
        <v>object</v>
      </c>
      <c r="H261" s="4" t="str">
        <v>播放对象</v>
      </c>
      <c r="I261" s="15" t="str">
        <v>enum</v>
      </c>
      <c r="J261" s="4" t="str">
        <v>音频，视频</v>
      </c>
      <c r="K261" s="16">
        <v>1</v>
      </c>
      <c r="L261" s="16">
        <v>1</v>
      </c>
    </row>
    <row r="262" spans="7:12">
      <c r="G262" s="15" t="str">
        <v>states</v>
      </c>
      <c r="H262" s="15" t="str">
        <v>播放模式</v>
      </c>
      <c r="I262" s="15" t="str">
        <v>enum</v>
      </c>
      <c r="J262" s="15" t="str">
        <v>列表播放，单曲循环，随机播放，列表循环</v>
      </c>
      <c r="L262" s="16">
        <v>1</v>
      </c>
    </row>
    <row r="263" spans="1:12">
      <c r="A263" s="15" t="str">
        <v>系统和设置</v>
      </c>
      <c r="B263" s="15" t="str">
        <v>保养类</v>
      </c>
      <c r="C263" s="15" t="str">
        <v>system_control_0001</v>
      </c>
      <c r="F263" s="15" t="str">
        <v>剩余保养时间和里程</v>
      </c>
      <c r="G263" s="20" t="str">
        <v>day</v>
      </c>
      <c r="H263" s="15" t="str">
        <v>天数</v>
      </c>
      <c r="I263" s="20" t="str">
        <v>str</v>
      </c>
      <c r="L263" s="16">
        <v>1</v>
      </c>
    </row>
    <row r="264" spans="7:12">
      <c r="G264" s="20" t="str">
        <v>distance</v>
      </c>
      <c r="H264" s="15" t="str">
        <v>里程</v>
      </c>
      <c r="I264" s="20" t="str">
        <v>str</v>
      </c>
      <c r="L264" s="16">
        <v>1</v>
      </c>
    </row>
    <row r="265" spans="7:12">
      <c r="G265" s="20" t="str">
        <v>date</v>
      </c>
      <c r="H265" s="15" t="str">
        <v>日期</v>
      </c>
      <c r="I265" s="20" t="str">
        <v>str</v>
      </c>
      <c r="L265" s="16">
        <v>1</v>
      </c>
    </row>
    <row r="266" spans="1:12">
      <c r="A266" s="15" t="str">
        <v>系统和设置</v>
      </c>
      <c r="B266" s="15" t="str">
        <v>语音播报设置</v>
      </c>
      <c r="C266" s="15" t="str">
        <v>system_control_0002</v>
      </c>
      <c r="F266" s="15" t="str">
        <v>语音播报设置</v>
      </c>
      <c r="G266" s="15" t="str">
        <v>switch</v>
      </c>
      <c r="H266" s="15" t="str">
        <v>模式选项</v>
      </c>
      <c r="I266" s="15" t="str">
        <v>enum</v>
      </c>
      <c r="J266" s="15" t="str">
        <v>仅提示音，简洁，详细，极简</v>
      </c>
      <c r="L266" s="16">
        <v>1</v>
      </c>
    </row>
    <row r="267" spans="7:9">
      <c r="G267" s="15" t="str">
        <v>abnormal_cause</v>
      </c>
      <c r="H267" s="15" t="str">
        <v>异常原因</v>
      </c>
      <c r="I267" s="15" t="str">
        <v>str</v>
      </c>
    </row>
    <row r="268" spans="1:11">
      <c r="A268" s="15" t="str">
        <v>系统和设置</v>
      </c>
      <c r="B268" s="15" t="str">
        <v>身份信息</v>
      </c>
      <c r="C268" s="15" t="str">
        <v>system_control_0003</v>
      </c>
      <c r="F268" s="15" t="str">
        <v>乘客身份信息</v>
      </c>
      <c r="G268" s="15" t="str">
        <v>position</v>
      </c>
      <c r="H268" s="15" t="str">
        <v>位置</v>
      </c>
      <c r="I268" s="15" t="str">
        <v>enum</v>
      </c>
      <c r="J268" s="15" t="str">
        <v>主驾，副驾，左后，右后</v>
      </c>
      <c r="K268" s="16">
        <v>1</v>
      </c>
    </row>
    <row r="269" spans="7:9">
      <c r="G269" s="15" t="str">
        <v>face_id</v>
      </c>
      <c r="H269" s="15" t="str">
        <v>用户身份标识</v>
      </c>
      <c r="I269" s="15" t="str">
        <v>str</v>
      </c>
    </row>
    <row r="270" spans="7:9">
      <c r="G270" s="15" t="str">
        <v>name</v>
      </c>
      <c r="H270" s="15" t="str">
        <v>名称</v>
      </c>
      <c r="I270" s="15" t="str">
        <v>str</v>
      </c>
    </row>
  </sheetData>
  <mergeCells count="1">
    <mergeCell ref="D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3.714285714285714" style="1" customWidth="1"/>
    <col min="2" max="2" width="17" style="1" customWidth="1"/>
    <col min="3" max="3" width="23.755102040816325" style="1" customWidth="1"/>
    <col min="4" max="4" width="9.857142857142858" style="1" customWidth="1"/>
    <col min="5" max="5" width="25.571428571428573" style="1" customWidth="1"/>
    <col min="6" max="6" width="24.285713036855018" style="1" customWidth="1"/>
    <col min="7" max="7" width="17.40476190476191" style="1" customWidth="1"/>
    <col min="8" max="8" width="28.75" style="1" customWidth="1"/>
    <col min="9" max="9" width="13.190474941616944" style="1" customWidth="1"/>
    <col min="10" max="10" width="8.492062243204243" style="1" customWidth="1"/>
    <col min="11" max="11" width="41.4046256513113" style="1" customWidth="1"/>
    <col min="12" max="12" width="25.70370370370467" style="1" customWidth="1"/>
    <col min="13" max="14" width="15" style="1" customWidth="1"/>
    <col min="15" max="15" width="19.403303434697364" style="1" customWidth="1"/>
    <col min="16" max="16" width="16.222222222226655" style="1" customWidth="1"/>
    <col min="17" max="17" width="51.77899877901499" style="1" customWidth="1"/>
    <col min="18" max="18" width="25.428571428571427" style="1" customWidth="1"/>
    <col min="19" max="19" width="19.289638289460658" style="1" customWidth="1"/>
    <col min="20" max="20" width="25.428571428571427" style="1" customWidth="1"/>
    <col min="21" max="21" width="16.714285714285715" style="1" customWidth="1"/>
    <col min="22" max="22" width="26.571428571428573" style="1" customWidth="1"/>
    <col min="23" max="23" width="53.04983388703814" style="1" customWidth="1"/>
    <col min="24" max="24" width="34" style="1" customWidth="1"/>
    <col min="25" max="25" width="33.42857142857143" style="1" customWidth="1"/>
    <col min="26" max="26" width="31.285714285714285" style="1" customWidth="1"/>
    <col min="27" max="27" width="57.57142857142857" style="1" customWidth="1"/>
    <col min="28" max="28" width="24.142857142857142" style="1" customWidth="1"/>
    <col min="29" max="29" width="23.900621118012428" style="1" customWidth="1"/>
    <col min="30" max="30" width="24.142857142857142" style="1" customWidth="1"/>
    <col min="31" max="31" width="23.857142857142858" style="1" customWidth="1"/>
    <col min="32" max="32" width="15" style="1" customWidth="1"/>
  </cols>
  <sheetData>
    <row r="1" spans="1:27">
      <c r="A1" s="11" t="str">
        <v>剩余电量百分比</v>
      </c>
      <c r="B1" s="11" t="str">
        <v>二级分类</v>
      </c>
      <c r="C1" s="11" t="str">
        <v>信号ID</v>
      </c>
      <c r="D1" s="11" t="str">
        <v>信号图案数量</v>
      </c>
      <c r="F1" s="11" t="str">
        <v>信号名称</v>
      </c>
      <c r="G1" s="11" t="str">
        <v>信号变化频率
低频：1次/分钟
高频：1次/30秒</v>
      </c>
      <c r="H1" s="11" t="str">
        <v>信号状态参数</v>
      </c>
      <c r="I1" s="11" t="str">
        <v>信号状态参数（中文）</v>
      </c>
      <c r="J1" s="11" t="str">
        <v>类型</v>
      </c>
      <c r="K1" s="12" t="str">
        <v>取值范围（上报参数）</v>
      </c>
      <c r="L1" s="11" t="str">
        <v>多主key</v>
      </c>
      <c r="M1" s="14" t="str">
        <v>常用状态范围 </v>
      </c>
      <c r="N1" s="28" t="str">
        <v>字节是否需要</v>
      </c>
      <c r="O1" s="29" t="str">
        <v>上汽侧产品&amp;SRS共同评估断状态信号是否需要</v>
      </c>
      <c r="P1" s="30" t="inlineStr">
        <is>
          <r>
            <t>上汽侧评估API就绪状态</t>
          </r>
          <r>
            <t>@周怀君</t>
          </r>
        </is>
      </c>
      <c r="Q1" s="29" t="str">
        <v>上汽侧API接口说明或排期</v>
      </c>
      <c r="R1" s="31" t="str">
        <v>上汽侧API接口说明或排期</v>
      </c>
      <c r="S1" s="32" t="inlineStr">
        <is>
          <r>
            <t>研发进展</t>
          </r>
          <r>
            <t>@汪帅</t>
          </r>
        </is>
      </c>
      <c r="T1" s="33" t="str">
        <v>字节识别接口可用状态@汪帅</v>
      </c>
      <c r="U1" s="4" t="inlineStr">
        <is>
          <r>
            <t>研发排期</t>
          </r>
          <r>
            <t>@汪帅</t>
          </r>
        </is>
      </c>
      <c r="V1" s="34" t="inlineStr">
        <is>
          <r>
            <t>研发实际接入状态</t>
          </r>
          <r>
            <t>@汪帅</t>
          </r>
        </is>
      </c>
      <c r="W1" s="33" t="str">
        <v>接口问题跟踪</v>
      </c>
      <c r="X1" s="35" t="str">
        <v>上报参数取值（没法枚举的可示例）</v>
      </c>
      <c r="Y1" s="35" t="str">
        <v>QA测试验证状态</v>
      </c>
      <c r="Z1" s="35" t="inlineStr">
        <is>
          <r>
            <t>QA验证接口人</t>
          </r>
          <r>
            <t>@郑永超</t>
          </r>
        </is>
      </c>
      <c r="AA1" s="35" t="str">
        <v>QA验证不通过原因</v>
      </c>
    </row>
    <row r="2" ht="132" customHeight="1" spans="1:25">
      <c r="A2" s="15" t="str">
        <v>车灯</v>
      </c>
      <c r="B2" s="15" t="str">
        <v>状态灯</v>
      </c>
      <c r="C2" s="15" t="str">
        <v>signal_light_0001</v>
      </c>
      <c r="D2" s="16">
        <v>1</v>
      </c>
      <c r="E2" s="15"/>
      <c r="F2" s="15" t="str">
        <v>近光灯</v>
      </c>
      <c r="G2" s="15" t="str">
        <v>低频变化</v>
      </c>
      <c r="H2" s="15" t="str">
        <v>states</v>
      </c>
      <c r="I2" s="15" t="str">
        <v>状态</v>
      </c>
      <c r="J2" s="15" t="str">
        <v>enum</v>
      </c>
      <c r="K2" s="18" t="str">
        <v>关闭，显示绿色</v>
      </c>
      <c r="M2" s="16">
        <v>1</v>
      </c>
      <c r="N2" s="15" t="str">
        <v>Y</v>
      </c>
      <c r="O2" s="36" t="str">
        <v>Y</v>
      </c>
      <c r="P2" s="37" t="str">
        <v>Y</v>
      </c>
      <c r="Q2" s="38" t="str">
        <v>TTID： 2  </v>
      </c>
      <c r="R2" s="39" t="str">
        <v>multidisplay，id 9001</v>
      </c>
      <c r="S2" s="32" t="inlineStr">
        <is>
          <r>
            <t>@陈果果</t>
          </r>
        </is>
      </c>
      <c r="T2" s="26" t="str">
        <v>Y</v>
      </c>
      <c r="U2" s="27">
        <v>4.21</v>
      </c>
      <c r="V2" s="40" t="str">
        <v>Y</v>
      </c>
      <c r="Y2" s="15" t="str">
        <v>Y</v>
      </c>
    </row>
    <row r="3" ht="132" customHeight="1" spans="1:25">
      <c r="A3" s="15" t="str">
        <v>车灯</v>
      </c>
      <c r="B3" s="15" t="str">
        <v>状态灯</v>
      </c>
      <c r="C3" s="15" t="str">
        <v>signal_light_0002</v>
      </c>
      <c r="D3" s="16">
        <v>1</v>
      </c>
      <c r="E3" s="15"/>
      <c r="F3" s="15" t="str">
        <v>远光灯</v>
      </c>
      <c r="G3" s="15" t="str">
        <v>低频变化</v>
      </c>
      <c r="H3" s="15" t="str">
        <v>states</v>
      </c>
      <c r="I3" s="15" t="str">
        <v>状态</v>
      </c>
      <c r="J3" s="15" t="str">
        <v>enum</v>
      </c>
      <c r="K3" s="18" t="str">
        <v>关闭，显示蓝色</v>
      </c>
      <c r="M3" s="16">
        <v>1</v>
      </c>
      <c r="N3" s="15" t="str">
        <v>Y</v>
      </c>
      <c r="O3" s="36" t="str">
        <v>Y</v>
      </c>
      <c r="P3" s="37" t="str">
        <v>Y</v>
      </c>
      <c r="Q3" s="41">
        <v>3</v>
      </c>
      <c r="R3" s="39" t="str">
        <v>multidisplay，id 9001</v>
      </c>
      <c r="S3" s="32" t="inlineStr">
        <is>
          <r>
            <t>@陈果果</t>
          </r>
        </is>
      </c>
      <c r="T3" s="26" t="str">
        <v>Y</v>
      </c>
      <c r="U3" s="16">
        <v>4.21</v>
      </c>
      <c r="V3" s="42" t="str">
        <v>Y</v>
      </c>
      <c r="Y3" s="15" t="str">
        <v>Y</v>
      </c>
    </row>
    <row r="4" spans="1:23">
      <c r="A4" s="15" t="str">
        <v>车灯</v>
      </c>
      <c r="B4" s="15" t="str">
        <v>状态灯</v>
      </c>
      <c r="C4" s="15" t="str">
        <v>signal_light_0003</v>
      </c>
      <c r="F4" s="15" t="str">
        <v>日间行车灯</v>
      </c>
      <c r="G4" s="15" t="str">
        <v>低频变化</v>
      </c>
      <c r="H4" s="15" t="str">
        <v>switch</v>
      </c>
      <c r="I4" s="15" t="str">
        <v>开关</v>
      </c>
      <c r="J4" s="15" t="str">
        <v>enum</v>
      </c>
      <c r="K4" s="18" t="str">
        <v>on，off</v>
      </c>
      <c r="N4" s="4" t="str">
        <v>N</v>
      </c>
      <c r="O4" s="36" t="str">
        <v>N</v>
      </c>
      <c r="P4" s="37" t="str">
        <v>NA</v>
      </c>
      <c r="Q4" s="25" t="str">
        <v>NA</v>
      </c>
      <c r="S4" s="32" t="inlineStr">
        <is>
          <r>
            <t>@陈果果</t>
          </r>
        </is>
      </c>
      <c r="T4" s="26" t="str">
        <v>N</v>
      </c>
      <c r="U4" s="10">
        <v>4.21</v>
      </c>
      <c r="V4" s="15" t="str">
        <v>N</v>
      </c>
      <c r="W4" s="20" t="str">
        <v>无接口</v>
      </c>
    </row>
    <row r="5" ht="168" customHeight="1" spans="1:25">
      <c r="A5" s="15" t="str">
        <v>车灯</v>
      </c>
      <c r="B5" s="15" t="str">
        <v>状态灯</v>
      </c>
      <c r="C5" s="15" t="str">
        <v>signal_light_0004</v>
      </c>
      <c r="D5" s="16">
        <v>1</v>
      </c>
      <c r="E5" s="15"/>
      <c r="F5" s="15" t="str">
        <v>后雾灯</v>
      </c>
      <c r="G5" s="15" t="str">
        <v>低频变化</v>
      </c>
      <c r="H5" s="15" t="str">
        <v>states</v>
      </c>
      <c r="I5" s="15" t="str">
        <v>状态</v>
      </c>
      <c r="J5" s="15" t="str">
        <v>enum</v>
      </c>
      <c r="K5" s="18" t="str">
        <v>关闭，显示黄色</v>
      </c>
      <c r="M5" s="16">
        <v>1</v>
      </c>
      <c r="N5" s="15" t="str">
        <v>Y</v>
      </c>
      <c r="O5" s="36" t="str">
        <v>Y</v>
      </c>
      <c r="P5" s="37" t="str">
        <v>Y</v>
      </c>
      <c r="Q5" s="43">
        <v>5</v>
      </c>
      <c r="R5" s="39" t="str">
        <v>multidisplay，id 9001</v>
      </c>
      <c r="S5" s="32" t="inlineStr">
        <is>
          <r>
            <t>@陈果果</t>
          </r>
        </is>
      </c>
      <c r="T5" s="26" t="str">
        <v>Y</v>
      </c>
      <c r="U5" s="27">
        <v>4.21</v>
      </c>
      <c r="V5" s="40" t="str">
        <v>Y</v>
      </c>
      <c r="Y5" s="15" t="str">
        <v>Y</v>
      </c>
    </row>
    <row r="6" ht="114" customHeight="1" spans="1:25">
      <c r="A6" s="15" t="str">
        <v>车灯</v>
      </c>
      <c r="B6" s="15" t="str">
        <v>状态灯</v>
      </c>
      <c r="C6" s="15" t="str">
        <v>signal_light_0005</v>
      </c>
      <c r="D6" s="16">
        <v>1</v>
      </c>
      <c r="E6" s="15"/>
      <c r="F6" s="4" t="str">
        <v>位置灯</v>
      </c>
      <c r="G6" s="15" t="str">
        <v>低频变化</v>
      </c>
      <c r="H6" s="15" t="str">
        <v>states</v>
      </c>
      <c r="I6" s="15" t="str">
        <v>状态</v>
      </c>
      <c r="J6" s="15" t="str">
        <v>enum</v>
      </c>
      <c r="K6" s="18" t="str">
        <v>关闭，显示绿色</v>
      </c>
      <c r="N6" s="15" t="str">
        <v>Y</v>
      </c>
      <c r="O6" s="36" t="str">
        <v>Y</v>
      </c>
      <c r="P6" s="37" t="str">
        <v>Y</v>
      </c>
      <c r="Q6" s="43">
        <v>6</v>
      </c>
      <c r="R6" s="39" t="str">
        <v>multidisplay，id 9001</v>
      </c>
      <c r="S6" s="32" t="inlineStr">
        <is>
          <r>
            <t>@陈果果</t>
          </r>
        </is>
      </c>
      <c r="T6" s="26" t="str">
        <v>Y</v>
      </c>
      <c r="U6" s="27">
        <v>4.21</v>
      </c>
      <c r="V6" s="40" t="str">
        <v>Y</v>
      </c>
      <c r="Y6" s="15" t="str">
        <v>Y</v>
      </c>
    </row>
    <row r="7" ht="142" customHeight="1" spans="1:25">
      <c r="A7" s="15" t="str">
        <v>车灯</v>
      </c>
      <c r="B7" s="15" t="str">
        <v>状态灯</v>
      </c>
      <c r="C7" s="15" t="str">
        <v>signal_light_0006</v>
      </c>
      <c r="D7" s="16">
        <v>1</v>
      </c>
      <c r="E7" s="15"/>
      <c r="F7" s="4" t="str">
        <v>左转向灯</v>
      </c>
      <c r="G7" s="15" t="str">
        <v>低频变化</v>
      </c>
      <c r="H7" s="15" t="str">
        <v>states</v>
      </c>
      <c r="I7" s="15" t="str">
        <v>状态</v>
      </c>
      <c r="J7" s="15" t="str">
        <v>enum</v>
      </c>
      <c r="K7" s="18" t="str">
        <v>关闭，显示绿色</v>
      </c>
      <c r="M7" s="16">
        <v>1</v>
      </c>
      <c r="N7" s="15" t="str">
        <v>Y</v>
      </c>
      <c r="O7" s="36" t="str">
        <v>Y</v>
      </c>
      <c r="P7" s="37" t="str">
        <v>Y</v>
      </c>
      <c r="Q7" s="43">
        <v>7</v>
      </c>
      <c r="R7" s="39" t="str">
        <v>multidisplay，id 9001</v>
      </c>
      <c r="S7" s="32" t="inlineStr">
        <is>
          <r>
            <t>@陈果果</t>
          </r>
        </is>
      </c>
      <c r="T7" s="26" t="str">
        <v>Y</v>
      </c>
      <c r="U7" s="27">
        <v>4.21</v>
      </c>
      <c r="V7" s="40" t="str">
        <v>Y</v>
      </c>
      <c r="Y7" s="15" t="str">
        <v>Y</v>
      </c>
    </row>
    <row r="8" spans="1:23">
      <c r="A8" s="15" t="str">
        <v>车灯</v>
      </c>
      <c r="H8" s="15" t="str">
        <v>flash</v>
      </c>
      <c r="I8" s="15" t="str">
        <v>闪烁频率</v>
      </c>
      <c r="J8" s="15" t="str">
        <v>enum</v>
      </c>
      <c r="K8" s="18" t="str">
        <v>2.5Hz，5Hz，常亮</v>
      </c>
      <c r="M8" s="16">
        <v>1</v>
      </c>
      <c r="N8" s="15" t="str">
        <v>N（固定频率，不支持获取）</v>
      </c>
      <c r="O8" s="36" t="str">
        <v>N</v>
      </c>
      <c r="P8" s="37" t="str">
        <v>NA</v>
      </c>
      <c r="S8" s="32" t="inlineStr">
        <is>
          <r>
            <t>@陈果果</t>
          </r>
        </is>
      </c>
      <c r="T8" s="26" t="str">
        <v>N</v>
      </c>
      <c r="V8" s="32" t="str">
        <v>N</v>
      </c>
      <c r="W8" s="20" t="str">
        <v>无接口</v>
      </c>
    </row>
    <row r="9" ht="142" customHeight="1" spans="1:25">
      <c r="A9" s="15" t="str">
        <v>车灯</v>
      </c>
      <c r="B9" s="15" t="str">
        <v>状态灯</v>
      </c>
      <c r="C9" s="15" t="str">
        <v>signal_light_0007</v>
      </c>
      <c r="D9" s="16">
        <v>1</v>
      </c>
      <c r="E9" s="15"/>
      <c r="F9" s="15" t="str">
        <v>右转向灯</v>
      </c>
      <c r="G9" s="15" t="str">
        <v>低频变化</v>
      </c>
      <c r="H9" s="15" t="str">
        <v>states</v>
      </c>
      <c r="I9" s="15" t="str">
        <v>状态</v>
      </c>
      <c r="J9" s="15" t="str">
        <v>enum</v>
      </c>
      <c r="K9" s="18" t="str">
        <v>关闭，显示绿色</v>
      </c>
      <c r="M9" s="16">
        <v>1</v>
      </c>
      <c r="N9" s="15" t="str">
        <v>Y</v>
      </c>
      <c r="O9" s="36" t="str">
        <v>Y</v>
      </c>
      <c r="P9" s="37" t="str">
        <v>Y</v>
      </c>
      <c r="Q9" s="43">
        <v>8</v>
      </c>
      <c r="R9" s="39" t="str">
        <v>multidisplay，id 9001</v>
      </c>
      <c r="S9" s="32" t="inlineStr">
        <is>
          <r>
            <t>@陈果果</t>
          </r>
        </is>
      </c>
      <c r="T9" s="26" t="str">
        <v>Y</v>
      </c>
      <c r="U9" s="27">
        <v>4.21</v>
      </c>
      <c r="V9" s="40" t="str">
        <v>Y</v>
      </c>
      <c r="Y9" s="15" t="str">
        <v>Y</v>
      </c>
    </row>
    <row r="10" spans="1:23">
      <c r="A10" s="15" t="str">
        <v>车灯</v>
      </c>
      <c r="H10" s="15" t="str">
        <v>flash</v>
      </c>
      <c r="I10" s="15" t="str">
        <v>闪烁频率</v>
      </c>
      <c r="J10" s="15" t="str">
        <v>enum</v>
      </c>
      <c r="K10" s="18" t="str">
        <v>2.5Hz，5Hz，常亮</v>
      </c>
      <c r="M10" s="16">
        <v>1</v>
      </c>
      <c r="N10" s="15" t="str">
        <v>N（固定频率，不支持获取）</v>
      </c>
      <c r="O10" s="36" t="str">
        <v>N</v>
      </c>
      <c r="P10" s="37" t="str">
        <v>NA</v>
      </c>
      <c r="S10" s="32" t="inlineStr">
        <is>
          <r>
            <t>@陈果果</t>
          </r>
        </is>
      </c>
      <c r="V10" s="20" t="str">
        <v>N</v>
      </c>
      <c r="W10" s="20" t="str">
        <v>无接口</v>
      </c>
    </row>
    <row r="11" spans="1:25">
      <c r="A11" s="15" t="str">
        <v>车灯</v>
      </c>
      <c r="B11" s="15" t="str">
        <v>状态灯</v>
      </c>
      <c r="C11" s="15" t="str">
        <v>signal_light_0008</v>
      </c>
      <c r="D11" s="16">
        <v>1</v>
      </c>
      <c r="F11" s="15" t="str">
        <v>智能大灯控制系统开启提示灯（自动远近光切换）</v>
      </c>
      <c r="G11" s="15" t="str">
        <v>低频变化</v>
      </c>
      <c r="H11" s="15" t="str">
        <v>states</v>
      </c>
      <c r="I11" s="15" t="str">
        <v>状态</v>
      </c>
      <c r="J11" s="15" t="str">
        <v>enum</v>
      </c>
      <c r="K11" s="44" t="inlineStr">
        <is>
          <r>
            <rPr>
              <sz val="10"/>
              <color rgb="FFF54A45"/>
              <rFont val="Arial"/>
            </rPr>
            <t xml:space="preserve">关闭，显示绿色，显示蓝色，显示白色
</t>
          </r>
          <r>
            <rPr>
              <sz val="10"/>
              <color rgb="FF4E83FD"/>
              <rFont val="Arial"/>
            </rPr>
            <t>只有（关闭，显示蓝色，显示白色）</t>
          </r>
        </is>
      </c>
      <c r="N11" s="15" t="str">
        <v>Y</v>
      </c>
      <c r="O11" s="36" t="str">
        <v>Y</v>
      </c>
      <c r="P11" s="37" t="str">
        <v>Y</v>
      </c>
      <c r="Q11" s="36" t="str">
        <v>白色（251）和蓝色（252）</v>
      </c>
      <c r="R11" s="39" t="str">
        <v>multidisplay，id 9001</v>
      </c>
      <c r="S11" s="32" t="inlineStr">
        <is>
          <r>
            <t>@陈果果</t>
          </r>
        </is>
      </c>
      <c r="T11" s="26" t="str">
        <v>Y</v>
      </c>
      <c r="U11" s="16">
        <v>4.21</v>
      </c>
      <c r="V11" s="40" t="str">
        <v>Y</v>
      </c>
      <c r="Y11" s="15" t="str">
        <v>Y</v>
      </c>
    </row>
    <row r="12" ht="132" customHeight="1" spans="1:23">
      <c r="A12" s="15" t="str">
        <v>车灯</v>
      </c>
      <c r="B12" s="15" t="str">
        <v>故障灯</v>
      </c>
      <c r="C12" s="15" t="str">
        <v>signal_light_0009</v>
      </c>
      <c r="D12" s="16">
        <v>1</v>
      </c>
      <c r="E12" s="15"/>
      <c r="F12" s="15" t="str">
        <v>AFS灯光故障</v>
      </c>
      <c r="G12" s="15" t="str">
        <v>低频变化</v>
      </c>
      <c r="H12" s="15" t="str">
        <v>states</v>
      </c>
      <c r="I12" s="15" t="str">
        <v>状态</v>
      </c>
      <c r="J12" s="15" t="str">
        <v>enum</v>
      </c>
      <c r="K12" s="18" t="str">
        <v>关闭，显示黄色</v>
      </c>
      <c r="N12" s="15" t="str">
        <v>N</v>
      </c>
      <c r="O12" s="36" t="str">
        <v>N （没有AFS配置）</v>
      </c>
      <c r="P12" s="37" t="str">
        <v>NA</v>
      </c>
      <c r="Q12" s="36" t="str">
        <v>NA</v>
      </c>
      <c r="T12" s="26" t="str">
        <v>N</v>
      </c>
      <c r="V12" s="20" t="str">
        <v>N</v>
      </c>
      <c r="W12" s="20" t="str">
        <v>无接口</v>
      </c>
    </row>
    <row r="13" ht="144" customHeight="1" spans="1:26">
      <c r="A13" s="29" t="str">
        <v>车灯</v>
      </c>
      <c r="B13" s="15" t="str">
        <v>故障灯</v>
      </c>
      <c r="C13" s="15" t="str">
        <v>signal_light_0010</v>
      </c>
      <c r="D13" s="16">
        <v>1</v>
      </c>
      <c r="E13" s="15"/>
      <c r="F13" s="15" t="str">
        <v>ABS故障灯</v>
      </c>
      <c r="G13" s="15" t="str">
        <v>低频变化</v>
      </c>
      <c r="H13" s="15" t="str">
        <v>states</v>
      </c>
      <c r="I13" s="15" t="str">
        <v>状态</v>
      </c>
      <c r="J13" s="15" t="str">
        <v>enum</v>
      </c>
      <c r="K13" s="18" t="str">
        <v>关闭，显示黄色</v>
      </c>
      <c r="N13" s="15" t="str">
        <v>Y</v>
      </c>
      <c r="O13" s="36" t="str">
        <v>Y</v>
      </c>
      <c r="P13" s="37" t="str">
        <v>Y</v>
      </c>
      <c r="Q13" s="36" t="str">
        <v>TTID ：19</v>
      </c>
      <c r="R13" s="39" t="str">
        <v>multidisplay，id 9001</v>
      </c>
      <c r="S13" s="32" t="inlineStr">
        <is>
          <r>
            <t>@尹泽陆</t>
          </r>
        </is>
      </c>
      <c r="T13" s="26" t="str">
        <v>Y</v>
      </c>
      <c r="U13" s="27">
        <v>4.27</v>
      </c>
      <c r="V13" s="40" t="str">
        <v>Y</v>
      </c>
      <c r="Y13" s="15" t="str">
        <v>Y</v>
      </c>
      <c r="Z13" s="15" t="str">
        <v>手动发信号验证</v>
      </c>
    </row>
    <row r="14" ht="144" customHeight="1" spans="1:26">
      <c r="A14" s="15" t="str">
        <v>车灯</v>
      </c>
      <c r="B14" s="15" t="str">
        <v>状态灯</v>
      </c>
      <c r="C14" s="15" t="str">
        <v>signal_light_0011</v>
      </c>
      <c r="D14" s="16">
        <v>1</v>
      </c>
      <c r="E14" s="15"/>
      <c r="F14" s="17" t="str">
        <v>制动故障灯</v>
      </c>
      <c r="G14" s="15" t="str">
        <v>低频变化</v>
      </c>
      <c r="H14" s="15" t="str">
        <v>states</v>
      </c>
      <c r="I14" s="15" t="str">
        <v>状态</v>
      </c>
      <c r="J14" s="15" t="str">
        <v>enum</v>
      </c>
      <c r="K14" s="18" t="str">
        <v>关闭，显示红色</v>
      </c>
      <c r="N14" s="15" t="str">
        <v>Y</v>
      </c>
      <c r="O14" s="36" t="str">
        <v>Y</v>
      </c>
      <c r="P14" s="37" t="str">
        <v>Y</v>
      </c>
      <c r="Q14" s="43">
        <v>32</v>
      </c>
      <c r="R14" s="39" t="str">
        <v>multidisplay，id 9001</v>
      </c>
      <c r="S14" s="32" t="inlineStr">
        <is>
          <r>
            <t>@陈果果</t>
          </r>
        </is>
      </c>
      <c r="T14" s="26" t="str">
        <v>Y</v>
      </c>
      <c r="U14" s="16">
        <v>4.21</v>
      </c>
      <c r="V14" s="40" t="str">
        <v>Y</v>
      </c>
      <c r="Y14" s="15" t="str">
        <v>Y</v>
      </c>
      <c r="Z14" s="15" t="str">
        <v>手动发信号验证</v>
      </c>
    </row>
    <row r="15" spans="1:27">
      <c r="A15" s="29" t="str">
        <v>车灯</v>
      </c>
      <c r="B15" s="15" t="str">
        <v>故障灯</v>
      </c>
      <c r="C15" s="15" t="str">
        <v>signal_light_0012</v>
      </c>
      <c r="D15" s="16">
        <v>1</v>
      </c>
      <c r="F15" s="15" t="str">
        <v> ESP/SCS故障提示灯</v>
      </c>
      <c r="G15" s="15" t="str">
        <v>低频变化</v>
      </c>
      <c r="H15" s="15" t="str">
        <v>states</v>
      </c>
      <c r="I15" s="15" t="str">
        <v>状态</v>
      </c>
      <c r="J15" s="15" t="str">
        <v>enum</v>
      </c>
      <c r="K15" s="15" t="str">
        <v>关闭，黄灯常亮，黄色闪烁</v>
      </c>
      <c r="N15" s="15" t="str">
        <v>Y</v>
      </c>
      <c r="O15" s="36" t="str">
        <v>Y</v>
      </c>
      <c r="P15" s="37" t="str">
        <v>Y</v>
      </c>
      <c r="Q15" s="43">
        <v>21</v>
      </c>
      <c r="R15" s="39" t="str">
        <v>multidisplay，id 9001</v>
      </c>
      <c r="S15" s="32" t="inlineStr">
        <is>
          <r>
            <t>@尹泽陆</t>
          </r>
        </is>
      </c>
      <c r="T15" s="26" t="str">
        <v>Y</v>
      </c>
      <c r="U15" s="27">
        <v>4.27</v>
      </c>
      <c r="V15" s="40" t="str">
        <v>Y</v>
      </c>
      <c r="Y15" s="15" t="str">
        <v>Y</v>
      </c>
      <c r="Z15" s="15" t="str">
        <v>手动发信号验证</v>
      </c>
      <c r="AA15" s="15" t="str">
        <v>21和24和23 黄灯 ---故障</v>
      </c>
    </row>
    <row r="16" ht="288" customHeight="1" spans="1:27">
      <c r="A16" s="15" t="str">
        <v>车灯</v>
      </c>
      <c r="B16" s="15" t="str">
        <v>状态灯</v>
      </c>
      <c r="C16" s="15" t="str">
        <v>signal_light_0013</v>
      </c>
      <c r="D16" s="16">
        <v>1</v>
      </c>
      <c r="E16" s="18"/>
      <c r="F16" s="15" t="str">
        <v> ESP/SCS工作状态指示灯</v>
      </c>
      <c r="G16" s="15" t="str">
        <v>低频变化</v>
      </c>
      <c r="H16" s="15" t="str">
        <v>states</v>
      </c>
      <c r="I16" s="15" t="str">
        <v>状态</v>
      </c>
      <c r="J16" s="15" t="str">
        <v>enum</v>
      </c>
      <c r="K16" s="15" t="str">
        <v>关闭，黄灯常亮，黄色闪烁
</v>
      </c>
      <c r="N16" s="15" t="str">
        <v>Y</v>
      </c>
      <c r="O16" s="36" t="str">
        <v>Y</v>
      </c>
      <c r="P16" s="37" t="str">
        <v>Y</v>
      </c>
      <c r="Q16" s="43">
        <v>22</v>
      </c>
      <c r="R16" s="39" t="str">
        <v>multidisplay，id 9001</v>
      </c>
      <c r="S16" s="32" t="inlineStr">
        <is>
          <r>
            <t>@陈果果</t>
          </r>
        </is>
      </c>
      <c r="T16" s="26" t="str">
        <v>Y</v>
      </c>
      <c r="U16" s="16">
        <v>4.21</v>
      </c>
      <c r="V16" s="40" t="str">
        <v>Y</v>
      </c>
      <c r="Y16" s="15" t="str">
        <v>Y</v>
      </c>
      <c r="Z16" s="15" t="str">
        <v>手动发信号验证</v>
      </c>
      <c r="AA16" s="15" t="str">
        <v>22 和25 黄灯 --关闭，21和23 黄色闪烁 --激活</v>
      </c>
    </row>
    <row r="17" ht="226" customHeight="1" spans="1:26">
      <c r="A17" s="29" t="str">
        <v>车灯</v>
      </c>
      <c r="B17" s="15" t="str">
        <v>故障灯</v>
      </c>
      <c r="C17" s="15" t="str">
        <v>signal_light_0014</v>
      </c>
      <c r="D17" s="16">
        <v>1</v>
      </c>
      <c r="E17" s="15"/>
      <c r="F17" s="15" t="str">
        <v>TCS故障提示灯</v>
      </c>
      <c r="G17" s="15" t="str">
        <v>低频变化</v>
      </c>
      <c r="H17" s="15" t="str">
        <v>states</v>
      </c>
      <c r="I17" s="15" t="str">
        <v>状态</v>
      </c>
      <c r="J17" s="15" t="str">
        <v>enum</v>
      </c>
      <c r="K17" s="15" t="str">
        <v>关闭，黄色闪烁，显示黄色</v>
      </c>
      <c r="N17" s="15" t="str">
        <v>Y</v>
      </c>
      <c r="O17" s="36" t="str">
        <v>Y</v>
      </c>
      <c r="P17" s="37" t="str">
        <v>Y</v>
      </c>
      <c r="Q17" s="43">
        <v>24</v>
      </c>
      <c r="R17" s="39" t="str">
        <v>multidisplay，id 9001</v>
      </c>
      <c r="S17" s="32" t="inlineStr">
        <is>
          <r>
            <t>@尹泽陆</t>
          </r>
        </is>
      </c>
      <c r="T17" s="26" t="str">
        <v>Y</v>
      </c>
      <c r="U17" s="27">
        <v>4.27</v>
      </c>
      <c r="V17" s="40" t="str">
        <v>Y</v>
      </c>
      <c r="Y17" s="15" t="str">
        <v>Y</v>
      </c>
      <c r="Z17" s="15" t="str">
        <v>手动发信号验证</v>
      </c>
    </row>
    <row r="18" ht="126" customHeight="1" spans="1:26">
      <c r="A18" s="15" t="str">
        <v>车灯</v>
      </c>
      <c r="B18" s="15" t="str">
        <v>状态灯</v>
      </c>
      <c r="C18" s="15" t="str">
        <v>signal_light_0015</v>
      </c>
      <c r="D18" s="16">
        <v>1</v>
      </c>
      <c r="E18" s="15"/>
      <c r="F18" s="15" t="str">
        <v>Autohold激活灯</v>
      </c>
      <c r="G18" s="15" t="str">
        <v>低频变化</v>
      </c>
      <c r="H18" s="15" t="str">
        <v>states</v>
      </c>
      <c r="I18" s="15" t="str">
        <v>状态</v>
      </c>
      <c r="J18" s="15" t="str">
        <v>enum</v>
      </c>
      <c r="K18" s="18" t="str">
        <v>关闭，显示绿色</v>
      </c>
      <c r="N18" s="15" t="str">
        <v>Y</v>
      </c>
      <c r="O18" s="36" t="str">
        <v>Y</v>
      </c>
      <c r="P18" s="37" t="str">
        <v>Y</v>
      </c>
      <c r="Q18" s="43">
        <v>31</v>
      </c>
      <c r="R18" s="39" t="str">
        <v>multidisplay，id 9001</v>
      </c>
      <c r="S18" s="32" t="inlineStr">
        <is>
          <r>
            <t>@陈果果</t>
          </r>
        </is>
      </c>
      <c r="T18" s="26" t="str">
        <v>Y</v>
      </c>
      <c r="U18" s="16">
        <v>4.21</v>
      </c>
      <c r="V18" s="40" t="str">
        <v>Y</v>
      </c>
      <c r="Y18" s="15" t="str">
        <v>Y</v>
      </c>
      <c r="Z18" s="15" t="str">
        <v>手动发信号验证</v>
      </c>
    </row>
    <row r="19" ht="126" customHeight="1" spans="1:26">
      <c r="A19" s="15" t="str">
        <v>车灯</v>
      </c>
      <c r="B19" s="15" t="str">
        <v>状态灯</v>
      </c>
      <c r="C19" s="15" t="str">
        <v>signal_light_0016</v>
      </c>
      <c r="D19" s="16">
        <v>1</v>
      </c>
      <c r="E19" s="15"/>
      <c r="F19" s="15" t="str">
        <v>Autohold待命灯</v>
      </c>
      <c r="G19" s="15" t="str">
        <v>低频变化</v>
      </c>
      <c r="H19" s="15" t="str">
        <v>states</v>
      </c>
      <c r="I19" s="15" t="str">
        <v>状态</v>
      </c>
      <c r="J19" s="15" t="str">
        <v>enum</v>
      </c>
      <c r="K19" s="18" t="str">
        <v>关闭，显示灰色</v>
      </c>
      <c r="N19" s="15" t="str">
        <v>Y</v>
      </c>
      <c r="O19" s="36" t="str">
        <v>Y</v>
      </c>
      <c r="P19" s="37" t="str">
        <v>Y</v>
      </c>
      <c r="Q19" s="43">
        <v>157</v>
      </c>
      <c r="R19" s="39" t="str">
        <v>multidisplay，id 9001</v>
      </c>
      <c r="S19" s="32" t="inlineStr">
        <is>
          <r>
            <t>@陈果果</t>
          </r>
        </is>
      </c>
      <c r="T19" s="26" t="str">
        <v>Y</v>
      </c>
      <c r="U19" s="16">
        <v>4.21</v>
      </c>
      <c r="V19" s="40" t="str">
        <v>Y</v>
      </c>
      <c r="Y19" s="15" t="str">
        <v>Y</v>
      </c>
      <c r="Z19" s="15" t="str">
        <v>手动发信号验证</v>
      </c>
    </row>
    <row r="20" ht="139" customHeight="1" spans="1:26">
      <c r="A20" s="29" t="str">
        <v>车灯</v>
      </c>
      <c r="B20" s="15" t="str">
        <v>故障灯</v>
      </c>
      <c r="C20" s="15" t="str">
        <v>signal_light_0017</v>
      </c>
      <c r="D20" s="16">
        <v>1</v>
      </c>
      <c r="E20" s="15"/>
      <c r="F20" s="15" t="str">
        <v>Autohold故障灯</v>
      </c>
      <c r="G20" s="15" t="str">
        <v>低频变化</v>
      </c>
      <c r="H20" s="15" t="str">
        <v>states</v>
      </c>
      <c r="I20" s="15" t="str">
        <v>状态</v>
      </c>
      <c r="J20" s="15" t="str">
        <v>enum</v>
      </c>
      <c r="K20" s="18" t="str">
        <v>关闭，显示黄色</v>
      </c>
      <c r="N20" s="15" t="str">
        <v>Y</v>
      </c>
      <c r="O20" s="43">
        <v>29</v>
      </c>
      <c r="P20" s="37" t="str">
        <v>Y</v>
      </c>
      <c r="Q20" s="43">
        <v>30</v>
      </c>
      <c r="R20" s="39" t="str">
        <v>multidisplay，id 9001</v>
      </c>
      <c r="S20" s="32" t="inlineStr">
        <is>
          <r>
            <t>@尹泽陆</t>
          </r>
        </is>
      </c>
      <c r="T20" s="26" t="str">
        <v>Y</v>
      </c>
      <c r="U20" s="27">
        <v>4.27</v>
      </c>
      <c r="V20" s="40" t="str">
        <v>Y</v>
      </c>
      <c r="Y20" s="15" t="str">
        <v>Y</v>
      </c>
      <c r="Z20" s="15" t="str">
        <v>手动发信号验证</v>
      </c>
    </row>
    <row r="21" ht="196" customHeight="1" spans="1:22">
      <c r="A21" s="15" t="str">
        <v>车灯</v>
      </c>
      <c r="B21" s="15" t="str">
        <v>状态灯</v>
      </c>
      <c r="C21" s="15" t="str">
        <v>signal_light_0018</v>
      </c>
      <c r="D21" s="16">
        <v>1</v>
      </c>
      <c r="E21" s="15"/>
      <c r="F21" s="15" t="str">
        <v>四驱系统状态指示灯</v>
      </c>
      <c r="G21" s="15" t="str">
        <v>低频变化</v>
      </c>
      <c r="H21" s="15" t="str">
        <v>states</v>
      </c>
      <c r="I21" s="15" t="str">
        <v>状态</v>
      </c>
      <c r="J21" s="15" t="str">
        <v>enum</v>
      </c>
      <c r="K21" s="18" t="str">
        <v>关闭，显示绿色，显示黄色</v>
      </c>
      <c r="N21" s="15" t="str">
        <v>N</v>
      </c>
      <c r="O21" s="36" t="str">
        <v>N</v>
      </c>
      <c r="P21" s="37" t="str">
        <v>NA</v>
      </c>
      <c r="Q21" s="36" t="str">
        <v>NA</v>
      </c>
      <c r="T21" s="26" t="str">
        <v>N</v>
      </c>
      <c r="V21" s="15" t="str">
        <v>N</v>
      </c>
    </row>
    <row r="22" ht="174" customHeight="1" spans="1:27">
      <c r="A22" s="29" t="str">
        <v>车灯</v>
      </c>
      <c r="B22" s="15" t="str">
        <v>故障灯</v>
      </c>
      <c r="C22" s="15" t="str">
        <v>signal_light_0019</v>
      </c>
      <c r="D22" s="16">
        <v>1</v>
      </c>
      <c r="E22" s="15"/>
      <c r="F22" s="15" t="str">
        <v>胎压异常提示灯</v>
      </c>
      <c r="G22" s="15" t="str">
        <v>低频变化</v>
      </c>
      <c r="H22" s="15" t="str">
        <v>states</v>
      </c>
      <c r="I22" s="15" t="str">
        <v>状态</v>
      </c>
      <c r="J22" s="15" t="str">
        <v>enum</v>
      </c>
      <c r="K22" s="18" t="str">
        <v>关闭，显示黄色</v>
      </c>
      <c r="N22" s="15" t="str">
        <v>Y</v>
      </c>
      <c r="O22" s="36" t="str">
        <v>Y</v>
      </c>
      <c r="P22" s="37" t="str">
        <v>Y</v>
      </c>
      <c r="Q22" s="43">
        <v>77</v>
      </c>
      <c r="R22" s="39" t="str">
        <v>multidisplay，id 9001</v>
      </c>
      <c r="S22" s="32" t="inlineStr">
        <is>
          <r>
            <t>@尹泽陆</t>
          </r>
        </is>
      </c>
      <c r="T22" s="26" t="str">
        <v>Y</v>
      </c>
      <c r="V22" s="40" t="str">
        <v>Y</v>
      </c>
      <c r="Y22" s="15" t="str">
        <v>Y</v>
      </c>
      <c r="AA22" s="45" t="str">
        <v>经产品决定删除这个信号，研发还没删除</v>
      </c>
    </row>
    <row r="23" ht="174" customHeight="1" spans="1:27">
      <c r="A23" s="29" t="str">
        <v>车灯</v>
      </c>
      <c r="B23" s="17" t="str">
        <v>故障灯</v>
      </c>
      <c r="C23" s="17" t="str">
        <v>signal_light_0020</v>
      </c>
      <c r="D23" s="19">
        <v>1</v>
      </c>
      <c r="E23" s="17"/>
      <c r="F23" s="17" t="str">
        <v>胎压系统故障灯</v>
      </c>
      <c r="G23" s="15" t="str">
        <v>低频变化</v>
      </c>
      <c r="H23" s="17" t="str">
        <v>states</v>
      </c>
      <c r="I23" s="17" t="str">
        <v>状态</v>
      </c>
      <c r="J23" s="17" t="str">
        <v>enum</v>
      </c>
      <c r="K23" s="46" t="str">
        <v>关闭，显示黄色</v>
      </c>
      <c r="N23" s="15" t="str">
        <v>Y</v>
      </c>
      <c r="O23" s="36" t="str">
        <v>Y</v>
      </c>
      <c r="P23" s="37" t="str">
        <v>Y</v>
      </c>
      <c r="Q23" s="43">
        <v>77</v>
      </c>
      <c r="R23" s="39" t="str">
        <v>multidisplay，id 9001</v>
      </c>
      <c r="S23" s="32" t="inlineStr">
        <is>
          <r>
            <t>@尹泽陆</t>
          </r>
        </is>
      </c>
      <c r="T23" s="26" t="str">
        <v>Y</v>
      </c>
      <c r="V23" s="40" t="str">
        <v>Y</v>
      </c>
      <c r="Y23" s="15" t="str">
        <v>Y</v>
      </c>
      <c r="Z23" s="15" t="str">
        <v>手动发信号验证</v>
      </c>
      <c r="AA23" s="4" t="str">
        <v>这个是和0019一样的，取的值都是一样的</v>
      </c>
    </row>
    <row r="24" spans="1:22">
      <c r="A24" s="15" t="str">
        <v>车灯</v>
      </c>
      <c r="H24" s="15" t="str">
        <v>flash</v>
      </c>
      <c r="I24" s="15" t="str">
        <v>闪烁频率</v>
      </c>
      <c r="J24" s="15" t="str">
        <v>enum</v>
      </c>
      <c r="K24" s="18" t="str">
        <v>0.5Hz，常亮</v>
      </c>
      <c r="N24" s="15" t="str">
        <v>N</v>
      </c>
      <c r="O24" s="36" t="str">
        <v>N</v>
      </c>
      <c r="P24" s="37" t="str">
        <v>NA</v>
      </c>
      <c r="S24" s="32" t="inlineStr">
        <is>
          <r>
            <t>@陈果果</t>
          </r>
        </is>
      </c>
      <c r="T24" s="26" t="str">
        <v>N</v>
      </c>
      <c r="V24" s="15" t="str">
        <v>N</v>
      </c>
    </row>
    <row r="25" ht="144" customHeight="1" spans="1:29">
      <c r="A25" s="20" t="str">
        <v>车灯</v>
      </c>
      <c r="B25" s="20" t="str">
        <v>故障灯</v>
      </c>
      <c r="C25" s="20" t="str">
        <v>signal_light_0021</v>
      </c>
      <c r="D25" s="21">
        <v>1</v>
      </c>
      <c r="E25" s="20"/>
      <c r="F25" s="20" t="str">
        <v>充电系统故障灯</v>
      </c>
      <c r="G25" s="15" t="str">
        <v>低频变化</v>
      </c>
      <c r="H25" s="20" t="str">
        <v>states</v>
      </c>
      <c r="I25" s="20" t="str">
        <v>状态</v>
      </c>
      <c r="J25" s="20" t="str">
        <v>enum</v>
      </c>
      <c r="K25" s="47" t="str">
        <v>关闭，显示红色，红色闪烁</v>
      </c>
      <c r="N25" s="15" t="str">
        <v>Y</v>
      </c>
      <c r="O25" s="36" t="str">
        <v>Y</v>
      </c>
      <c r="P25" s="37" t="str">
        <v>Y</v>
      </c>
      <c r="Q25" s="43">
        <v>52</v>
      </c>
      <c r="R25" s="39" t="str">
        <v>multidisplay，id 9001</v>
      </c>
      <c r="S25" s="32" t="inlineStr">
        <is>
          <r>
            <t>@尹泽陆</t>
          </r>
        </is>
      </c>
      <c r="T25" s="48" t="str">
        <v>Y</v>
      </c>
      <c r="U25" s="27">
        <v>4.27</v>
      </c>
      <c r="V25" s="40" t="str">
        <v>Y</v>
      </c>
      <c r="Y25" s="15" t="str">
        <v>B</v>
      </c>
      <c r="AA25" s="26" t="inlineStr">
        <is>
          <r>
            <rPr>
              <sz val="10"/>
              <color rgb="FF1F2329"/>
              <rFont val="Arial"/>
            </rPr>
            <t>但是未获取到闪烁的的状态，经和开发确认无闪烁状态，是否删除闪烁状态，</t>
          </r>
          <r>
            <rPr>
              <sz val="10"/>
              <color rgb="FFF54A45"/>
              <rFont val="Arial"/>
            </rPr>
            <t>需要和上汽确认@韩天亮</t>
          </r>
        </is>
      </c>
      <c r="AC25" s="15" t="str">
        <v>文档是52是辅助系统故障灯</v>
      </c>
    </row>
    <row r="26" ht="144" customHeight="1" spans="1:29">
      <c r="A26" s="15" t="str">
        <v>车灯</v>
      </c>
      <c r="B26" s="15" t="str">
        <v>状态灯</v>
      </c>
      <c r="C26" s="15" t="str">
        <v>signal_light_0022</v>
      </c>
      <c r="D26" s="16">
        <v>1</v>
      </c>
      <c r="E26" s="15"/>
      <c r="F26" s="15" t="str">
        <v>辅助系统供电故障指示灯</v>
      </c>
      <c r="G26" s="15" t="str">
        <v>低频变化</v>
      </c>
      <c r="H26" s="15" t="str">
        <v>states</v>
      </c>
      <c r="I26" s="15" t="str">
        <v>状态</v>
      </c>
      <c r="J26" s="15" t="str">
        <v>enum</v>
      </c>
      <c r="K26" s="47" t="str">
        <v>关闭，显示红色，红色闪烁</v>
      </c>
      <c r="N26" s="15" t="str">
        <v>Y</v>
      </c>
      <c r="O26" s="36" t="str">
        <v>Y</v>
      </c>
      <c r="P26" s="37" t="str">
        <v>Y</v>
      </c>
      <c r="Q26" s="43">
        <v>103</v>
      </c>
      <c r="R26" s="39" t="str">
        <v>multidisplay，id 9001</v>
      </c>
      <c r="S26" s="32" t="inlineStr">
        <is>
          <r>
            <t>@陈果果</t>
          </r>
        </is>
      </c>
      <c r="T26" s="26" t="str">
        <v>Y</v>
      </c>
      <c r="U26" s="16">
        <v>4.21</v>
      </c>
      <c r="V26" s="40" t="str">
        <v>Y</v>
      </c>
      <c r="Y26" s="15" t="str">
        <v>Y</v>
      </c>
      <c r="Z26" s="15" t="str">
        <v>手动发信号验证</v>
      </c>
      <c r="AC26" s="15" t="str">
        <v>103是低压蓄电池充电系统故障灯</v>
      </c>
    </row>
    <row r="27" ht="162" customHeight="1" spans="1:27">
      <c r="A27" s="15" t="str">
        <v>车灯</v>
      </c>
      <c r="B27" s="15" t="str">
        <v>故障灯</v>
      </c>
      <c r="C27" s="15" t="str">
        <v>signal_light_0023</v>
      </c>
      <c r="D27" s="16">
        <v>1</v>
      </c>
      <c r="E27" s="15"/>
      <c r="F27" s="15" t="str">
        <v>安全气囊故障灯</v>
      </c>
      <c r="G27" s="15" t="str">
        <v>低频变化</v>
      </c>
      <c r="H27" s="15" t="str">
        <v>states</v>
      </c>
      <c r="I27" s="15" t="str">
        <v>状态</v>
      </c>
      <c r="J27" s="15" t="str">
        <v>enum</v>
      </c>
      <c r="K27" s="18" t="str">
        <v>关闭，显示红色</v>
      </c>
      <c r="N27" s="15" t="str">
        <v>Y</v>
      </c>
      <c r="O27" s="36" t="str">
        <v>Y</v>
      </c>
      <c r="P27" s="37" t="str">
        <v>Y</v>
      </c>
      <c r="Q27" s="43">
        <v>67</v>
      </c>
      <c r="R27" s="39" t="str">
        <v>multidisplay，id 9001</v>
      </c>
      <c r="S27" s="32" t="inlineStr">
        <is>
          <r>
            <t>@尹泽陆</t>
          </r>
        </is>
      </c>
      <c r="T27" s="26" t="str">
        <v>Y</v>
      </c>
      <c r="V27" s="40" t="str">
        <v>Y</v>
      </c>
      <c r="Y27" s="15" t="str">
        <v>Y</v>
      </c>
      <c r="AA27" s="15" t="inlineStr">
        <is>
          <r>
            <rPr>
              <sz val="10"/>
              <color rgb="FF1F2329"/>
              <rFont val="Arial"/>
            </rPr>
            <t>仪表是红色闪烁状态，但是需求中无该状态，产品需要确认，</t>
          </r>
          <r>
            <rPr>
              <sz val="10"/>
              <color rgb="FFF54A45"/>
              <rFont val="Arial"/>
            </rPr>
            <t>产品确认删除该信号，留signal_light_0024</t>
          </r>
        </is>
      </c>
    </row>
    <row r="28" ht="162" customHeight="1" spans="1:29">
      <c r="A28" s="15" t="str">
        <v>车灯</v>
      </c>
      <c r="B28" s="15" t="str">
        <v>故障灯</v>
      </c>
      <c r="C28" s="15" t="str">
        <v>signal_light_0024</v>
      </c>
      <c r="D28" s="16">
        <v>1</v>
      </c>
      <c r="E28" s="15"/>
      <c r="F28" s="15" t="str">
        <v>安全气囊未标定灯</v>
      </c>
      <c r="G28" s="15" t="str">
        <v>低频变化</v>
      </c>
      <c r="H28" s="15" t="str">
        <v>states</v>
      </c>
      <c r="I28" s="15" t="str">
        <v>状态</v>
      </c>
      <c r="J28" s="15" t="str">
        <v>enum</v>
      </c>
      <c r="K28" s="15" t="inlineStr">
        <is>
          <r>
            <rPr>
              <sz val="10"/>
              <color rgb="FF1F2329"/>
              <rFont val="Arial"/>
            </rPr>
            <t>关闭，显示红色，</t>
          </r>
          <r>
            <rPr>
              <sz val="10"/>
              <color rgb="FFF54A45"/>
              <rFont val="Arial"/>
            </rPr>
            <t>红色闪烁</t>
          </r>
        </is>
      </c>
      <c r="N28" s="49" t="str">
        <v>Y</v>
      </c>
      <c r="O28" s="36" t="str">
        <v>N （与安全气囊灯重复）</v>
      </c>
      <c r="P28" s="37" t="str">
        <v>NA</v>
      </c>
      <c r="Q28" s="36" t="str">
        <v>NA</v>
      </c>
      <c r="S28" s="32" t="inlineStr">
        <is>
          <r>
            <t>@尹泽陆</t>
          </r>
        </is>
      </c>
      <c r="T28" s="26" t="str">
        <v>N</v>
      </c>
      <c r="V28" s="26" t="str">
        <v>Y</v>
      </c>
      <c r="Y28" s="15" t="str">
        <v>N</v>
      </c>
      <c r="AA28" s="45" t="str">
        <v>去掉23，留取24</v>
      </c>
      <c r="AC28" s="15" t="str">
        <v>67 的1 是红色， 闪烁不知道</v>
      </c>
    </row>
    <row r="29" spans="1:23">
      <c r="A29" s="15" t="str">
        <v>车灯</v>
      </c>
      <c r="H29" s="15" t="str">
        <v>flash</v>
      </c>
      <c r="I29" s="15" t="str">
        <v>闪烁频率</v>
      </c>
      <c r="J29" s="15" t="str">
        <v>enum</v>
      </c>
      <c r="K29" s="18" t="str">
        <v>0.5Hz，常亮</v>
      </c>
      <c r="N29" s="15" t="str">
        <v>N</v>
      </c>
      <c r="O29" s="36" t="str">
        <v>N</v>
      </c>
      <c r="P29" s="37" t="str">
        <v>NA</v>
      </c>
      <c r="S29" s="32" t="inlineStr">
        <is>
          <r>
            <t>@陈果果</t>
          </r>
        </is>
      </c>
      <c r="T29" s="26" t="str">
        <v>N</v>
      </c>
      <c r="V29" s="15" t="str">
        <v>N</v>
      </c>
      <c r="W29" s="15" t="str">
        <v>没有频率需求，不支持获取</v>
      </c>
    </row>
    <row r="30" ht="179" customHeight="1" spans="1:27">
      <c r="A30" s="15" t="str">
        <v>车灯</v>
      </c>
      <c r="B30" s="15" t="str">
        <v>状态灯</v>
      </c>
      <c r="C30" s="15" t="str">
        <v>signal_light_0025</v>
      </c>
      <c r="D30" s="16">
        <v>1</v>
      </c>
      <c r="E30" s="15"/>
      <c r="F30" s="15" t="str">
        <v>第一排安全带未系提醒灯</v>
      </c>
      <c r="G30" s="15" t="str">
        <v>低频变化</v>
      </c>
      <c r="H30" s="15" t="str">
        <v>states</v>
      </c>
      <c r="I30" s="15" t="str">
        <v>状态</v>
      </c>
      <c r="J30" s="15" t="str">
        <v>enum</v>
      </c>
      <c r="K30" s="47" t="str">
        <v>关闭，显示红色，红色闪烁</v>
      </c>
      <c r="N30" s="50" t="str">
        <v>N（新信号signal_light_0117）</v>
      </c>
      <c r="O30" s="36" t="str">
        <v>Y</v>
      </c>
      <c r="P30" s="37" t="str">
        <v>Y</v>
      </c>
      <c r="Q30" s="43">
        <v>68</v>
      </c>
      <c r="R30" s="39" t="str">
        <v>multidisplay，id 9001</v>
      </c>
      <c r="S30" s="32" t="inlineStr">
        <is>
          <r>
            <t>@陈果果</t>
          </r>
        </is>
      </c>
      <c r="T30" s="26" t="str">
        <v>Y</v>
      </c>
      <c r="U30" s="27">
        <v>4.21</v>
      </c>
      <c r="V30" s="40" t="str">
        <v>Y</v>
      </c>
      <c r="Y30" s="15" t="str">
        <v>B</v>
      </c>
      <c r="Z30" s="15" t="str">
        <v>信号取消了</v>
      </c>
      <c r="AA30" s="15" t="str">
        <v>信号取消了</v>
      </c>
    </row>
    <row r="31" spans="1:27">
      <c r="A31" s="15" t="str">
        <v>车灯</v>
      </c>
      <c r="B31" s="15" t="str">
        <v>状态灯</v>
      </c>
      <c r="C31" s="15" t="str">
        <v>signal_light_0026</v>
      </c>
      <c r="D31" s="16">
        <v>1</v>
      </c>
      <c r="F31" s="15" t="str">
        <v>第二排安全带未系提示灯</v>
      </c>
      <c r="G31" s="15" t="str">
        <v>低频变化</v>
      </c>
      <c r="H31" s="15" t="str">
        <v>states</v>
      </c>
      <c r="I31" s="15" t="str">
        <v>状态</v>
      </c>
      <c r="J31" s="15" t="str">
        <v>enum</v>
      </c>
      <c r="K31" s="15" t="str">
        <v>关闭，显示红色，红色闪烁</v>
      </c>
      <c r="N31" s="50" t="str">
        <v>N（新信号signal_light_0118）</v>
      </c>
      <c r="O31" s="36" t="str">
        <v>Y</v>
      </c>
      <c r="P31" s="37" t="str">
        <v>Y</v>
      </c>
      <c r="Q31" s="51">
        <v>68</v>
      </c>
      <c r="R31" s="39" t="str">
        <v>multidisplay，id 9001</v>
      </c>
      <c r="S31" s="32" t="inlineStr">
        <is>
          <r>
            <t>@陈果果</t>
          </r>
        </is>
      </c>
      <c r="T31" s="26" t="str">
        <v>N</v>
      </c>
      <c r="U31" s="27">
        <v>4.21</v>
      </c>
      <c r="V31" s="52" t="str">
        <v>N</v>
      </c>
      <c r="AA31" s="15" t="str">
        <v>信号取消了</v>
      </c>
    </row>
    <row r="32" ht="169" customHeight="1" spans="1:23">
      <c r="A32" s="15" t="str">
        <v>车灯</v>
      </c>
      <c r="B32" s="15" t="str">
        <v>状态灯</v>
      </c>
      <c r="C32" s="15" t="str">
        <v>signal_light_0027</v>
      </c>
      <c r="D32" s="16">
        <v>1</v>
      </c>
      <c r="E32" s="15"/>
      <c r="F32" s="15" t="str">
        <v>安全约束系统--行人保护提醒报警灯</v>
      </c>
      <c r="G32" s="15" t="str">
        <v>低频变化</v>
      </c>
      <c r="H32" s="15" t="str">
        <v>states</v>
      </c>
      <c r="I32" s="15" t="str">
        <v>状态</v>
      </c>
      <c r="J32" s="15" t="str">
        <v>enum</v>
      </c>
      <c r="K32" s="15" t="str">
        <v>关闭，显示红色，显示黄色</v>
      </c>
      <c r="N32" s="15" t="str">
        <v>N</v>
      </c>
      <c r="O32" s="36" t="str">
        <v>N</v>
      </c>
      <c r="P32" s="37" t="str">
        <v>NA</v>
      </c>
      <c r="R32" s="39" t="str">
        <v>multidisplay，id 9001</v>
      </c>
      <c r="S32" s="32" t="inlineStr">
        <is>
          <r>
            <t>@陈果果</t>
          </r>
        </is>
      </c>
      <c r="T32" s="26" t="str">
        <v>N</v>
      </c>
      <c r="V32" s="26" t="str">
        <v>N</v>
      </c>
      <c r="W32" s="15" t="str">
        <v>不支持</v>
      </c>
    </row>
    <row r="33" ht="145" customHeight="1" spans="1:27">
      <c r="A33" s="15" t="str">
        <v>车灯</v>
      </c>
      <c r="B33" s="15" t="str">
        <v>故障灯</v>
      </c>
      <c r="C33" s="15" t="str">
        <v>signal_light_0028</v>
      </c>
      <c r="D33" s="16">
        <v>1</v>
      </c>
      <c r="E33" s="15"/>
      <c r="F33" s="15" t="str">
        <v>转向故障提示灯</v>
      </c>
      <c r="G33" s="15" t="str">
        <v>低频变化</v>
      </c>
      <c r="H33" s="15" t="str">
        <v>states</v>
      </c>
      <c r="I33" s="15" t="str">
        <v>状态</v>
      </c>
      <c r="J33" s="15" t="str">
        <v>enum</v>
      </c>
      <c r="K33" s="15" t="inlineStr">
        <is>
          <r>
            <rPr>
              <sz val="10"/>
              <color rgb="FF1F2329"/>
              <rFont val="Arial"/>
            </rPr>
            <t>关闭，显示红色，</t>
          </r>
          <r>
            <rPr>
              <sz val="10"/>
              <color rgb="FFF54A45"/>
              <rFont val="Arial"/>
            </rPr>
            <t>红色闪烁</t>
          </r>
        </is>
      </c>
      <c r="N33" s="15" t="str">
        <v>Y</v>
      </c>
      <c r="O33" s="36" t="str">
        <v>Y</v>
      </c>
      <c r="P33" s="37" t="str">
        <v>Y</v>
      </c>
      <c r="Q33" s="43">
        <v>35</v>
      </c>
      <c r="R33" s="39" t="str">
        <v>multidisplay，id 9001</v>
      </c>
      <c r="S33" s="32" t="inlineStr">
        <is>
          <r>
            <t>@尹泽陆</t>
          </r>
        </is>
      </c>
      <c r="T33" s="26" t="str">
        <v>Y</v>
      </c>
      <c r="U33" s="27">
        <v>4.27</v>
      </c>
      <c r="V33" s="40" t="str">
        <v>Y</v>
      </c>
      <c r="Y33" s="15" t="str">
        <v>B</v>
      </c>
      <c r="AA33" s="26" t="inlineStr">
        <is>
          <r>
            <rPr>
              <sz val="10"/>
              <color rgb="FF1F2329"/>
              <rFont val="Arial"/>
            </rPr>
            <t>但是未获取到闪烁的的状态，经和开发确认无闪烁状态，是否删除闪烁状态，</t>
          </r>
          <r>
            <rPr>
              <sz val="10"/>
              <color rgb="FFF54A45"/>
              <rFont val="Arial"/>
            </rPr>
            <t>需要和上汽确认@韩天亮</t>
          </r>
        </is>
      </c>
    </row>
    <row r="34" spans="1:19">
      <c r="A34" s="15" t="str">
        <v>车灯</v>
      </c>
      <c r="H34" s="15" t="str">
        <v>flash</v>
      </c>
      <c r="I34" s="15" t="str">
        <v>闪烁频率</v>
      </c>
      <c r="J34" s="15" t="str">
        <v>enum</v>
      </c>
      <c r="K34" s="18" t="str">
        <v>0.5Hz，常亮</v>
      </c>
      <c r="N34" s="15" t="str">
        <v>Y</v>
      </c>
      <c r="O34" s="36" t="str">
        <v>N</v>
      </c>
      <c r="P34" s="37" t="str">
        <v>NA</v>
      </c>
      <c r="S34" s="32" t="inlineStr">
        <is>
          <r>
            <t>@尹泽陆</t>
          </r>
        </is>
      </c>
    </row>
    <row r="35" ht="145" customHeight="1" spans="1:29">
      <c r="A35" s="15" t="str">
        <v>车灯</v>
      </c>
      <c r="B35" s="15" t="str">
        <v>故障灯</v>
      </c>
      <c r="C35" s="15" t="str">
        <v>signal_light_0029</v>
      </c>
      <c r="D35" s="16">
        <v>2</v>
      </c>
      <c r="E35" s="15"/>
      <c r="F35" s="15" t="str">
        <v>方向盘角度故障提示灯</v>
      </c>
      <c r="G35" s="15" t="str">
        <v>低频变化</v>
      </c>
      <c r="H35" s="15" t="str">
        <v>states</v>
      </c>
      <c r="I35" s="15" t="str">
        <v>状态</v>
      </c>
      <c r="J35" s="15" t="str">
        <v>enum</v>
      </c>
      <c r="K35" s="18" t="str">
        <v>关闭，显示黄色，显示红色</v>
      </c>
      <c r="N35" s="15" t="str">
        <v>Y</v>
      </c>
      <c r="O35" s="36" t="str">
        <v>Y</v>
      </c>
      <c r="P35" s="37" t="str">
        <v>Y</v>
      </c>
      <c r="Q35" s="43">
        <v>36</v>
      </c>
      <c r="R35" s="39" t="str">
        <v>multidisplay，id 9001</v>
      </c>
      <c r="S35" s="32" t="inlineStr">
        <is>
          <r>
            <t>@尹泽陆</t>
          </r>
        </is>
      </c>
      <c r="T35" s="26" t="str">
        <v>Y</v>
      </c>
      <c r="U35" s="27">
        <v>4.27</v>
      </c>
      <c r="V35" s="40" t="str">
        <v>Y</v>
      </c>
      <c r="Y35" s="15" t="str">
        <v>B</v>
      </c>
      <c r="Z35" s="15" t="str">
        <v>手动发信号验证</v>
      </c>
      <c r="AA35" s="15" t="str">
        <v>红色仪表没有显示，但是有数据落库</v>
      </c>
      <c r="AB35" s="15" t="str">
        <v>待确认</v>
      </c>
      <c r="AC35" s="15" t="str">
        <v>36 只有黄色</v>
      </c>
    </row>
    <row r="36" spans="1:22">
      <c r="A36" s="15" t="str">
        <v>车灯</v>
      </c>
      <c r="H36" s="15" t="str">
        <v>abnormal_cause</v>
      </c>
      <c r="I36" s="15" t="str">
        <v>异常原因</v>
      </c>
      <c r="J36" s="15" t="str">
        <v>str</v>
      </c>
      <c r="N36" s="15" t="str">
        <v>N</v>
      </c>
      <c r="O36" s="36" t="str">
        <v>N</v>
      </c>
      <c r="P36" s="37" t="str">
        <v>NA</v>
      </c>
      <c r="R36" s="39" t="str">
        <v>multidisplay，id 9001</v>
      </c>
      <c r="S36" s="32" t="inlineStr">
        <is>
          <r>
            <t>@陈果果</t>
          </r>
        </is>
      </c>
      <c r="T36" s="26" t="str">
        <v>N</v>
      </c>
      <c r="V36" s="15" t="str">
        <v>N</v>
      </c>
    </row>
    <row r="37" ht="145" customHeight="1" spans="1:25">
      <c r="A37" s="15" t="str">
        <v>车灯</v>
      </c>
      <c r="B37" s="15" t="str">
        <v>故障灯</v>
      </c>
      <c r="C37" s="15" t="str">
        <v>signal_light_0030</v>
      </c>
      <c r="D37" s="16">
        <v>2</v>
      </c>
      <c r="E37" s="15"/>
      <c r="F37" s="15" t="str">
        <v>ESCL故障提示灯</v>
      </c>
      <c r="G37" s="15" t="str">
        <v>低频变化</v>
      </c>
      <c r="H37" s="15" t="str">
        <v>states</v>
      </c>
      <c r="I37" s="15" t="str">
        <v>状态</v>
      </c>
      <c r="J37" s="15" t="str">
        <v>enum</v>
      </c>
      <c r="K37" s="18" t="str">
        <v>关闭，显示黄色，显示红色</v>
      </c>
      <c r="N37" s="50" t="str">
        <v>N</v>
      </c>
      <c r="O37" s="36" t="str">
        <v>Y</v>
      </c>
      <c r="P37" s="37" t="str">
        <v>Y</v>
      </c>
      <c r="Q37" s="43">
        <v>36</v>
      </c>
      <c r="R37" s="39" t="str">
        <v>multidisplay，id 9001</v>
      </c>
      <c r="S37" s="32" t="inlineStr">
        <is>
          <r>
            <t>@尹泽陆</t>
          </r>
        </is>
      </c>
      <c r="T37" s="26" t="str">
        <v>Y</v>
      </c>
      <c r="U37" s="27">
        <v>4.27</v>
      </c>
      <c r="V37" s="40" t="str">
        <v>Y</v>
      </c>
      <c r="Y37" s="15" t="str">
        <v>Y</v>
      </c>
    </row>
    <row r="38" ht="145" customHeight="1" spans="1:25">
      <c r="A38" s="15" t="str">
        <v>车灯</v>
      </c>
      <c r="B38" s="15" t="str">
        <v>状态灯</v>
      </c>
      <c r="C38" s="15" t="str">
        <v>signal_light_0031</v>
      </c>
      <c r="D38" s="16">
        <v>2</v>
      </c>
      <c r="E38" s="15"/>
      <c r="F38" s="15" t="str">
        <v>转向降低提示灯</v>
      </c>
      <c r="G38" s="15" t="str">
        <v>低频变化</v>
      </c>
      <c r="H38" s="15" t="str">
        <v>states</v>
      </c>
      <c r="I38" s="15" t="str">
        <v>状态</v>
      </c>
      <c r="J38" s="15" t="str">
        <v>enum</v>
      </c>
      <c r="K38" s="18" t="str">
        <v>关闭，显示黄色，显示红色</v>
      </c>
      <c r="N38" s="50" t="str">
        <v>N</v>
      </c>
      <c r="O38" s="36" t="str">
        <v>Y</v>
      </c>
      <c r="P38" s="37" t="str">
        <v>Y</v>
      </c>
      <c r="Q38" s="43">
        <v>36</v>
      </c>
      <c r="R38" s="39" t="str">
        <v>multidisplay，id 9001</v>
      </c>
      <c r="S38" s="32" t="inlineStr">
        <is>
          <r>
            <t>@陈果果</t>
          </r>
        </is>
      </c>
      <c r="T38" s="26" t="str">
        <v>Y</v>
      </c>
      <c r="U38" s="16">
        <v>4.21</v>
      </c>
      <c r="V38" s="40" t="str">
        <v>Y</v>
      </c>
      <c r="Y38" s="15" t="str">
        <v>Y</v>
      </c>
    </row>
    <row r="39" ht="222" customHeight="1" spans="1:27">
      <c r="A39" s="15" t="str">
        <v>车灯</v>
      </c>
      <c r="B39" s="15" t="str">
        <v>状态灯</v>
      </c>
      <c r="C39" s="15" t="str">
        <v>signal_light_0032</v>
      </c>
      <c r="D39" s="16">
        <v>1</v>
      </c>
      <c r="E39" s="15"/>
      <c r="F39" s="15" t="str">
        <v>EPB指示提示灯</v>
      </c>
      <c r="G39" s="15" t="str">
        <v>低频变化</v>
      </c>
      <c r="H39" s="15" t="str">
        <v>states</v>
      </c>
      <c r="I39" s="15" t="str">
        <v>状态</v>
      </c>
      <c r="J39" s="15" t="str">
        <v>enum</v>
      </c>
      <c r="K39" s="18" t="str">
        <v>关闭，显示红色</v>
      </c>
      <c r="N39" s="15" t="str">
        <v>Y</v>
      </c>
      <c r="O39" s="36" t="str">
        <v>Y</v>
      </c>
      <c r="P39" s="37" t="str">
        <v>Y</v>
      </c>
      <c r="Q39" s="43">
        <v>33</v>
      </c>
      <c r="R39" s="39" t="str">
        <v>multidisplay，id 9001</v>
      </c>
      <c r="S39" s="32" t="inlineStr">
        <is>
          <r>
            <t>@陈果果</t>
          </r>
        </is>
      </c>
      <c r="T39" s="26" t="str">
        <v>Y</v>
      </c>
      <c r="U39" s="27">
        <v>4.21</v>
      </c>
      <c r="V39" s="40" t="str">
        <v>Y</v>
      </c>
      <c r="Y39" s="15" t="str">
        <v>Y</v>
      </c>
      <c r="AA39" s="15" t="inlineStr">
        <is>
          <r>
            <rPr>
              <sz val="10"/>
              <color rgb="FF1F2329"/>
              <rFont val="Arial"/>
            </rPr>
            <t>和33的区别是什么，目前状态是一致的，</t>
          </r>
          <r>
            <rPr>
              <sz val="10"/>
              <color rgb="FFF54A45"/>
              <rFont val="Arial"/>
            </rPr>
            <t>删除该信号，保留signal_light_0033</t>
          </r>
        </is>
      </c>
    </row>
    <row r="40" ht="222" customHeight="1" spans="1:27">
      <c r="A40" s="15" t="str">
        <v>车灯</v>
      </c>
      <c r="B40" s="15" t="str">
        <v>状态灯</v>
      </c>
      <c r="C40" s="15" t="str">
        <v>signal_light_0033</v>
      </c>
      <c r="D40" s="16">
        <v>1</v>
      </c>
      <c r="E40" s="15"/>
      <c r="F40" s="15" t="str">
        <v>EPB未释放提示灯</v>
      </c>
      <c r="G40" s="15" t="str">
        <v>低频变化</v>
      </c>
      <c r="H40" s="15" t="str">
        <v>states</v>
      </c>
      <c r="I40" s="15" t="str">
        <v>状态</v>
      </c>
      <c r="J40" s="15" t="str">
        <v>enum</v>
      </c>
      <c r="K40" s="15" t="str">
        <v>关闭，显示红色，红色闪烁</v>
      </c>
      <c r="N40" s="15" t="str">
        <v>Y</v>
      </c>
      <c r="O40" s="36" t="str">
        <v>Y</v>
      </c>
      <c r="P40" s="37" t="str">
        <v>Y</v>
      </c>
      <c r="Q40" s="51">
        <v>33</v>
      </c>
      <c r="R40" s="39" t="str">
        <v>multidisplay，id 9001</v>
      </c>
      <c r="S40" s="32" t="inlineStr">
        <is>
          <r>
            <t>@陈果果</t>
          </r>
        </is>
      </c>
      <c r="T40" s="26" t="str">
        <v>Y</v>
      </c>
      <c r="U40" s="27">
        <v>4.21</v>
      </c>
      <c r="V40" s="40" t="str">
        <v>Y</v>
      </c>
      <c r="Y40" s="15" t="str">
        <v>Y</v>
      </c>
      <c r="AA40" s="45" t="str">
        <v>保留</v>
      </c>
    </row>
    <row r="41" spans="1:23">
      <c r="A41" s="15" t="str">
        <v>车灯</v>
      </c>
      <c r="H41" s="15" t="str">
        <v>flash</v>
      </c>
      <c r="I41" s="15" t="str">
        <v>闪烁频率</v>
      </c>
      <c r="J41" s="15" t="str">
        <v>enum</v>
      </c>
      <c r="K41" s="18" t="str">
        <v>2Hz，常亮</v>
      </c>
      <c r="N41" s="15" t="str">
        <v>N（固定频率，不支持获取）</v>
      </c>
      <c r="O41" s="36" t="str">
        <v>N</v>
      </c>
      <c r="P41" s="37" t="str">
        <v>NA</v>
      </c>
      <c r="S41" s="32" t="inlineStr">
        <is>
          <r>
            <t>@陈果果</t>
          </r>
        </is>
      </c>
      <c r="T41" s="26" t="str">
        <v>N</v>
      </c>
      <c r="V41" s="15" t="str">
        <v>N</v>
      </c>
      <c r="W41" s="15" t="str">
        <v>没有频率需求，不支持获取</v>
      </c>
    </row>
    <row r="42" ht="191" customHeight="1" spans="1:27">
      <c r="A42" s="15" t="str">
        <v>车灯</v>
      </c>
      <c r="B42" s="15" t="str">
        <v>故障灯</v>
      </c>
      <c r="C42" s="15" t="str">
        <v>signal_light_0034</v>
      </c>
      <c r="D42" s="16">
        <v>1</v>
      </c>
      <c r="E42" s="15"/>
      <c r="F42" s="15" t="str">
        <v>EPB故障提示灯</v>
      </c>
      <c r="G42" s="15" t="str">
        <v>低频变化</v>
      </c>
      <c r="H42" s="15" t="str">
        <v>states</v>
      </c>
      <c r="I42" s="15" t="str">
        <v>状态</v>
      </c>
      <c r="J42" s="15" t="str">
        <v>enum</v>
      </c>
      <c r="K42" s="15" t="str">
        <v>关闭，显示黄色，黄色闪烁</v>
      </c>
      <c r="N42" s="15" t="str">
        <v>Y</v>
      </c>
      <c r="O42" s="36" t="str">
        <v>Y</v>
      </c>
      <c r="P42" s="37" t="str">
        <v>Y</v>
      </c>
      <c r="Q42" s="43">
        <v>34</v>
      </c>
      <c r="R42" s="39" t="str">
        <v>multidisplay，id 9001</v>
      </c>
      <c r="S42" s="32" t="inlineStr">
        <is>
          <r>
            <t>@尹泽陆</t>
          </r>
        </is>
      </c>
      <c r="T42" s="26" t="str">
        <v>Y</v>
      </c>
      <c r="U42" s="27">
        <v>4.27</v>
      </c>
      <c r="V42" s="40" t="str">
        <v>Y</v>
      </c>
      <c r="Y42" s="15" t="str">
        <v>B</v>
      </c>
      <c r="AA42" s="26" t="inlineStr">
        <is>
          <r>
            <rPr>
              <sz val="10"/>
              <color rgb="FF1F2329"/>
              <rFont val="Arial"/>
            </rPr>
            <t>但是未获取到闪烁的的状态，经和开发确认无闪烁状态，是否删除闪烁状态</t>
          </r>
          <r>
            <rPr>
              <sz val="10"/>
              <color rgb="FFF54A45"/>
              <rFont val="Arial"/>
            </rPr>
            <t>需要和上汽确认@韩天亮</t>
          </r>
        </is>
      </c>
    </row>
    <row r="43" spans="1:22">
      <c r="A43" s="15" t="str">
        <v>车灯</v>
      </c>
      <c r="H43" s="15" t="str">
        <v>flash</v>
      </c>
      <c r="I43" s="15" t="str">
        <v>闪烁频率</v>
      </c>
      <c r="J43" s="15" t="str">
        <v>enum</v>
      </c>
      <c r="K43" s="18" t="str">
        <v>2Hz，常亮</v>
      </c>
      <c r="N43" s="15" t="str">
        <v>N</v>
      </c>
      <c r="O43" s="36" t="str">
        <v>N</v>
      </c>
      <c r="P43" s="37" t="str">
        <v>NA</v>
      </c>
      <c r="S43" s="32" t="inlineStr">
        <is>
          <r>
            <t>@陈果果</t>
          </r>
        </is>
      </c>
      <c r="T43" s="26" t="str">
        <v>N</v>
      </c>
      <c r="V43" s="15" t="str">
        <v>N</v>
      </c>
    </row>
    <row r="44" ht="174" customHeight="1" spans="1:25">
      <c r="A44" s="15" t="str">
        <v>车灯</v>
      </c>
      <c r="B44" s="15" t="str">
        <v>状态灯</v>
      </c>
      <c r="C44" s="15" t="str">
        <v>signal_light_0035</v>
      </c>
      <c r="D44" s="16">
        <v>1</v>
      </c>
      <c r="E44" s="15"/>
      <c r="F44" s="15" t="str">
        <v>钥匙不在车内/防盗指示灯</v>
      </c>
      <c r="G44" s="15" t="str">
        <v>低频变化</v>
      </c>
      <c r="H44" s="15" t="str">
        <v>states</v>
      </c>
      <c r="I44" s="15" t="str">
        <v>状态</v>
      </c>
      <c r="J44" s="15" t="str">
        <v>enum</v>
      </c>
      <c r="K44" s="18" t="str">
        <v>关闭，显示红色，红色闪烁</v>
      </c>
      <c r="N44" s="15" t="str">
        <v>Y</v>
      </c>
      <c r="O44" s="36" t="str">
        <v>Y</v>
      </c>
      <c r="P44" s="37" t="str">
        <v>Y</v>
      </c>
      <c r="Q44" s="43">
        <v>50</v>
      </c>
      <c r="R44" s="39" t="str">
        <v>multidisplay，id 9001</v>
      </c>
      <c r="S44" s="32" t="inlineStr">
        <is>
          <r>
            <t>@陈果果</t>
          </r>
        </is>
      </c>
      <c r="T44" s="26" t="str">
        <v>Y</v>
      </c>
      <c r="U44" s="16">
        <v>4.21</v>
      </c>
      <c r="V44" s="40" t="str">
        <v>Y</v>
      </c>
      <c r="Y44" s="15" t="str">
        <v>Y</v>
      </c>
    </row>
    <row r="45" spans="1:29">
      <c r="A45" s="15" t="str">
        <v>车灯</v>
      </c>
      <c r="B45" s="15" t="str">
        <v>故障灯</v>
      </c>
      <c r="C45" s="15" t="str">
        <v>signal_light_0036</v>
      </c>
      <c r="D45" s="16">
        <v>2</v>
      </c>
      <c r="F45" s="15" t="str">
        <v>动力电池故障指示灯</v>
      </c>
      <c r="G45" s="15" t="str">
        <v>低频变化</v>
      </c>
      <c r="H45" s="15" t="str">
        <v>states</v>
      </c>
      <c r="I45" s="15" t="str">
        <v>状态</v>
      </c>
      <c r="J45" s="15" t="str">
        <v>enum</v>
      </c>
      <c r="K45" s="44" t="inlineStr">
        <is>
          <r>
            <rPr>
              <sz val="10"/>
              <color rgb="FFF54A45"/>
              <rFont val="Arial"/>
            </rPr>
            <t xml:space="preserve">关闭，显示红色，显示黄色，红色闪烁，黄色闪烁
</t>
          </r>
          <r>
            <rPr>
              <sz val="10"/>
              <color rgb="FF4E83FD"/>
              <rFont val="Arial"/>
            </rPr>
            <t xml:space="preserve">只有(关闭，显示红色，显示黄色)
</t>
          </r>
        </is>
      </c>
      <c r="N45" s="15" t="str">
        <v>Y</v>
      </c>
      <c r="O45" s="36" t="str">
        <v>Y</v>
      </c>
      <c r="P45" s="37" t="str">
        <v>Y</v>
      </c>
      <c r="Q45" s="43">
        <v>86</v>
      </c>
      <c r="R45" s="39" t="str">
        <v>multidisplay，id 9001</v>
      </c>
      <c r="S45" s="32" t="inlineStr">
        <is>
          <r>
            <t>@尹泽陆</t>
          </r>
        </is>
      </c>
      <c r="T45" s="26" t="str">
        <v>Y</v>
      </c>
      <c r="U45" s="27">
        <v>4.27</v>
      </c>
      <c r="V45" s="40" t="str">
        <v>Y</v>
      </c>
      <c r="Y45" s="15" t="str">
        <v>B</v>
      </c>
      <c r="Z45" s="15" t="str">
        <v>手动发信号验证</v>
      </c>
      <c r="AA45" s="15" t="str">
        <v>目前发送1，3仪表显示黄色，2仪表无反应，4仪表显示红色，但是除1外其他数据，数据库洛库都是显示红色</v>
      </c>
      <c r="AB45" s="15" t="str">
        <v>待确认</v>
      </c>
      <c r="AC45" s="15" t="str">
        <v>86-黄色
87-红色</v>
      </c>
    </row>
    <row r="46" ht="132" customHeight="1" spans="1:23">
      <c r="A46" s="15" t="str">
        <v>车灯</v>
      </c>
      <c r="B46" s="15" t="str">
        <v>状态灯</v>
      </c>
      <c r="C46" s="15" t="str">
        <v>signal_light_0037</v>
      </c>
      <c r="D46" s="16">
        <v>1</v>
      </c>
      <c r="E46" s="15"/>
      <c r="F46" s="15" t="str">
        <v>动力电池电量灯</v>
      </c>
      <c r="G46" s="15" t="str">
        <v>低频变化</v>
      </c>
      <c r="H46" s="15" t="str">
        <v>states</v>
      </c>
      <c r="I46" s="15" t="str">
        <v>状态</v>
      </c>
      <c r="J46" s="15" t="str">
        <v>enum</v>
      </c>
      <c r="K46" s="15" t="inlineStr">
        <is>
          <r>
            <rPr>
              <sz val="10"/>
              <color rgb="FF1F2329"/>
              <rFont val="Arial"/>
            </rPr>
            <t>关闭，显示绿色，</t>
          </r>
          <r>
            <rPr>
              <sz val="10"/>
              <color rgb="FFF54A45"/>
              <rFont val="Arial"/>
            </rPr>
            <t>显示白色</t>
          </r>
        </is>
      </c>
      <c r="N46" s="50" t="str">
        <v>Y（@王超）</v>
      </c>
      <c r="O46" s="36" t="str">
        <v>N</v>
      </c>
      <c r="P46" s="37" t="str">
        <v>NA</v>
      </c>
      <c r="R46" s="39" t="str">
        <v>multidisplay，id 9001</v>
      </c>
      <c r="S46" s="32" t="inlineStr">
        <is>
          <r>
            <t>@陈果果</t>
          </r>
        </is>
      </c>
      <c r="T46" s="26" t="str">
        <v>N</v>
      </c>
      <c r="U46" s="16">
        <v>4.21</v>
      </c>
      <c r="V46" s="26" t="str">
        <v>N</v>
      </c>
      <c r="W46" s="26" t="str">
        <v>上汽表示无此需求</v>
      </c>
    </row>
    <row r="47" ht="117" customHeight="1" spans="1:26">
      <c r="A47" s="15" t="str">
        <v>车灯</v>
      </c>
      <c r="B47" s="15" t="str">
        <v>状态灯</v>
      </c>
      <c r="C47" s="15" t="str">
        <v>signal_light_0038</v>
      </c>
      <c r="D47" s="16">
        <v>1</v>
      </c>
      <c r="E47" s="15"/>
      <c r="F47" s="15" t="str">
        <v>动力电池电量低提示灯</v>
      </c>
      <c r="G47" s="15" t="str">
        <v>低频变化</v>
      </c>
      <c r="H47" s="15" t="str">
        <v>states</v>
      </c>
      <c r="I47" s="15" t="str">
        <v>状态</v>
      </c>
      <c r="J47" s="15" t="str">
        <v>enum</v>
      </c>
      <c r="K47" s="18" t="str">
        <v>关闭，显示黄色</v>
      </c>
      <c r="N47" s="15" t="str">
        <v>Y</v>
      </c>
      <c r="O47" s="36" t="str">
        <v>Y</v>
      </c>
      <c r="P47" s="37" t="str">
        <v>Y</v>
      </c>
      <c r="Q47" s="43">
        <v>93</v>
      </c>
      <c r="R47" s="39" t="str">
        <v>multidisplay，id 9001</v>
      </c>
      <c r="S47" s="32" t="inlineStr">
        <is>
          <r>
            <t>@陈果果</t>
          </r>
        </is>
      </c>
      <c r="T47" s="26" t="str">
        <v>Y</v>
      </c>
      <c r="U47" s="16">
        <v>4.21</v>
      </c>
      <c r="V47" s="40" t="str">
        <v>Y</v>
      </c>
      <c r="Y47" s="15" t="str">
        <v>Y</v>
      </c>
      <c r="Z47" s="15" t="str">
        <v>手动发信号验证</v>
      </c>
    </row>
    <row r="48" spans="1:23">
      <c r="A48" s="15" t="str">
        <v>车灯</v>
      </c>
      <c r="H48" s="15" t="str">
        <v>flash</v>
      </c>
      <c r="I48" s="15" t="str">
        <v>闪烁频率</v>
      </c>
      <c r="J48" s="15" t="str">
        <v>enum</v>
      </c>
      <c r="K48" s="18" t="str">
        <v>0.5Hz，常亮</v>
      </c>
      <c r="N48" s="15" t="str">
        <v>N（固定频率，不支持获取）</v>
      </c>
      <c r="O48" s="36" t="str">
        <v>N</v>
      </c>
      <c r="P48" s="37" t="str">
        <v>NA</v>
      </c>
      <c r="S48" s="32" t="inlineStr">
        <is>
          <r>
            <t>@陈果果</t>
          </r>
        </is>
      </c>
      <c r="T48" s="26" t="str">
        <v>N</v>
      </c>
      <c r="V48" s="26" t="str">
        <v>N</v>
      </c>
      <c r="W48" s="15" t="str">
        <v>没有频率需求，不支持获取</v>
      </c>
    </row>
    <row r="49" ht="156" customHeight="1" spans="1:25">
      <c r="A49" s="15" t="str">
        <v>车灯</v>
      </c>
      <c r="B49" s="15" t="str">
        <v>状态灯</v>
      </c>
      <c r="C49" s="15" t="str">
        <v>signal_light_0039</v>
      </c>
      <c r="D49" s="16">
        <v>1</v>
      </c>
      <c r="E49" s="15"/>
      <c r="F49" s="15" t="str">
        <v>充放电枪连接灯</v>
      </c>
      <c r="G49" s="15" t="str">
        <v>低频变化</v>
      </c>
      <c r="H49" s="15" t="str">
        <v>states</v>
      </c>
      <c r="I49" s="15" t="str">
        <v>状态</v>
      </c>
      <c r="J49" s="15" t="str">
        <v>enum</v>
      </c>
      <c r="K49" s="18" t="str">
        <v>关闭，显示红色</v>
      </c>
      <c r="N49" s="15" t="str">
        <v>Y</v>
      </c>
      <c r="O49" s="36" t="str">
        <v>Y</v>
      </c>
      <c r="P49" s="37" t="str">
        <v>Y</v>
      </c>
      <c r="Q49" s="43">
        <v>89</v>
      </c>
      <c r="R49" s="39" t="str">
        <v>multidisplay，id 9001</v>
      </c>
      <c r="S49" s="32" t="inlineStr">
        <is>
          <r>
            <t>@陈果果</t>
          </r>
        </is>
      </c>
      <c r="T49" s="26" t="str">
        <v>Y</v>
      </c>
      <c r="U49" s="16">
        <v>4.21</v>
      </c>
      <c r="V49" s="40" t="str">
        <v>Y</v>
      </c>
      <c r="Y49" s="15" t="str">
        <v>Y</v>
      </c>
    </row>
    <row r="50" ht="173" customHeight="1" spans="1:25">
      <c r="A50" s="15" t="str">
        <v>车灯</v>
      </c>
      <c r="B50" s="15" t="str">
        <v>状态灯</v>
      </c>
      <c r="C50" s="15" t="str">
        <v>signal_light_0040</v>
      </c>
      <c r="D50" s="16">
        <v>1</v>
      </c>
      <c r="E50" s="15"/>
      <c r="F50" s="15" t="str">
        <v>充电灯</v>
      </c>
      <c r="G50" s="15" t="str">
        <v>低频变化</v>
      </c>
      <c r="H50" s="15" t="str">
        <v>states</v>
      </c>
      <c r="I50" s="15" t="str">
        <v>状态</v>
      </c>
      <c r="J50" s="15" t="str">
        <v>enum</v>
      </c>
      <c r="K50" s="18" t="str">
        <v>关闭，显示绿色</v>
      </c>
      <c r="N50" s="15" t="str">
        <v>Y</v>
      </c>
      <c r="O50" s="36" t="str">
        <v>Y</v>
      </c>
      <c r="P50" s="37" t="str">
        <v>Y</v>
      </c>
      <c r="Q50" s="43">
        <v>156</v>
      </c>
      <c r="R50" s="39" t="str">
        <v>multidisplay，id 9001</v>
      </c>
      <c r="S50" s="32" t="inlineStr">
        <is>
          <r>
            <t>@陈果果</t>
          </r>
        </is>
      </c>
      <c r="T50" s="26" t="str">
        <v>Y</v>
      </c>
      <c r="U50" s="16">
        <v>4.21</v>
      </c>
      <c r="V50" s="40" t="str">
        <v>Y</v>
      </c>
      <c r="Y50" s="15" t="str">
        <v>Y</v>
      </c>
    </row>
    <row r="51" ht="185" customHeight="1" spans="1:29">
      <c r="A51" s="15" t="str">
        <v>车灯</v>
      </c>
      <c r="B51" s="15" t="str">
        <v>故障灯</v>
      </c>
      <c r="C51" s="15" t="str">
        <v>signal_light_0041</v>
      </c>
      <c r="D51" s="16">
        <v>1</v>
      </c>
      <c r="E51" s="15"/>
      <c r="F51" s="15" t="str">
        <v>充放电故障灯</v>
      </c>
      <c r="G51" s="15" t="str">
        <v>低频变化</v>
      </c>
      <c r="H51" s="15" t="str">
        <v>states</v>
      </c>
      <c r="I51" s="15" t="str">
        <v>状态</v>
      </c>
      <c r="J51" s="15" t="str">
        <v>enum</v>
      </c>
      <c r="K51" s="18" t="str">
        <v>关闭，显示黄色</v>
      </c>
      <c r="N51" s="15" t="str">
        <v>Y</v>
      </c>
      <c r="O51" s="36" t="str">
        <v>Y</v>
      </c>
      <c r="P51" s="37" t="str">
        <v>Y</v>
      </c>
      <c r="Q51" s="43">
        <v>90</v>
      </c>
      <c r="R51" s="39" t="str">
        <v>multidisplay，id 9001</v>
      </c>
      <c r="S51" s="32" t="inlineStr">
        <is>
          <r>
            <t>@尹泽陆</t>
          </r>
        </is>
      </c>
      <c r="T51" s="26" t="str">
        <v>Y</v>
      </c>
      <c r="U51" s="27">
        <v>4.27</v>
      </c>
      <c r="V51" s="40" t="str">
        <v>Y</v>
      </c>
      <c r="Y51" s="15" t="str">
        <v>Y</v>
      </c>
      <c r="Z51" s="15" t="str">
        <v>手动发信号验证</v>
      </c>
      <c r="AA51" s="15" t="str">
        <v>仪表没发现相关的标识，但是上传的信号是对的，经和研发确认有些状态灯模拟的情况有时候不一定能展示</v>
      </c>
      <c r="AB51" s="15" t="str">
        <v>待确认</v>
      </c>
      <c r="AC51" s="15" t="str">
        <v>89 和90 仪表盘无对应数据</v>
      </c>
    </row>
    <row r="52" spans="1:23">
      <c r="A52" s="15" t="str">
        <v>车灯</v>
      </c>
      <c r="H52" s="15" t="str">
        <v>flash</v>
      </c>
      <c r="I52" s="15" t="str">
        <v>闪烁频率</v>
      </c>
      <c r="J52" s="15" t="str">
        <v>enum</v>
      </c>
      <c r="K52" s="18" t="str">
        <v>1Hz，常亮</v>
      </c>
      <c r="N52" s="15" t="str">
        <v>N</v>
      </c>
      <c r="O52" s="36" t="str">
        <v>N</v>
      </c>
      <c r="P52" s="37" t="str">
        <v>NA</v>
      </c>
      <c r="S52" s="32" t="inlineStr">
        <is>
          <r>
            <t>@陈果果</t>
          </r>
        </is>
      </c>
      <c r="V52" s="26" t="str">
        <v>N</v>
      </c>
      <c r="W52" s="15" t="str">
        <v>没有频率需求，不支持获取</v>
      </c>
    </row>
    <row r="53" ht="185" customHeight="1" spans="1:29">
      <c r="A53" s="15" t="str">
        <v>车灯</v>
      </c>
      <c r="B53" s="15" t="str">
        <v>状态灯</v>
      </c>
      <c r="C53" s="15" t="str">
        <v>signal_light_0042</v>
      </c>
      <c r="D53" s="16">
        <v>1</v>
      </c>
      <c r="E53" s="15"/>
      <c r="F53" s="15" t="str">
        <v>放电灯</v>
      </c>
      <c r="G53" s="15" t="str">
        <v>低频变化</v>
      </c>
      <c r="H53" s="15" t="str">
        <v>states</v>
      </c>
      <c r="I53" s="15" t="str">
        <v>状态</v>
      </c>
      <c r="J53" s="15" t="str">
        <v>enum</v>
      </c>
      <c r="K53" s="18" t="str">
        <v>关闭，显示蓝色</v>
      </c>
      <c r="N53" s="15" t="str">
        <v>Y</v>
      </c>
      <c r="O53" s="36" t="str">
        <v>Y</v>
      </c>
      <c r="P53" s="37" t="str">
        <v>Y</v>
      </c>
      <c r="Q53" s="43">
        <v>91</v>
      </c>
      <c r="R53" s="39" t="str">
        <v>multidisplay，id 9001</v>
      </c>
      <c r="S53" s="32" t="inlineStr">
        <is>
          <r>
            <t>@陈果果</t>
          </r>
        </is>
      </c>
      <c r="T53" s="26" t="str">
        <v>Y</v>
      </c>
      <c r="U53" s="16">
        <v>4.21</v>
      </c>
      <c r="V53" s="40" t="str">
        <v>Y</v>
      </c>
      <c r="Y53" s="15" t="str">
        <v>Y</v>
      </c>
      <c r="Z53" s="15" t="str">
        <v>手动发信号验证</v>
      </c>
      <c r="AA53" s="15" t="str">
        <v>仪表没发现相关的标识，但是上传的信号是对的，经和研发确认有些状态灯模拟的情况有时候不一定能展示</v>
      </c>
      <c r="AB53" s="15" t="str">
        <v>待确认</v>
      </c>
      <c r="AC53" s="15" t="str">
        <v>91仪表无反应</v>
      </c>
    </row>
    <row r="54" spans="1:22">
      <c r="A54" s="15" t="str">
        <v>车灯</v>
      </c>
      <c r="B54" s="15" t="str">
        <v>状态灯</v>
      </c>
      <c r="C54" s="15" t="str">
        <v>signal_light_0043</v>
      </c>
      <c r="D54" s="16">
        <v>1</v>
      </c>
      <c r="E54" s="22" t="str">
        <v>EP</v>
      </c>
      <c r="F54" s="15" t="str">
        <v>挡位信号无效提示灯</v>
      </c>
      <c r="G54" s="15" t="str">
        <v>低频变化</v>
      </c>
      <c r="H54" s="15" t="str">
        <v>colour</v>
      </c>
      <c r="I54" s="15" t="str">
        <v>颜色</v>
      </c>
      <c r="J54" s="15" t="str">
        <v>enum</v>
      </c>
      <c r="K54" s="18" t="str">
        <v>关闭，白色</v>
      </c>
      <c r="N54" s="15" t="str">
        <v>N</v>
      </c>
      <c r="O54" s="36" t="str">
        <v>N（VehicleIF挡位无效信号）</v>
      </c>
      <c r="P54" s="37" t="str">
        <v>NA</v>
      </c>
      <c r="S54" s="32" t="inlineStr">
        <is>
          <r>
            <t>@陈果果</t>
          </r>
        </is>
      </c>
      <c r="T54" s="26" t="str">
        <v>N</v>
      </c>
      <c r="U54" s="16">
        <v>4.21</v>
      </c>
      <c r="V54" s="15" t="str">
        <v>N</v>
      </c>
    </row>
    <row r="55" ht="100" customHeight="1" spans="1:25">
      <c r="A55" s="15" t="str">
        <v>车灯</v>
      </c>
      <c r="B55" s="15" t="str">
        <v>状态灯</v>
      </c>
      <c r="C55" s="15" t="str">
        <v>signal_light_0044</v>
      </c>
      <c r="D55" s="16">
        <v>1</v>
      </c>
      <c r="E55" s="15"/>
      <c r="F55" s="15" t="str">
        <v>系统就绪灯</v>
      </c>
      <c r="G55" s="15" t="str">
        <v>低频变化</v>
      </c>
      <c r="H55" s="15" t="str">
        <v>states</v>
      </c>
      <c r="I55" s="15" t="str">
        <v>状态</v>
      </c>
      <c r="J55" s="15" t="str">
        <v>enum</v>
      </c>
      <c r="K55" s="18" t="str">
        <v>关闭，显示绿色</v>
      </c>
      <c r="N55" s="15" t="str">
        <v>Y</v>
      </c>
      <c r="O55" s="36" t="str">
        <v>Y</v>
      </c>
      <c r="P55" s="37" t="str">
        <v>Y</v>
      </c>
      <c r="Q55" s="43">
        <v>94</v>
      </c>
      <c r="R55" s="39" t="str">
        <v>multidisplay，id 9001</v>
      </c>
      <c r="S55" s="32" t="inlineStr">
        <is>
          <r>
            <t>@陈果果</t>
          </r>
        </is>
      </c>
      <c r="T55" s="26" t="str">
        <v>Y</v>
      </c>
      <c r="U55" s="16">
        <v>4.21</v>
      </c>
      <c r="V55" s="40" t="str">
        <v>Y</v>
      </c>
      <c r="Y55" s="15" t="str">
        <v>Y</v>
      </c>
    </row>
    <row r="56" spans="1:29">
      <c r="A56" s="15" t="str">
        <v>车灯</v>
      </c>
      <c r="B56" s="15" t="str">
        <v>故障灯</v>
      </c>
      <c r="C56" s="15" t="str">
        <v>signal_light_0045</v>
      </c>
      <c r="D56" s="16">
        <v>2</v>
      </c>
      <c r="F56" s="15" t="str">
        <v>系统故障灯</v>
      </c>
      <c r="G56" s="15" t="str">
        <v>低频变化</v>
      </c>
      <c r="H56" s="15" t="str">
        <v>states</v>
      </c>
      <c r="I56" s="15" t="str">
        <v>状态</v>
      </c>
      <c r="J56" s="15" t="str">
        <v>enum</v>
      </c>
      <c r="K56" s="18" t="str">
        <v>关闭，显示红色，显示黄色</v>
      </c>
      <c r="N56" s="15" t="str">
        <v>Y</v>
      </c>
      <c r="O56" s="36" t="str">
        <v>Y</v>
      </c>
      <c r="P56" s="37" t="str">
        <v>Y</v>
      </c>
      <c r="Q56" s="43">
        <v>95</v>
      </c>
      <c r="R56" s="39" t="str">
        <v>multidisplay，id 9001</v>
      </c>
      <c r="S56" s="32" t="inlineStr">
        <is>
          <r>
            <t>@尹泽陆</t>
          </r>
        </is>
      </c>
      <c r="T56" s="26" t="str">
        <v>Y</v>
      </c>
      <c r="U56" s="27">
        <v>4.27</v>
      </c>
      <c r="V56" s="40" t="str">
        <v>Y</v>
      </c>
      <c r="Y56" s="15" t="str">
        <v>B</v>
      </c>
      <c r="Z56" s="15" t="str">
        <v>手动发信号验证</v>
      </c>
      <c r="AA56" s="15" t="str">
        <v>发信号1和3都是仪表盘显示黄色，发送2 仪表盘无展示落库是显示红色</v>
      </c>
      <c r="AB56" s="15" t="str">
        <v>待确认</v>
      </c>
      <c r="AC56" s="15" t="str">
        <v>95 -黄色
96-红色</v>
      </c>
    </row>
    <row r="57" ht="172" customHeight="1" spans="1:26">
      <c r="A57" s="15" t="str">
        <v>车灯</v>
      </c>
      <c r="B57" s="15" t="str">
        <v>故障灯</v>
      </c>
      <c r="C57" s="15" t="str">
        <v>signal_light_0046</v>
      </c>
      <c r="D57" s="16">
        <v>1</v>
      </c>
      <c r="E57" s="15"/>
      <c r="F57" s="15" t="str">
        <v>功率受限灯</v>
      </c>
      <c r="G57" s="15" t="str">
        <v>低频变化</v>
      </c>
      <c r="H57" s="15" t="str">
        <v>states</v>
      </c>
      <c r="I57" s="15" t="str">
        <v>状态</v>
      </c>
      <c r="J57" s="15" t="str">
        <v>enum</v>
      </c>
      <c r="K57" s="18" t="str">
        <v>关闭，显示黄色</v>
      </c>
      <c r="N57" s="15" t="str">
        <v>Y</v>
      </c>
      <c r="O57" s="36" t="str">
        <v>Y</v>
      </c>
      <c r="P57" s="37" t="str">
        <v>Y</v>
      </c>
      <c r="Q57" s="43">
        <v>97</v>
      </c>
      <c r="R57" s="39" t="str">
        <v>multidisplay，id 9001</v>
      </c>
      <c r="S57" s="32" t="inlineStr">
        <is>
          <r>
            <t>@尹泽陆</t>
          </r>
        </is>
      </c>
      <c r="T57" s="26" t="str">
        <v>Y</v>
      </c>
      <c r="U57" s="27">
        <v>4.27</v>
      </c>
      <c r="V57" s="40" t="str">
        <v>Y</v>
      </c>
      <c r="Y57" s="15" t="str">
        <v>Y</v>
      </c>
      <c r="Z57" s="15" t="str">
        <v>手动发信号验证</v>
      </c>
    </row>
    <row r="58" spans="1:29">
      <c r="A58" s="15" t="str">
        <v>车灯</v>
      </c>
      <c r="B58" s="15" t="str">
        <v>故障灯</v>
      </c>
      <c r="C58" s="15" t="str">
        <v>signal_light_0047</v>
      </c>
      <c r="D58" s="16">
        <v>2</v>
      </c>
      <c r="F58" s="15" t="str">
        <v>电机故障灯</v>
      </c>
      <c r="G58" s="15" t="str">
        <v>低频变化</v>
      </c>
      <c r="H58" s="15" t="str">
        <v>states</v>
      </c>
      <c r="I58" s="15" t="str">
        <v>状态</v>
      </c>
      <c r="J58" s="15" t="str">
        <v>enum</v>
      </c>
      <c r="K58" s="18" t="str">
        <v>关闭，显示红色，显示黄色</v>
      </c>
      <c r="N58" s="15" t="str">
        <v>Y</v>
      </c>
      <c r="O58" s="36" t="str">
        <v>Y</v>
      </c>
      <c r="P58" s="37" t="str">
        <v>Y</v>
      </c>
      <c r="Q58" s="43">
        <v>99</v>
      </c>
      <c r="R58" s="39" t="str">
        <v>multidisplay，id 9001</v>
      </c>
      <c r="S58" s="32" t="inlineStr">
        <is>
          <r>
            <t>@尹泽陆</t>
          </r>
        </is>
      </c>
      <c r="T58" s="26" t="str">
        <v>Y</v>
      </c>
      <c r="U58" s="27">
        <v>4.27</v>
      </c>
      <c r="V58" s="40" t="str">
        <v>Y</v>
      </c>
      <c r="Y58" s="15" t="str">
        <v>B</v>
      </c>
      <c r="Z58" s="15" t="str">
        <v>手动发信号验证</v>
      </c>
      <c r="AA58" s="15" t="str">
        <v>发送1是仪表盘显示红色，发送2仪表未展示但是入库是黄色</v>
      </c>
      <c r="AB58" s="15" t="str">
        <v>待确认</v>
      </c>
      <c r="AC58" s="15" t="str">
        <v>158-黄色
99- 红色</v>
      </c>
    </row>
    <row r="59" spans="1:23">
      <c r="A59" s="15" t="str">
        <v>车灯</v>
      </c>
      <c r="H59" s="15" t="str">
        <v>flash</v>
      </c>
      <c r="I59" s="15" t="str">
        <v>闪烁频率</v>
      </c>
      <c r="J59" s="15" t="str">
        <v>enum</v>
      </c>
      <c r="K59" s="18" t="str">
        <v>0.5Hz，常亮</v>
      </c>
      <c r="N59" s="15" t="str">
        <v>N</v>
      </c>
      <c r="O59" s="36" t="str">
        <v>N</v>
      </c>
      <c r="P59" s="37" t="str">
        <v>NA</v>
      </c>
      <c r="S59" s="32" t="inlineStr">
        <is>
          <r>
            <t>@陈果果</t>
          </r>
        </is>
      </c>
      <c r="T59" s="26" t="str">
        <v>N</v>
      </c>
      <c r="V59" s="15" t="str">
        <v>N</v>
      </c>
      <c r="W59" s="15" t="str">
        <v>没有频率需求，不支持获取</v>
      </c>
    </row>
    <row r="60" ht="137" customHeight="1" spans="1:22">
      <c r="A60" s="15" t="str">
        <v>车灯</v>
      </c>
      <c r="B60" s="15" t="str">
        <v>故障灯</v>
      </c>
      <c r="C60" s="15" t="str">
        <v>signal_light_0048</v>
      </c>
      <c r="D60" s="16">
        <v>1</v>
      </c>
      <c r="E60" s="15"/>
      <c r="F60" s="15" t="str">
        <v>空气悬架指示灯</v>
      </c>
      <c r="G60" s="15" t="str">
        <v>低频变化</v>
      </c>
      <c r="H60" s="15" t="str">
        <v>states</v>
      </c>
      <c r="I60" s="15" t="str">
        <v>状态</v>
      </c>
      <c r="J60" s="15" t="str">
        <v>enum</v>
      </c>
      <c r="K60" s="18" t="str">
        <v>关闭，显示红色</v>
      </c>
      <c r="N60" s="15" t="str">
        <v>N</v>
      </c>
      <c r="O60" s="36" t="str">
        <v>N</v>
      </c>
      <c r="P60" s="37" t="str">
        <v>NA</v>
      </c>
      <c r="R60" s="39" t="str">
        <v>multidisplay，id 9001</v>
      </c>
      <c r="S60" s="32" t="inlineStr">
        <is>
          <r>
            <t>@尹泽陆</t>
          </r>
        </is>
      </c>
      <c r="T60" s="26" t="str">
        <v>N</v>
      </c>
      <c r="V60" s="15" t="str">
        <v>N</v>
      </c>
    </row>
    <row r="61" spans="1:22">
      <c r="A61" s="15" t="str">
        <v>车灯</v>
      </c>
      <c r="B61" s="15" t="str">
        <v>状态灯</v>
      </c>
      <c r="C61" s="15" t="str">
        <v>signal_light_0049</v>
      </c>
      <c r="D61" s="16">
        <v>2</v>
      </c>
      <c r="F61" s="15" t="str">
        <v>Ecall状态灯</v>
      </c>
      <c r="G61" s="15" t="str">
        <v>低频变化</v>
      </c>
      <c r="H61" s="15" t="str">
        <v>states</v>
      </c>
      <c r="I61" s="15" t="str">
        <v>状态</v>
      </c>
      <c r="J61" s="15" t="str">
        <v>enum</v>
      </c>
      <c r="K61" s="15" t="inlineStr">
        <is>
          <r>
            <rPr>
              <sz val="10"/>
              <color rgb="FF1F2329"/>
              <rFont val="Arial"/>
            </rPr>
            <t>关闭，显示红色，显示黄色</t>
          </r>
          <r>
            <rPr>
              <sz val="10"/>
              <color rgb="FFF54A45"/>
              <rFont val="Arial"/>
            </rPr>
            <t>，显示绿色</t>
          </r>
        </is>
      </c>
      <c r="N61" s="15" t="str">
        <v>N</v>
      </c>
      <c r="O61" s="36" t="str">
        <v>N</v>
      </c>
      <c r="P61" s="37" t="str">
        <v>NA</v>
      </c>
      <c r="R61" s="39" t="str">
        <v>multidisplay，id 9001</v>
      </c>
      <c r="S61" s="32" t="inlineStr">
        <is>
          <r>
            <t>@陈果果</t>
          </r>
        </is>
      </c>
      <c r="T61" s="26" t="str">
        <v>N</v>
      </c>
      <c r="U61" s="16">
        <v>4.21</v>
      </c>
      <c r="V61" s="15" t="str">
        <v>N</v>
      </c>
    </row>
    <row r="62" spans="1:22">
      <c r="A62" s="15" t="str">
        <v>车灯</v>
      </c>
      <c r="B62" s="15" t="str">
        <v>故障灯</v>
      </c>
      <c r="C62" s="15" t="str">
        <v>signal_light_0050</v>
      </c>
      <c r="D62" s="16">
        <v>1</v>
      </c>
      <c r="F62" s="15" t="str">
        <v>后轮转向故障灯</v>
      </c>
      <c r="G62" s="15" t="str">
        <v>低频变化</v>
      </c>
      <c r="H62" s="15" t="str">
        <v>states</v>
      </c>
      <c r="I62" s="15" t="str">
        <v>状态</v>
      </c>
      <c r="J62" s="15" t="str">
        <v>enum</v>
      </c>
      <c r="K62" s="18" t="str">
        <v>关闭，显示红色</v>
      </c>
      <c r="N62" s="15" t="str">
        <v>N</v>
      </c>
      <c r="O62" s="36" t="str">
        <v>N</v>
      </c>
      <c r="P62" s="37" t="str">
        <v>NA</v>
      </c>
      <c r="Q62" s="36" t="str">
        <v>NA</v>
      </c>
      <c r="R62" s="39" t="str">
        <v>NA</v>
      </c>
      <c r="T62" s="26" t="str">
        <v>N</v>
      </c>
      <c r="V62" s="26" t="str">
        <v>N</v>
      </c>
    </row>
    <row r="63" spans="1:25">
      <c r="A63" s="15" t="str">
        <v>车灯</v>
      </c>
      <c r="B63" s="15" t="str">
        <v>状态灯</v>
      </c>
      <c r="C63" s="15" t="str">
        <v>signal_light_0051</v>
      </c>
      <c r="F63" s="15" t="str">
        <v>危险报警灯</v>
      </c>
      <c r="G63" s="15" t="str">
        <v>低频变化</v>
      </c>
      <c r="H63" s="15" t="str">
        <v>switch</v>
      </c>
      <c r="I63" s="15" t="str">
        <v>开关</v>
      </c>
      <c r="J63" s="15" t="str">
        <v>enum</v>
      </c>
      <c r="K63" s="18" t="str">
        <v>on，off</v>
      </c>
      <c r="N63" s="53" t="str">
        <v>Y</v>
      </c>
      <c r="O63" s="36" t="str">
        <v>Y
字节确认是双闪灯
左转向灯+右转向灯一起：7+8</v>
      </c>
      <c r="P63" s="37" t="str">
        <v>Y</v>
      </c>
      <c r="Q63" s="36" t="str">
        <v>
左转向灯+右转向灯：7 和  8
 </v>
      </c>
      <c r="S63" s="52" t="inlineStr">
        <is>
          <r>
            <t>@陈果果</t>
          </r>
        </is>
      </c>
      <c r="T63" s="26" t="str">
        <v>Y</v>
      </c>
      <c r="U63" s="16">
        <v>4.21</v>
      </c>
      <c r="V63" s="26" t="str">
        <v>Y</v>
      </c>
      <c r="W63" s="15" t="str">
        <v>左右转向灯接口获取</v>
      </c>
      <c r="Y63" s="15" t="str">
        <v>Y</v>
      </c>
    </row>
    <row r="64" spans="1:27">
      <c r="A64" s="15" t="str">
        <v>车灯</v>
      </c>
      <c r="B64" s="15" t="str">
        <v>车内灯</v>
      </c>
      <c r="C64" s="15" t="str">
        <v>signal_light_0052</v>
      </c>
      <c r="F64" s="15" t="str">
        <v>氛围灯</v>
      </c>
      <c r="G64" s="15" t="str">
        <v>低频变化</v>
      </c>
      <c r="H64" s="15" t="str">
        <v>states</v>
      </c>
      <c r="I64" s="15" t="str">
        <v>状态</v>
      </c>
      <c r="J64" s="15" t="str">
        <v>str</v>
      </c>
      <c r="K64" s="18" t="str">
        <v>关闭，显示红色，显示橙色，显示黄色，显示金色，显示绿色，显示蓝色，显示紫色，显示青色，显示灰色，显示花灰色，显示白色，显示粉红色</v>
      </c>
      <c r="M64" s="16">
        <v>1</v>
      </c>
      <c r="N64" s="15" t="str">
        <v>Y</v>
      </c>
      <c r="O64" s="36" t="str">
        <v>Y</v>
      </c>
      <c r="P64" s="37" t="str">
        <v>Y</v>
      </c>
      <c r="Q64" s="36" t="str">
        <v> /**
 * 氛围灯主题颜色设置
 * PermissionRequest(permissions = { zone.permission.vehicle.LIGHT_SET })
 * @param themeColor 设置值 {@link int}
 * @return resultCode 返回结果码 {@link ResultCode}
 */
 int setAmbientLightThemeColor(int themeColor);
0x1=Theme1 
0x2=Theme2 
0x3=Theme3 
0x4=Theme4 
0x5=Theme5 
0x6=Theme6
 //2.氛围灯主题色
 ATMOSPHERE_THEME_COLOR
 /**
 * 氛围灯主题颜色设置
 * PermissionRequest(permissions = { zone.permission.vehicle.LIGHT_SET })
 * @param themeColor 设置值 {@link int}
 * @return resultCode 返回结果码 {@link ResultCode}
 */
 int setAmbientLightThemeColor(int themeColor);
 /**
 * 氛围灯主题颜色获取
 * PermissionRequest(permissions = { zone.permission.vehicle.DEVICE_GET })
 * @param result {@link IntResult#getResult} {@link IntResult}
 * @return resultCode 返回结果码 {@link ResultCode}
 */
 int getAmbientLightThemeColor(@NonNull IntResult result);
 /**
 * 氛围灯颜色设置
 * 预制色 主题色
 *
 * @param value &lt;br&gt;
 * {@link IntResult#getResult} {@link int} &lt;br&gt;
 * {@link IntResult#getCode()} {@link ResultCode}
 */
 default void onAmbientLightThemeColorChanged(@NonNull IntResult value) {
 }
 //3.氛围灯自定义色
 ATMOSPHERE_CUSTOM_COLOR
 /**
 * 氛围灯自定义颜色设置
 * PermissionRequest(permissions = { zone.permission.vehicle.LIGHT_SET })
 * @param customColor 设置值 {@link int}
 * @return resultCode 返回结果码 {@link ResultCode}
 */
 int setAmbientLightCustomColor(int customColor);
 /**
 * 氛围灯自定义颜色获取
 * PermissionRequest(permissions = { zone.permission.vehicle.DEVICE_GET })
 * @param result {@link IntResult#getResult} {@link IntResult}
 * @return resultCode 返回结果码 {@link ResultCode}
 */
 int getAmbientLightCustomColor(@NonNull IntResult result);
 /**
 * 氛围灯颜色通知
 * 自定义颜色
 *
 * @param value &lt;br&gt;
 * {@link IntResult#getResult} {@link int} &lt;br&gt;
 * {@link IntResult#getCode()} {@link ResultCode}
 */
 default void onAmbientLightCustomColorChanged(@NonNull IntResult value) {
 }
主题色要发0 才是自定义模式 然后自定义发1-255之间的值，如果切回主题 就直接发1-6的主题色</v>
      </c>
      <c r="R64" s="39" t="str">
        <v>预制色 下发 上报：PersonalizationData. AmbientLightSet. AmbientLightSetInfo. AmbtLampThemeSet
自定义色 下发 上报：PersonalizationData. AmbientLightSet. AmbientLightSetInfo. AmbtLampArea1Color</v>
      </c>
      <c r="S64" s="32" t="inlineStr">
        <is>
          <r>
            <t>@陈果果</t>
          </r>
        </is>
      </c>
      <c r="T64" s="15" t="str">
        <v>Y</v>
      </c>
      <c r="U64" s="19">
        <v>4.22</v>
      </c>
      <c r="V64" s="15" t="str">
        <v>Y</v>
      </c>
      <c r="Y64" s="15" t="str">
        <v>N</v>
      </c>
      <c r="AA64" s="15" t="str">
        <v>操作未上传</v>
      </c>
    </row>
    <row r="65" spans="1:27">
      <c r="A65" s="15" t="str">
        <v>车灯</v>
      </c>
      <c r="H65" s="15" t="str">
        <v>switch</v>
      </c>
      <c r="I65" s="15" t="str">
        <v>模式选项</v>
      </c>
      <c r="J65" s="15" t="str">
        <v>enum</v>
      </c>
      <c r="K65" s="45" t="str">
        <v>音乐随动模式，智能随动，驾驶辅助，电影随动，自动,自定义,纯色,渐变,呼吸,主题,屏幕联动,驾驶联动,空调联动,开
门提醒,上车迎宾,下车欢送,续航提
醒,来电律动,音乐律动,充电联动,语
音联动,切换,空,其他</v>
      </c>
      <c r="M65" s="16">
        <v>1</v>
      </c>
      <c r="N65" s="15" t="str">
        <v>Y</v>
      </c>
      <c r="O65" s="36" t="str">
        <v>Y</v>
      </c>
      <c r="P65" s="37" t="str">
        <v>Y</v>
      </c>
      <c r="Q65" s="36" t="str">
        <v> /**
 * 音乐律动设置
 * PermissionRequest(permissions = { zone.permission.vehicle.LIGHT_SET })
 * @param status 设置值 {@link int}
 * @return resultCode 返回结果码 {@link ResultCode}
 */
 int setAtmosphereMusicFollow(int status);
 /**
 * 音乐随动区域获取
 * PermissionRequest(permissions = { zone.permission.vehicle.DEVICE_GET })
 * @param result {@link IntResult#getResult} {@link MusicModeFeedBack}
 * @return resultCode 返回结果码 {@link ResultCode}
 */
 int getMusicFollow(@NonNull IntResult result);
 /**
 * 音乐随动区域通知
 *
 * @param result &lt;br&gt;
 * {@link IntResult#getResult} {@link MusicModeFeedBack} &lt;br&gt;
 * {@link IntResult#getCode()} {@link ResultCode}
 */
 default void onMusicFollowChanged(IntResult result) {
 }</v>
      </c>
      <c r="R65" s="39" t="str">
        <v>音乐律动开关 下发 上报：PersonalizationData. AmbientLightSet. AmbientLightSetInfo. AmbtLampMuscMdEnbSet</v>
      </c>
      <c r="S65" s="32" t="inlineStr">
        <is>
          <r>
            <t>@陈果果</t>
          </r>
        </is>
      </c>
      <c r="T65" s="54" t="str">
        <v>Y</v>
      </c>
      <c r="U65" s="55">
        <v>4.24</v>
      </c>
      <c r="V65" s="26" t="str">
        <v>Y</v>
      </c>
      <c r="Y65" s="15" t="str">
        <v>N</v>
      </c>
      <c r="AA65" s="15" t="str">
        <v>操作未上传</v>
      </c>
    </row>
    <row r="66" spans="8:14">
      <c r="H66" s="56" t="str">
        <v>brightness</v>
      </c>
      <c r="I66" s="56" t="str">
        <v>亮度</v>
      </c>
      <c r="J66" s="56" t="str">
        <v>str</v>
      </c>
      <c r="K66" s="57" t="str">
        <v>0-100%</v>
      </c>
      <c r="M66" s="16">
        <v>1</v>
      </c>
      <c r="N66" s="15" t="str">
        <v>Y</v>
      </c>
    </row>
    <row r="67" spans="1:23">
      <c r="A67" s="15" t="str">
        <v>车灯</v>
      </c>
      <c r="B67" s="15" t="str">
        <v>车内灯</v>
      </c>
      <c r="C67" s="17" t="str">
        <v>signal_light_0053</v>
      </c>
      <c r="F67" s="15" t="str">
        <v>阅读灯</v>
      </c>
      <c r="G67" s="15" t="str">
        <v>低频变化</v>
      </c>
      <c r="H67" s="15" t="str">
        <v>switch</v>
      </c>
      <c r="I67" s="15" t="str">
        <v>开关</v>
      </c>
      <c r="J67" s="15" t="str">
        <v>enum</v>
      </c>
      <c r="K67" s="18" t="str">
        <v>on，off</v>
      </c>
      <c r="M67" s="16">
        <v>1</v>
      </c>
      <c r="N67" s="15" t="str">
        <v>Y</v>
      </c>
      <c r="O67" s="36" t="str">
        <v>Y</v>
      </c>
      <c r="P67" s="37" t="str">
        <v>N</v>
      </c>
      <c r="Q67" s="36" t="str">
        <v> /**
 * 阅读灯随门开闭开关状态设置
 * PermissionRequest(permissions = { zone.permission.vehicle.LIGHT_SET }) 
 * @param status : {@link SwitchStatus}
 *
 * @return resultCode 返回结果码 {@link ResultCode}
 */
 int setReadLightStatus(@NonNull SwitchStatus status);
 /**
 * 阅读灯随门开闭开关状态获取
 * PermissionRequest(permissions = { zone.permission.vehicle.DEVICE_GET })
 * @param result :{@link IntResult#getResult} {@link SwitchStatus}
 *
 * @return resultCode 返回结果码 {@link ResultCode}
 */
 int getReadLightStatus(@NonNull IntResult result);
 /**
 * 阅读灯随门开闭开关状态通知
 *
 * @param result &lt;br&gt;
 * {@link IntResult#getResult} {@link LightSwitch} &lt;br&gt;
 * {@link IntResult#getCode()} {@link ResultCode}
 */
 default void onReadLightStatusChanged(IntResult result){
 }</v>
      </c>
      <c r="R67" s="39" t="inlineStr">
        <is>
          <r>
            <rPr>
              <b/>
              <sz val="10"/>
              <color rgb="FFF54A45"/>
              <rFont val="Arial"/>
            </rPr>
            <t xml:space="preserve">排期 5月17日
</t>
          </r>
          <r>
            <rPr>
              <sz val="10"/>
              <color rgb="FFF54A45"/>
              <rFont val="Arial"/>
            </rPr>
            <t xml:space="preserve">延期到P基线
</t>
          </r>
          <r>
            <rPr>
              <sz val="10"/>
              <color rgb="FF1F2329"/>
              <rFont val="Arial"/>
            </rPr>
            <t xml:space="preserve">IS4PR 仅阅读灯开门照明开关 下发 上报：PersonalizationData. MapLampSet. MapLampSetInfo
</t>
          </r>
        </is>
      </c>
      <c r="S67" s="32" t="inlineStr">
        <is>
          <r>
            <t>@陈果果</t>
          </r>
        </is>
      </c>
      <c r="T67" s="54" t="str">
        <v>N</v>
      </c>
      <c r="V67" s="15" t="str">
        <v>N</v>
      </c>
      <c r="W67" s="26" t="str">
        <v>接口已提供，实车不可用</v>
      </c>
    </row>
    <row r="68" spans="1:23">
      <c r="A68" s="15" t="str">
        <v>车灯</v>
      </c>
      <c r="H68" s="15" t="str">
        <v>position</v>
      </c>
      <c r="I68" s="15" t="str">
        <v>位置</v>
      </c>
      <c r="J68" s="15" t="str">
        <v>enum</v>
      </c>
      <c r="K68" s="58" t="str">
        <v>主驾，副驾，左后，右后，前排，后排，二排左，二排中，二排右，三排左，三排中，三排右，全车</v>
      </c>
      <c r="L68" s="16">
        <v>1</v>
      </c>
      <c r="M68" s="16">
        <v>1</v>
      </c>
      <c r="N68" s="49" t="str">
        <v>Y</v>
      </c>
      <c r="O68" s="36" t="str">
        <v>N</v>
      </c>
      <c r="P68" s="37" t="str">
        <v>NA</v>
      </c>
      <c r="S68" s="32" t="inlineStr">
        <is>
          <r>
            <t>@陈果果</t>
          </r>
        </is>
      </c>
      <c r="T68" s="4" t="str">
        <v>N</v>
      </c>
      <c r="V68" s="15" t="str">
        <v>N</v>
      </c>
      <c r="W68" s="4" t="str">
        <v>接口已提供，实车不可用</v>
      </c>
    </row>
    <row r="69" ht="226" customHeight="1" spans="1:26">
      <c r="A69" s="15" t="str">
        <v>车灯</v>
      </c>
      <c r="B69" s="15" t="str">
        <v>状态灯</v>
      </c>
      <c r="C69" s="15" t="str">
        <v>signal_light_0054</v>
      </c>
      <c r="D69" s="16">
        <v>2</v>
      </c>
      <c r="E69" s="15"/>
      <c r="F69" s="15" t="str">
        <v>TCS工作状态指示灯</v>
      </c>
      <c r="G69" s="15" t="str">
        <v>低频变化</v>
      </c>
      <c r="H69" s="15" t="str">
        <v>states</v>
      </c>
      <c r="I69" s="15" t="str">
        <v>状态</v>
      </c>
      <c r="J69" s="15" t="str">
        <v>enum</v>
      </c>
      <c r="K69" s="18" t="str">
        <v>关闭，黄灯常亮，黄色闪烁</v>
      </c>
      <c r="N69" s="15" t="str">
        <v>Y</v>
      </c>
      <c r="O69" s="36" t="str">
        <v>Y</v>
      </c>
      <c r="P69" s="37" t="str">
        <v>Y</v>
      </c>
      <c r="Q69" s="43">
        <v>23</v>
      </c>
      <c r="R69" s="39" t="str">
        <v>multidisplay，id 9001</v>
      </c>
      <c r="S69" s="32" t="inlineStr">
        <is>
          <r>
            <t>@陈果果</t>
          </r>
        </is>
      </c>
      <c r="T69" s="26" t="str">
        <v>Y</v>
      </c>
      <c r="U69" s="16">
        <v>4.21</v>
      </c>
      <c r="V69" s="40" t="str">
        <v>Y</v>
      </c>
      <c r="Y69" s="15" t="str">
        <v>Y</v>
      </c>
      <c r="Z69" s="15" t="str">
        <v>手动发信号验证</v>
      </c>
    </row>
    <row r="70" ht="143" customHeight="1" spans="1:26">
      <c r="A70" s="15" t="str">
        <v>车灯</v>
      </c>
      <c r="B70" s="18" t="str">
        <v>故障灯</v>
      </c>
      <c r="C70" s="15" t="str">
        <v>signal_light_0055 </v>
      </c>
      <c r="D70" s="24">
        <v>1</v>
      </c>
      <c r="E70" s="15"/>
      <c r="F70" s="15" t="str">
        <v>HDC系统故障提示灯</v>
      </c>
      <c r="G70" s="15" t="str">
        <v>低频变化</v>
      </c>
      <c r="H70" s="15" t="str">
        <v>states</v>
      </c>
      <c r="I70" s="15" t="str">
        <v>状态</v>
      </c>
      <c r="J70" s="15" t="str">
        <v>enum</v>
      </c>
      <c r="K70" s="18" t="str">
        <v>关闭，黄灯常亮，黄色闪烁</v>
      </c>
      <c r="N70" s="15" t="str">
        <v>Y</v>
      </c>
      <c r="O70" s="36" t="str">
        <v>Y</v>
      </c>
      <c r="P70" s="37" t="str">
        <v>Y</v>
      </c>
      <c r="Q70" s="43">
        <v>28</v>
      </c>
      <c r="R70" s="39" t="str">
        <v>multidisplay，id 9001</v>
      </c>
      <c r="S70" s="32" t="inlineStr">
        <is>
          <r>
            <t>@尹泽陆</t>
          </r>
        </is>
      </c>
      <c r="T70" s="26" t="str">
        <v>Y</v>
      </c>
      <c r="U70" s="27">
        <v>4.27</v>
      </c>
      <c r="V70" s="40" t="str">
        <v>Y</v>
      </c>
      <c r="Y70" s="15" t="str">
        <v>Y</v>
      </c>
      <c r="Z70" s="15" t="str">
        <v>手动发信号验证</v>
      </c>
    </row>
    <row r="71" ht="143" customHeight="1" spans="1:25">
      <c r="A71" s="15" t="str">
        <v>车灯</v>
      </c>
      <c r="B71" s="15" t="str">
        <v>状态灯</v>
      </c>
      <c r="C71" s="20" t="str">
        <v>signal_light_0056 </v>
      </c>
      <c r="D71" s="16">
        <v>1</v>
      </c>
      <c r="E71" s="15"/>
      <c r="F71" s="15" t="str">
        <v>HDC系统状态指示灯</v>
      </c>
      <c r="G71" s="15" t="str">
        <v>低频变化</v>
      </c>
      <c r="H71" s="15" t="str">
        <v>states</v>
      </c>
      <c r="I71" s="15" t="str">
        <v>状态</v>
      </c>
      <c r="J71" s="15" t="str">
        <v>enum</v>
      </c>
      <c r="K71" s="18" t="str">
        <v>关闭，绿色常亮，绿色闪烁</v>
      </c>
      <c r="N71" s="15" t="str">
        <v>Y</v>
      </c>
      <c r="O71" s="36" t="str">
        <v>Y</v>
      </c>
      <c r="P71" s="37" t="str">
        <v>Y</v>
      </c>
      <c r="Q71" s="31" t="str">
        <v>27（改为 182）</v>
      </c>
      <c r="R71" s="39" t="str">
        <v>multidisplay，id 9001</v>
      </c>
      <c r="S71" s="32" t="inlineStr">
        <is>
          <r>
            <t>@陈果果</t>
          </r>
        </is>
      </c>
      <c r="T71" s="40" t="str">
        <v>Y</v>
      </c>
      <c r="U71" s="16">
        <v>4.21</v>
      </c>
      <c r="V71" s="40" t="str">
        <v>Y</v>
      </c>
      <c r="Y71" s="15" t="str">
        <v>Y</v>
      </c>
    </row>
    <row r="72" spans="1:22">
      <c r="A72" s="15" t="str">
        <v>车灯</v>
      </c>
      <c r="B72" s="18" t="str">
        <v>状态灯</v>
      </c>
      <c r="C72" s="15" t="str">
        <v>signal_light_0057 </v>
      </c>
      <c r="D72" s="24">
        <v>1</v>
      </c>
      <c r="F72" s="15" t="str">
        <v>前舱开启指示灯</v>
      </c>
      <c r="G72" s="45" t="str">
        <v>低频变化</v>
      </c>
      <c r="H72" s="15" t="str">
        <v>states</v>
      </c>
      <c r="I72" s="15" t="str">
        <v>状态</v>
      </c>
      <c r="J72" s="15" t="str">
        <v>enum</v>
      </c>
      <c r="K72" s="48" t="str">
        <v>关闭，红色常亮</v>
      </c>
      <c r="M72" s="16">
        <v>1</v>
      </c>
      <c r="N72" s="15" t="str">
        <v>N</v>
      </c>
      <c r="O72" s="36" t="str">
        <v>N</v>
      </c>
      <c r="P72" s="37" t="str">
        <v>NA</v>
      </c>
      <c r="S72" s="32" t="inlineStr">
        <is>
          <r>
            <t>@陈果果</t>
          </r>
        </is>
      </c>
      <c r="T72" s="26" t="str">
        <v>N</v>
      </c>
      <c r="U72" s="16">
        <v>4.21</v>
      </c>
      <c r="V72" s="26" t="str">
        <v>N</v>
      </c>
    </row>
    <row r="73" spans="1:22">
      <c r="A73" s="15" t="str">
        <v>车灯</v>
      </c>
      <c r="B73" s="18" t="str">
        <v>故障灯</v>
      </c>
      <c r="C73" s="20" t="str">
        <v>signal_light_0058 </v>
      </c>
      <c r="D73" s="16">
        <v>1</v>
      </c>
      <c r="F73" s="15" t="str">
        <v>灯光故障提示灯</v>
      </c>
      <c r="G73" s="45" t="str">
        <v>低频变化</v>
      </c>
      <c r="H73" s="15" t="str">
        <v>states</v>
      </c>
      <c r="I73" s="15" t="str">
        <v>状态</v>
      </c>
      <c r="J73" s="15" t="str">
        <v>enum</v>
      </c>
      <c r="K73" s="48" t="str">
        <v>关闭，黄色常亮</v>
      </c>
      <c r="N73" s="15" t="str">
        <v>N</v>
      </c>
      <c r="O73" s="36" t="str">
        <v>N</v>
      </c>
      <c r="P73" s="37" t="str">
        <v>NA</v>
      </c>
      <c r="Q73" s="36" t="str">
        <v>NA</v>
      </c>
      <c r="R73" s="39" t="str">
        <v>NA</v>
      </c>
      <c r="T73" s="26" t="str">
        <v>N</v>
      </c>
      <c r="V73" s="26" t="str">
        <v>N</v>
      </c>
    </row>
    <row r="74" spans="1:25">
      <c r="A74" s="15" t="str">
        <v>车灯</v>
      </c>
      <c r="B74" s="18" t="str">
        <v>故障灯</v>
      </c>
      <c r="C74" s="20" t="str">
        <v>signal_light_0059 </v>
      </c>
      <c r="D74" s="16">
        <v>1</v>
      </c>
      <c r="F74" s="15" t="str">
        <v>油量过低提示灯</v>
      </c>
      <c r="G74" s="45" t="str">
        <v>低频变化</v>
      </c>
      <c r="H74" s="15" t="str">
        <v>states</v>
      </c>
      <c r="I74" s="15" t="str">
        <v>状态</v>
      </c>
      <c r="J74" s="15" t="str">
        <v>enum</v>
      </c>
      <c r="K74" s="59" t="inlineStr">
        <is>
          <r>
            <rPr>
              <sz val="10"/>
              <color rgb="FFF54A45"/>
              <rFont val="Arial"/>
            </rPr>
            <t xml:space="preserve">关闭，黄色常亮，黄色闪烁
</t>
          </r>
          <r>
            <rPr>
              <sz val="10"/>
              <color rgb="FF4E83FD"/>
              <rFont val="Arial"/>
            </rPr>
            <t>只有（关闭，黄色常亮）</t>
          </r>
        </is>
      </c>
      <c r="N74" s="15" t="str">
        <v>Y</v>
      </c>
      <c r="O74" s="36" t="str">
        <v>Y</v>
      </c>
      <c r="P74" s="37" t="str">
        <v>Y</v>
      </c>
      <c r="Q74" s="43">
        <v>210</v>
      </c>
      <c r="R74" s="39" t="str">
        <v>multidisplay，id 9001</v>
      </c>
      <c r="S74" s="32" t="inlineStr">
        <is>
          <r>
            <t>@尹泽陆</t>
          </r>
        </is>
      </c>
      <c r="T74" s="26" t="str">
        <v>Y</v>
      </c>
      <c r="V74" s="40" t="str">
        <v>Y</v>
      </c>
      <c r="Y74" s="15" t="str">
        <v>Y</v>
      </c>
    </row>
    <row r="75" spans="1:26">
      <c r="A75" s="15" t="str">
        <v>车灯</v>
      </c>
      <c r="B75" s="18" t="str">
        <v>故障灯</v>
      </c>
      <c r="C75" s="20" t="str">
        <v>signal_light_0060 </v>
      </c>
      <c r="D75" s="16">
        <v>1</v>
      </c>
      <c r="F75" s="36" t="str">
        <v>发动机机冷故障提示灯</v>
      </c>
      <c r="G75" s="45" t="str">
        <v>低频变化</v>
      </c>
      <c r="H75" s="15" t="str">
        <v>states</v>
      </c>
      <c r="I75" s="15" t="str">
        <v>状态</v>
      </c>
      <c r="J75" s="15" t="str">
        <v>enum</v>
      </c>
      <c r="K75" s="48" t="str">
        <v>关闭，红色常亮，红色闪烁
</v>
      </c>
      <c r="N75" s="15" t="str">
        <v>Y</v>
      </c>
      <c r="O75" s="36" t="str">
        <v>Y</v>
      </c>
      <c r="P75" s="37" t="str">
        <v>Y</v>
      </c>
      <c r="Q75" s="43">
        <v>230</v>
      </c>
      <c r="R75" s="39" t="str">
        <v>multidisplay，id 9001</v>
      </c>
      <c r="S75" s="32" t="inlineStr">
        <is>
          <r>
            <t>@尹泽陆</t>
          </r>
        </is>
      </c>
      <c r="T75" s="26" t="str">
        <v>Y</v>
      </c>
      <c r="U75" s="27">
        <v>4.27</v>
      </c>
      <c r="V75" s="40" t="str">
        <v>Y</v>
      </c>
      <c r="Y75" s="15" t="str">
        <v>Y</v>
      </c>
      <c r="Z75" s="15" t="str">
        <v>手动发信号验证</v>
      </c>
    </row>
    <row r="76" spans="1:25">
      <c r="A76" s="17" t="str">
        <v>车灯</v>
      </c>
      <c r="B76" s="18" t="str">
        <v>故障灯</v>
      </c>
      <c r="C76" s="60" t="str">
        <v>signal_light_0061 </v>
      </c>
      <c r="D76" s="19">
        <v>1</v>
      </c>
      <c r="F76" s="25" t="str">
        <v>发动机排放故障提示灯</v>
      </c>
      <c r="G76" s="45" t="str">
        <v>低频变化</v>
      </c>
      <c r="H76" s="15" t="str">
        <v>states</v>
      </c>
      <c r="I76" s="15" t="str">
        <v>状态</v>
      </c>
      <c r="J76" s="15" t="str">
        <v>enum</v>
      </c>
      <c r="K76" s="48" t="str">
        <v>关闭，黄色常亮，黄色闪烁</v>
      </c>
      <c r="N76" s="15" t="str">
        <v>Y</v>
      </c>
      <c r="O76" s="36" t="str">
        <v>Y</v>
      </c>
      <c r="P76" s="37" t="str">
        <v>Y</v>
      </c>
      <c r="Q76" s="43">
        <v>231</v>
      </c>
      <c r="R76" s="39" t="str">
        <v>multidisplay，id 9001</v>
      </c>
      <c r="S76" s="32" t="inlineStr">
        <is>
          <r>
            <t>@尹泽陆</t>
          </r>
        </is>
      </c>
      <c r="T76" s="26" t="str">
        <v>Y</v>
      </c>
      <c r="U76" s="27">
        <v>4.27</v>
      </c>
      <c r="V76" s="40" t="str">
        <v>Y</v>
      </c>
      <c r="Y76" s="15" t="str">
        <v>Y</v>
      </c>
    </row>
    <row r="77" spans="1:26">
      <c r="A77" s="15" t="str">
        <v>车灯</v>
      </c>
      <c r="B77" s="18" t="str">
        <v>故障灯</v>
      </c>
      <c r="C77" s="15" t="str">
        <v>signal_light_0062 </v>
      </c>
      <c r="D77" s="16">
        <v>1</v>
      </c>
      <c r="F77" s="15" t="str">
        <v>机油压力警告灯</v>
      </c>
      <c r="G77" s="45" t="str">
        <v>低频变化</v>
      </c>
      <c r="H77" s="15" t="str">
        <v>states</v>
      </c>
      <c r="I77" s="15" t="str">
        <v>状态</v>
      </c>
      <c r="J77" s="15" t="str">
        <v>enum</v>
      </c>
      <c r="K77" s="48" t="str">
        <v>关闭，红色常亮</v>
      </c>
      <c r="N77" s="15" t="str">
        <v>Y</v>
      </c>
      <c r="O77" s="36" t="str">
        <v>Y</v>
      </c>
      <c r="P77" s="37" t="str">
        <v>Y</v>
      </c>
      <c r="Q77" s="43">
        <v>233</v>
      </c>
      <c r="R77" s="39" t="str">
        <v>multidisplay，id 9001</v>
      </c>
      <c r="S77" s="32" t="inlineStr">
        <is>
          <r>
            <t>@尹泽陆</t>
          </r>
        </is>
      </c>
      <c r="T77" s="26" t="str">
        <v>Y</v>
      </c>
      <c r="U77" s="27">
        <v>4.27</v>
      </c>
      <c r="V77" s="40" t="str">
        <v>Y</v>
      </c>
      <c r="Y77" s="15" t="str">
        <v>Y</v>
      </c>
      <c r="Z77" s="15" t="str">
        <v>手动发信号验证</v>
      </c>
    </row>
    <row r="78" spans="1:22">
      <c r="A78" s="15" t="str">
        <v>车灯</v>
      </c>
      <c r="B78" s="15" t="str">
        <v>状态灯</v>
      </c>
      <c r="C78" s="15" t="str">
        <v>signal_light_0063 </v>
      </c>
      <c r="D78" s="16">
        <v>1</v>
      </c>
      <c r="F78" s="15" t="str">
        <v>机油监测警告灯</v>
      </c>
      <c r="G78" s="45" t="str">
        <v>低频变化</v>
      </c>
      <c r="H78" s="15" t="str">
        <v>states</v>
      </c>
      <c r="I78" s="15" t="str">
        <v>状态</v>
      </c>
      <c r="J78" s="15" t="str">
        <v>enum</v>
      </c>
      <c r="K78" s="48" t="str">
        <v>关闭，黄色常亮</v>
      </c>
      <c r="N78" s="15" t="str">
        <v>N</v>
      </c>
      <c r="O78" s="36" t="str">
        <v>N （是否与机油压力警告灯重复）</v>
      </c>
      <c r="P78" s="37" t="str">
        <v>NA</v>
      </c>
      <c r="Q78" s="36" t="str">
        <v>NA</v>
      </c>
      <c r="R78" s="39" t="str">
        <v>NA</v>
      </c>
      <c r="T78" s="26" t="str">
        <v>N</v>
      </c>
      <c r="V78" s="26" t="str">
        <v>N</v>
      </c>
    </row>
    <row r="79" spans="1:22">
      <c r="A79" s="15" t="str">
        <v>车灯</v>
      </c>
      <c r="B79" s="15" t="str">
        <v>状态灯</v>
      </c>
      <c r="C79" s="15" t="str">
        <v>signal_light_0064 </v>
      </c>
      <c r="D79" s="16">
        <v>1</v>
      </c>
      <c r="F79" s="15" t="str">
        <v>颗粒捕集器状态警告灯</v>
      </c>
      <c r="G79" s="45" t="str">
        <v>低频变化</v>
      </c>
      <c r="H79" s="15" t="str">
        <v>states</v>
      </c>
      <c r="I79" s="15" t="str">
        <v>状态</v>
      </c>
      <c r="J79" s="15" t="str">
        <v>enum</v>
      </c>
      <c r="K79" s="61" t="str">
        <v>关闭，白色常亮，黄色常亮，黄色闪烁</v>
      </c>
      <c r="N79" s="15" t="str">
        <v>N</v>
      </c>
      <c r="O79" s="36" t="str">
        <v>N</v>
      </c>
      <c r="P79" s="37" t="str">
        <v>NA</v>
      </c>
      <c r="S79" s="32" t="inlineStr">
        <is>
          <r>
            <t>@陈果果</t>
          </r>
        </is>
      </c>
      <c r="T79" s="26" t="str">
        <v>N</v>
      </c>
      <c r="U79" s="16">
        <v>4.21</v>
      </c>
      <c r="V79" s="26" t="str">
        <v>N</v>
      </c>
    </row>
    <row r="80" spans="1:22">
      <c r="A80" s="15" t="str">
        <v>车灯</v>
      </c>
      <c r="B80" s="15" t="str">
        <v>状态灯</v>
      </c>
      <c r="C80" s="15" t="str">
        <v>signal_light_0065 </v>
      </c>
      <c r="D80" s="16">
        <v>1</v>
      </c>
      <c r="F80" s="15" t="str">
        <v>电子系统故障提示灯</v>
      </c>
      <c r="G80" s="45" t="str">
        <v>低频变化</v>
      </c>
      <c r="H80" s="15" t="str">
        <v>states</v>
      </c>
      <c r="I80" s="15" t="str">
        <v>状态</v>
      </c>
      <c r="J80" s="15" t="str">
        <v>enum</v>
      </c>
      <c r="K80" s="48" t="str">
        <v>关闭，黄色常亮</v>
      </c>
      <c r="N80" s="15" t="str">
        <v>N</v>
      </c>
      <c r="O80" s="36" t="str">
        <v>N （是否是ESC信号）</v>
      </c>
      <c r="P80" s="37" t="str">
        <v>NA</v>
      </c>
      <c r="Q80" s="36" t="str">
        <v>NA</v>
      </c>
      <c r="R80" s="39" t="str">
        <v>NA</v>
      </c>
      <c r="T80" s="26" t="str">
        <v>N</v>
      </c>
      <c r="V80" s="26" t="str">
        <v>N</v>
      </c>
    </row>
    <row r="81" spans="1:26">
      <c r="A81" s="15" t="str">
        <v>车灯</v>
      </c>
      <c r="B81" s="18" t="str">
        <v>故障灯</v>
      </c>
      <c r="C81" s="15" t="str">
        <v>signal_light_0066 </v>
      </c>
      <c r="D81" s="16">
        <v>1</v>
      </c>
      <c r="F81" s="15" t="str">
        <v>悬架系统故障提示灯</v>
      </c>
      <c r="G81" s="45" t="str">
        <v>低频变化</v>
      </c>
      <c r="H81" s="15" t="str">
        <v>states</v>
      </c>
      <c r="I81" s="15" t="str">
        <v>状态</v>
      </c>
      <c r="J81" s="15" t="str">
        <v>enum</v>
      </c>
      <c r="K81" s="18" t="str">
        <v>关闭，红色常亮，黄色常亮</v>
      </c>
      <c r="N81" s="15" t="str">
        <v>Y</v>
      </c>
      <c r="O81" s="36" t="str">
        <v>Y （只有黄色状态）</v>
      </c>
      <c r="P81" s="37" t="str">
        <v>Y</v>
      </c>
      <c r="Q81" s="43">
        <v>254</v>
      </c>
      <c r="R81" s="39" t="str">
        <v>multidisplay，id 9001</v>
      </c>
      <c r="S81" s="32" t="inlineStr">
        <is>
          <r>
            <t>@尹泽陆</t>
          </r>
        </is>
      </c>
      <c r="T81" s="26" t="str">
        <v>Y</v>
      </c>
      <c r="U81" s="27">
        <v>4.27</v>
      </c>
      <c r="V81" s="40" t="str">
        <v>Y</v>
      </c>
      <c r="Y81" s="15" t="str">
        <v>Y</v>
      </c>
      <c r="Z81" s="15" t="str">
        <v>手动发信号验证</v>
      </c>
    </row>
    <row r="82" spans="1:25">
      <c r="A82" s="15" t="str">
        <v>车灯</v>
      </c>
      <c r="B82" s="15" t="str">
        <v>状态灯</v>
      </c>
      <c r="C82" s="15" t="str">
        <v>signal_light_0067 </v>
      </c>
      <c r="D82" s="16">
        <v>3</v>
      </c>
      <c r="E82" s="62" t="str">
        <v>EV EV  HEV</v>
      </c>
      <c r="F82" s="15" t="str">
        <v>动力源状态指示灯</v>
      </c>
      <c r="G82" s="45" t="str">
        <v>低频变化</v>
      </c>
      <c r="H82" s="15" t="str">
        <v>states</v>
      </c>
      <c r="I82" s="15" t="str">
        <v>状态</v>
      </c>
      <c r="J82" s="15" t="str">
        <v>enum</v>
      </c>
      <c r="K82" s="63" t="str">
        <v>关闭，绿色常亮，蓝色常亮</v>
      </c>
      <c r="N82" s="15" t="str">
        <v>Y</v>
      </c>
      <c r="O82" s="36" t="str">
        <v>Y</v>
      </c>
      <c r="P82" s="37" t="str">
        <v>Y</v>
      </c>
      <c r="Q82" s="36" t="str">
        <v>117 (EV)177 (HEV)236(未知)</v>
      </c>
      <c r="R82" s="39" t="str">
        <v>multidisplay，id 9001</v>
      </c>
      <c r="S82" s="32" t="inlineStr">
        <is>
          <r>
            <t>@陈果果</t>
          </r>
        </is>
      </c>
      <c r="T82" s="26" t="str">
        <v>Y</v>
      </c>
      <c r="U82" s="16">
        <v>5.09</v>
      </c>
      <c r="V82" s="40" t="str">
        <v>Y</v>
      </c>
      <c r="Y82" s="15" t="str">
        <v>Y</v>
      </c>
    </row>
    <row r="83" spans="1:22">
      <c r="A83" s="15" t="str">
        <v>车灯</v>
      </c>
      <c r="B83" s="15" t="str">
        <v>状态灯</v>
      </c>
      <c r="C83" s="15" t="str">
        <v>signal_light_0068 </v>
      </c>
      <c r="D83" s="16">
        <v>1</v>
      </c>
      <c r="F83" s="15" t="str">
        <v>雨刮器故障提示灯</v>
      </c>
      <c r="G83" s="45" t="str">
        <v>低频变化</v>
      </c>
      <c r="H83" s="15" t="str">
        <v>states</v>
      </c>
      <c r="I83" s="15" t="str">
        <v>状态</v>
      </c>
      <c r="J83" s="15" t="str">
        <v>enum</v>
      </c>
      <c r="K83" s="48" t="str">
        <v>关闭，黄色常亮</v>
      </c>
      <c r="N83" s="15" t="str">
        <v>N</v>
      </c>
      <c r="O83" s="36" t="str">
        <v>N</v>
      </c>
      <c r="P83" s="37" t="str">
        <v>NA</v>
      </c>
      <c r="Q83" s="36" t="str">
        <v>NA</v>
      </c>
      <c r="R83" s="64" t="str">
        <v>NA</v>
      </c>
      <c r="S83" s="32" t="inlineStr">
        <is>
          <r>
            <t>@陈果果</t>
          </r>
        </is>
      </c>
      <c r="T83" s="26" t="str">
        <v>N</v>
      </c>
      <c r="U83" s="16">
        <v>4.21</v>
      </c>
      <c r="V83" s="26" t="str">
        <v>N</v>
      </c>
    </row>
    <row r="84" spans="1:22">
      <c r="A84" s="15" t="str">
        <v>车灯</v>
      </c>
      <c r="B84" s="15" t="str">
        <v>状态灯</v>
      </c>
      <c r="C84" s="15" t="str">
        <v>signal_light_0069 </v>
      </c>
      <c r="D84" s="16">
        <v>1</v>
      </c>
      <c r="F84" s="15" t="str">
        <v>雨量传感器故障提示灯</v>
      </c>
      <c r="G84" s="45" t="str">
        <v>低频变化</v>
      </c>
      <c r="H84" s="15" t="str">
        <v>states</v>
      </c>
      <c r="I84" s="15" t="str">
        <v>状态</v>
      </c>
      <c r="J84" s="15" t="str">
        <v>enum</v>
      </c>
      <c r="K84" s="48" t="str">
        <v>关闭，黄色常亮</v>
      </c>
      <c r="N84" s="15" t="str">
        <v>N</v>
      </c>
      <c r="O84" s="36" t="str">
        <v>N</v>
      </c>
      <c r="P84" s="37" t="str">
        <v>NA</v>
      </c>
      <c r="Q84" s="36" t="str">
        <v>NA</v>
      </c>
      <c r="R84" s="64" t="str">
        <v>NA</v>
      </c>
      <c r="S84" s="32" t="inlineStr">
        <is>
          <r>
            <t>@陈果果</t>
          </r>
        </is>
      </c>
      <c r="T84" s="26" t="str">
        <v>N</v>
      </c>
      <c r="U84" s="16">
        <v>4.21</v>
      </c>
      <c r="V84" s="26" t="str">
        <v>N</v>
      </c>
    </row>
    <row r="85" spans="1:26">
      <c r="A85" s="17" t="str">
        <v>车灯</v>
      </c>
      <c r="B85" s="17" t="str">
        <v>状态灯</v>
      </c>
      <c r="C85" s="17" t="str">
        <v>signal_light_0070 </v>
      </c>
      <c r="D85" s="19">
        <v>1</v>
      </c>
      <c r="F85" s="17" t="str">
        <v>脱手接管报警灯</v>
      </c>
      <c r="G85" s="65" t="str">
        <v>低频变化</v>
      </c>
      <c r="H85" s="17" t="str">
        <v>states</v>
      </c>
      <c r="I85" s="17" t="str">
        <v>状态</v>
      </c>
      <c r="J85" s="17" t="str">
        <v>enum</v>
      </c>
      <c r="K85" s="66" t="str">
        <v>关闭，红色常亮</v>
      </c>
      <c r="N85" s="17" t="str">
        <v>Y</v>
      </c>
      <c r="O85" s="67" t="str">
        <v>Y</v>
      </c>
      <c r="P85" s="68" t="str">
        <v>Y</v>
      </c>
      <c r="Q85" s="69">
        <v>160</v>
      </c>
      <c r="R85" s="70" t="str">
        <v>multidisplay，id 9001</v>
      </c>
      <c r="S85" s="71" t="inlineStr">
        <is>
          <r>
            <t>@陈果果</t>
          </r>
        </is>
      </c>
      <c r="T85" s="72" t="str">
        <v>Y</v>
      </c>
      <c r="U85" s="19">
        <v>4.21</v>
      </c>
      <c r="V85" s="73" t="str">
        <v>Y</v>
      </c>
      <c r="Y85" s="17" t="str">
        <v>Y</v>
      </c>
      <c r="Z85" s="17" t="str">
        <v>手动发信号验证</v>
      </c>
    </row>
    <row r="86" spans="1:29">
      <c r="A86" s="15" t="str">
        <v>车灯</v>
      </c>
      <c r="B86" s="15" t="str">
        <v>故障灯</v>
      </c>
      <c r="C86" s="15" t="str">
        <v>signal_light_0071 </v>
      </c>
      <c r="D86" s="16">
        <v>2</v>
      </c>
      <c r="F86" s="15" t="str">
        <v>前向主动安全辅助系统状态指示灯</v>
      </c>
      <c r="G86" s="45" t="str">
        <v>低频变化</v>
      </c>
      <c r="H86" s="15" t="str">
        <v>states</v>
      </c>
      <c r="I86" s="15" t="str">
        <v>状态</v>
      </c>
      <c r="J86" s="15" t="str">
        <v>enum</v>
      </c>
      <c r="K86" s="15" t="str">
        <v>关闭，显示红色，显示黄色</v>
      </c>
      <c r="N86" s="15" t="str">
        <v>Y</v>
      </c>
      <c r="O86" s="15" t="str">
        <v>Y</v>
      </c>
      <c r="P86" s="74" t="str">
        <v>Y</v>
      </c>
      <c r="Q86" s="15" t="str">
        <v>115 116</v>
      </c>
      <c r="R86" s="75" t="str">
        <v>multidisplay，id 9001</v>
      </c>
      <c r="S86" s="32" t="inlineStr">
        <is>
          <r>
            <t>@尹泽陆</t>
          </r>
        </is>
      </c>
      <c r="T86" s="15" t="str">
        <v>Y</v>
      </c>
      <c r="U86" s="16">
        <v>4.27</v>
      </c>
      <c r="V86" s="40" t="str">
        <v>Y</v>
      </c>
      <c r="W86" s="15" t="str">
        <v>115 116</v>
      </c>
      <c r="Y86" s="15" t="str">
        <v>B</v>
      </c>
      <c r="AA86" s="15" t="str">
        <v>只有黄色</v>
      </c>
      <c r="AB86" s="15" t="str">
        <v>待确认</v>
      </c>
      <c r="AC86" s="15" t="str">
        <v>只有115，只有黄色，文档116被删</v>
      </c>
    </row>
    <row r="87" spans="1:25">
      <c r="A87" s="15" t="str">
        <v>车灯</v>
      </c>
      <c r="H87" s="45" t="str">
        <v>type</v>
      </c>
      <c r="I87" s="45" t="str">
        <v>动力源类型</v>
      </c>
      <c r="J87" s="45" t="str">
        <v>enum</v>
      </c>
      <c r="K87" s="45" t="str">
        <v>EV，HEV</v>
      </c>
      <c r="N87" s="45" t="str">
        <v>Y</v>
      </c>
      <c r="S87" s="32" t="inlineStr">
        <is>
          <r>
            <t>@陈果果</t>
          </r>
        </is>
      </c>
      <c r="T87" s="15" t="str">
        <v>Y</v>
      </c>
      <c r="V87" s="15" t="str">
        <v>Y</v>
      </c>
      <c r="Y87" s="15" t="str">
        <v>Y</v>
      </c>
    </row>
    <row r="88" spans="1:23">
      <c r="A88" s="15" t="str">
        <v>车灯</v>
      </c>
      <c r="H88" s="15" t="str">
        <v>flash</v>
      </c>
      <c r="I88" s="15" t="str">
        <v>闪烁频率</v>
      </c>
      <c r="J88" s="15" t="str">
        <v>enum</v>
      </c>
      <c r="K88" s="15" t="str">
        <v>0.5Hz，常亮</v>
      </c>
      <c r="N88" s="15" t="str">
        <v>Y</v>
      </c>
      <c r="O88" s="15" t="str">
        <v>N</v>
      </c>
      <c r="P88" s="74" t="str">
        <v>NA</v>
      </c>
      <c r="S88" s="32" t="inlineStr">
        <is>
          <r>
            <t>@陈果果</t>
          </r>
        </is>
      </c>
      <c r="T88" s="15" t="str">
        <v>N</v>
      </c>
      <c r="V88" s="15" t="str">
        <v>缺接口</v>
      </c>
      <c r="W88" s="15" t="str">
        <v>没有频率需求，不支持获取</v>
      </c>
    </row>
    <row r="89" spans="1:26">
      <c r="A89" s="20" t="str">
        <v>车灯</v>
      </c>
      <c r="B89" s="47" t="str">
        <v>故障灯</v>
      </c>
      <c r="C89" s="20" t="str">
        <v>signal_light_0072 </v>
      </c>
      <c r="D89" s="21">
        <v>1</v>
      </c>
      <c r="F89" s="20" t="str">
        <v>后方主动安全辅助系统故障指示灯</v>
      </c>
      <c r="G89" s="76" t="str">
        <v>低频变化</v>
      </c>
      <c r="H89" s="20" t="str">
        <v>states</v>
      </c>
      <c r="I89" s="20" t="str">
        <v>状态</v>
      </c>
      <c r="J89" s="20" t="str">
        <v>enum</v>
      </c>
      <c r="K89" s="77" t="str">
        <v>关闭，黄色常亮</v>
      </c>
      <c r="N89" s="20" t="str">
        <v>Y</v>
      </c>
      <c r="O89" s="78" t="str">
        <v>Y</v>
      </c>
      <c r="P89" s="79" t="str">
        <v>Y</v>
      </c>
      <c r="Q89" s="78" t="str">
        <v>164（改为 76）</v>
      </c>
      <c r="R89" s="80" t="str">
        <v>multidisplay，id 9001</v>
      </c>
      <c r="S89" s="81" t="inlineStr">
        <is>
          <r>
            <t>@尹泽陆</t>
          </r>
        </is>
      </c>
      <c r="T89" s="82" t="str">
        <v>Y</v>
      </c>
      <c r="U89" s="83">
        <v>4.27</v>
      </c>
      <c r="V89" s="84" t="str">
        <v>Y</v>
      </c>
      <c r="Y89" s="20" t="str">
        <v>Y</v>
      </c>
      <c r="Z89" s="20" t="str">
        <v>手动发信号验证</v>
      </c>
    </row>
    <row r="90" spans="1:23">
      <c r="A90" s="15" t="str">
        <v>车灯</v>
      </c>
      <c r="H90" s="15" t="str">
        <v>abnormal_cause</v>
      </c>
      <c r="I90" s="15" t="str">
        <v>异常原因</v>
      </c>
      <c r="J90" s="15" t="str">
        <v>str</v>
      </c>
      <c r="N90" s="15" t="str">
        <v>Y</v>
      </c>
      <c r="O90" s="36" t="str">
        <v>N</v>
      </c>
      <c r="P90" s="37" t="str">
        <v>NA</v>
      </c>
      <c r="R90" s="39" t="str">
        <v>multidisplay，id 9001</v>
      </c>
      <c r="S90" s="32" t="inlineStr">
        <is>
          <r>
            <t>@陈果果</t>
          </r>
        </is>
      </c>
      <c r="T90" s="26" t="str">
        <v>N</v>
      </c>
      <c r="V90" s="18" t="str">
        <v>缺接口</v>
      </c>
      <c r="W90" s="15" t="str">
        <v>没有频率需求，不支持获取</v>
      </c>
    </row>
    <row r="91" spans="1:29">
      <c r="A91" s="15" t="str">
        <v>车灯</v>
      </c>
      <c r="B91" s="18" t="str">
        <v>故障灯</v>
      </c>
      <c r="C91" s="15" t="str">
        <v>signal_light_0073 </v>
      </c>
      <c r="D91" s="16">
        <v>1</v>
      </c>
      <c r="F91" s="15" t="str">
        <v>紧急转向辅助系统故障指示灯</v>
      </c>
      <c r="G91" s="45" t="str">
        <v>低频变化</v>
      </c>
      <c r="H91" s="15" t="str">
        <v>states</v>
      </c>
      <c r="I91" s="15" t="str">
        <v>状态</v>
      </c>
      <c r="J91" s="15" t="str">
        <v>enum</v>
      </c>
      <c r="K91" s="15" t="str">
        <v>关闭，黄色常亮，黄色闪烁，显示白色</v>
      </c>
      <c r="N91" s="15" t="str">
        <v>Y</v>
      </c>
      <c r="O91" s="36" t="str">
        <v>Y</v>
      </c>
      <c r="P91" s="37" t="str">
        <v>Y</v>
      </c>
      <c r="Q91" s="43">
        <v>180</v>
      </c>
      <c r="R91" s="39" t="str">
        <v>multidisplay，id 9001</v>
      </c>
      <c r="S91" s="32" t="inlineStr">
        <is>
          <r>
            <t>@尹泽陆</t>
          </r>
        </is>
      </c>
      <c r="T91" s="26" t="str">
        <v>Y</v>
      </c>
      <c r="U91" s="27">
        <v>4.27</v>
      </c>
      <c r="V91" s="82" t="str">
        <v>Y</v>
      </c>
      <c r="Y91" s="15" t="str">
        <v>B</v>
      </c>
      <c r="AA91" s="15" t="str">
        <v>显示白色未模拟出来</v>
      </c>
      <c r="AB91" s="15" t="str">
        <v>待确认</v>
      </c>
      <c r="AC91" s="15" t="str">
        <v>文档179， 开发180
两个都只有黄色</v>
      </c>
    </row>
    <row r="92" spans="1:25">
      <c r="A92" s="15" t="str">
        <v>车灯</v>
      </c>
      <c r="B92" s="15" t="str">
        <v>状态灯</v>
      </c>
      <c r="C92" s="15" t="str">
        <v>signal_light_0074 </v>
      </c>
      <c r="D92" s="16">
        <v>3</v>
      </c>
      <c r="F92" s="15" t="str">
        <v>巡航车速功能状态指示灯</v>
      </c>
      <c r="G92" s="45" t="str">
        <v>低频变化</v>
      </c>
      <c r="H92" s="15" t="str">
        <v>states</v>
      </c>
      <c r="I92" s="15" t="str">
        <v>状态</v>
      </c>
      <c r="J92" s="15" t="str">
        <v>enum</v>
      </c>
      <c r="K92" s="48" t="str">
        <v>关闭，显示蓝色，显示黄色，显示灰色</v>
      </c>
      <c r="N92" s="50" t="str">
        <v>N（@王超）</v>
      </c>
      <c r="O92" s="36" t="str">
        <v>Y</v>
      </c>
      <c r="P92" s="37" t="str">
        <v>Y</v>
      </c>
      <c r="Q92" s="36" t="str">
        <v>13 14 119</v>
      </c>
      <c r="R92" s="39" t="str">
        <v>multidisplay，id 9001</v>
      </c>
      <c r="S92" s="32" t="inlineStr">
        <is>
          <r>
            <t>@陈果果</t>
          </r>
        </is>
      </c>
      <c r="T92" s="26" t="str">
        <v>Y</v>
      </c>
      <c r="U92" s="16">
        <v>4.21</v>
      </c>
      <c r="V92" s="40" t="str">
        <v>Y</v>
      </c>
      <c r="Y92" s="15" t="str">
        <v>Y</v>
      </c>
    </row>
    <row r="93" spans="1:23">
      <c r="A93" s="15" t="str">
        <v>车灯</v>
      </c>
      <c r="B93" s="15" t="str">
        <v>状态灯</v>
      </c>
      <c r="C93" s="15" t="str">
        <v>signal_light_0075 </v>
      </c>
      <c r="D93" s="16">
        <v>3</v>
      </c>
      <c r="F93" s="15" t="str">
        <v>自适应巡航功能状态指示灯</v>
      </c>
      <c r="G93" s="45" t="str">
        <v>低频变化</v>
      </c>
      <c r="H93" s="15" t="str">
        <v>states</v>
      </c>
      <c r="I93" s="15" t="str">
        <v>状态</v>
      </c>
      <c r="J93" s="15" t="str">
        <v>enum</v>
      </c>
      <c r="K93" s="15" t="inlineStr">
        <is>
          <r>
            <rPr>
              <sz val="10"/>
              <color rgb="FF1F2329"/>
              <rFont val="Arial"/>
            </rPr>
            <t>关闭，显示蓝色，显示黄色，显示灰色，</t>
          </r>
          <r>
            <rPr>
              <sz val="10"/>
              <color rgb="FFF54A45"/>
              <rFont val="Arial"/>
            </rPr>
            <t>显示白色，蓝色闪烁</t>
          </r>
        </is>
      </c>
      <c r="N93" s="50" t="str">
        <v>Y（@王超）</v>
      </c>
      <c r="O93" s="36" t="str">
        <v>N</v>
      </c>
      <c r="P93" s="37" t="str">
        <v>NA</v>
      </c>
      <c r="S93" s="32" t="inlineStr">
        <is>
          <r>
            <t>@陈果果</t>
          </r>
        </is>
      </c>
      <c r="T93" s="26" t="str">
        <v>N</v>
      </c>
      <c r="U93" s="16">
        <v>4.21</v>
      </c>
      <c r="V93" s="15" t="str">
        <v>N</v>
      </c>
      <c r="W93" s="15" t="str">
        <v>上汽表示无此需求</v>
      </c>
    </row>
    <row r="94" spans="1:19">
      <c r="A94" s="15" t="str">
        <v>车灯</v>
      </c>
      <c r="H94" s="15" t="str">
        <v>flash</v>
      </c>
      <c r="I94" s="15" t="str">
        <v>闪烁频率</v>
      </c>
      <c r="J94" s="15" t="str">
        <v>enum</v>
      </c>
      <c r="K94" s="18" t="str">
        <v>0.5Hz，常亮</v>
      </c>
      <c r="N94" s="15" t="str">
        <v>Y</v>
      </c>
      <c r="O94" s="36" t="str">
        <v>N</v>
      </c>
      <c r="P94" s="37" t="str">
        <v>NA</v>
      </c>
      <c r="S94" s="32" t="inlineStr">
        <is>
          <r>
            <t>@尹泽陆</t>
          </r>
        </is>
      </c>
    </row>
    <row r="95" spans="1:26">
      <c r="A95" s="15" t="str">
        <v>车灯</v>
      </c>
      <c r="B95" s="15" t="str">
        <v>状态灯</v>
      </c>
      <c r="C95" s="15" t="str">
        <v>signal_light_0076 </v>
      </c>
      <c r="D95" s="16">
        <v>3</v>
      </c>
      <c r="F95" s="15" t="str">
        <v>领航辅助系统状态指示灯</v>
      </c>
      <c r="G95" s="45" t="str">
        <v>低频变化</v>
      </c>
      <c r="H95" s="15" t="str">
        <v>states</v>
      </c>
      <c r="I95" s="15" t="str">
        <v>状态</v>
      </c>
      <c r="J95" s="15" t="str">
        <v>enum</v>
      </c>
      <c r="K95" s="63" t="inlineStr">
        <is>
          <r>
            <rPr>
              <sz val="10"/>
              <color rgb="FF4E83FD"/>
              <rFont val="Arial"/>
            </rPr>
            <t xml:space="preserve">关闭，显示蓝色，显示黄色，显示灰色
</t>
          </r>
          <r>
            <rPr>
              <sz val="10"/>
              <color rgb="FF1F2329"/>
              <rFont val="Arial"/>
            </rPr>
            <t>只有（关闭，显示灰色，显示蓝色）</t>
          </r>
        </is>
      </c>
      <c r="N95" s="15" t="str">
        <v>Y</v>
      </c>
      <c r="O95" s="36" t="str">
        <v>Y</v>
      </c>
      <c r="P95" s="37" t="str">
        <v>Y</v>
      </c>
      <c r="Q95" s="36" t="str">
        <v>186 187 </v>
      </c>
      <c r="R95" s="39" t="str">
        <v>multidisplay，id 9001</v>
      </c>
      <c r="S95" s="32" t="inlineStr">
        <is>
          <r>
            <t>@陈果果</t>
          </r>
        </is>
      </c>
      <c r="T95" s="26" t="str">
        <v>Y</v>
      </c>
      <c r="U95" s="16">
        <v>4.21</v>
      </c>
      <c r="V95" s="40" t="str">
        <v>Y</v>
      </c>
      <c r="Y95" s="15" t="str">
        <v>Y</v>
      </c>
      <c r="Z95" s="15" t="str">
        <v>手动发信号验证</v>
      </c>
    </row>
    <row r="96" spans="1:16">
      <c r="A96" s="15" t="str">
        <v>车灯</v>
      </c>
      <c r="H96" s="15" t="str">
        <v>flash</v>
      </c>
      <c r="I96" s="15" t="str">
        <v>闪烁频率</v>
      </c>
      <c r="J96" s="15" t="str">
        <v>enum</v>
      </c>
      <c r="K96" s="18" t="str">
        <v>0.5Hz，常亮</v>
      </c>
      <c r="N96" s="15" t="str">
        <v>N</v>
      </c>
      <c r="O96" s="36" t="str">
        <v>N</v>
      </c>
      <c r="P96" s="37" t="str">
        <v>NA</v>
      </c>
    </row>
    <row r="97" spans="1:22">
      <c r="A97" s="15" t="str">
        <v>车灯</v>
      </c>
      <c r="B97" s="15" t="str">
        <v>状态灯</v>
      </c>
      <c r="C97" s="15" t="str">
        <v>signal_light_0077 </v>
      </c>
      <c r="D97" s="16">
        <v>2</v>
      </c>
      <c r="F97" s="15" t="str">
        <v>自动泊车辅助功能状态灯</v>
      </c>
      <c r="G97" s="45" t="str">
        <v>低频变化</v>
      </c>
      <c r="H97" s="15" t="str">
        <v>states</v>
      </c>
      <c r="I97" s="15" t="str">
        <v>状态</v>
      </c>
      <c r="J97" s="15" t="str">
        <v>enum</v>
      </c>
      <c r="K97" s="15" t="inlineStr">
        <is>
          <r>
            <rPr>
              <sz val="10"/>
              <color rgb="FF1F2329"/>
              <rFont val="Arial"/>
            </rPr>
            <t>关闭，显示浅蓝色，显示蓝色，</t>
          </r>
          <r>
            <rPr>
              <sz val="10"/>
              <color rgb="FFF54A45"/>
              <rFont val="Arial"/>
            </rPr>
            <t>显示绿色</t>
          </r>
        </is>
      </c>
      <c r="N97" s="15" t="str">
        <v>N</v>
      </c>
      <c r="O97" s="36" t="str">
        <v>N</v>
      </c>
      <c r="P97" s="37" t="str">
        <v>NA</v>
      </c>
      <c r="S97" s="32" t="inlineStr">
        <is>
          <r>
            <t>@陈果果</t>
          </r>
        </is>
      </c>
      <c r="T97" s="26" t="str">
        <v>N</v>
      </c>
      <c r="U97" s="16">
        <v>4.21</v>
      </c>
      <c r="V97" s="26" t="str">
        <v>N</v>
      </c>
    </row>
    <row r="98" spans="1:22">
      <c r="A98" s="15" t="str">
        <v>车灯</v>
      </c>
      <c r="B98" s="15" t="str">
        <v>状态灯</v>
      </c>
      <c r="C98" s="15" t="str">
        <v>signal_light_0078 </v>
      </c>
      <c r="D98" s="16">
        <v>3</v>
      </c>
      <c r="F98" s="15" t="str">
        <v>窄道辅助功能状态灯</v>
      </c>
      <c r="G98" s="45" t="str">
        <v>低频变化</v>
      </c>
      <c r="H98" s="15" t="str">
        <v>states</v>
      </c>
      <c r="I98" s="15" t="str">
        <v>状态</v>
      </c>
      <c r="J98" s="15" t="str">
        <v>enum</v>
      </c>
      <c r="K98" s="18" t="str">
        <v>关闭，显示浅蓝色，显示蓝色，显示灰色</v>
      </c>
      <c r="N98" s="15" t="str">
        <v>N</v>
      </c>
      <c r="O98" s="36" t="str">
        <v>N</v>
      </c>
      <c r="P98" s="37" t="str">
        <v>NA</v>
      </c>
      <c r="S98" s="32" t="inlineStr">
        <is>
          <r>
            <t>@陈果果</t>
          </r>
        </is>
      </c>
      <c r="T98" s="26" t="str">
        <v>N</v>
      </c>
      <c r="U98" s="16">
        <v>4.21</v>
      </c>
      <c r="V98" s="26" t="str">
        <v>N</v>
      </c>
    </row>
    <row r="99" spans="1:22">
      <c r="A99" s="15" t="str">
        <v>车灯</v>
      </c>
      <c r="B99" s="15" t="str">
        <v>状态灯</v>
      </c>
      <c r="C99" s="15" t="str">
        <v>signal_light_0079 </v>
      </c>
      <c r="D99" s="16">
        <v>3</v>
      </c>
      <c r="F99" s="15" t="str">
        <v>遥控泊车辅助功能状态灯</v>
      </c>
      <c r="G99" s="45" t="str">
        <v>低频变化</v>
      </c>
      <c r="H99" s="15" t="str">
        <v>states</v>
      </c>
      <c r="I99" s="15" t="str">
        <v>状态</v>
      </c>
      <c r="J99" s="15" t="str">
        <v>enum</v>
      </c>
      <c r="K99" s="18" t="str">
        <v>关闭，显示浅蓝色，显示蓝色，显示灰色</v>
      </c>
      <c r="N99" s="15" t="str">
        <v>N</v>
      </c>
      <c r="O99" s="36" t="str">
        <v>N</v>
      </c>
      <c r="P99" s="37" t="str">
        <v>NA</v>
      </c>
      <c r="S99" s="32" t="inlineStr">
        <is>
          <r>
            <t>@陈果果</t>
          </r>
        </is>
      </c>
      <c r="T99" s="26" t="str">
        <v>N</v>
      </c>
      <c r="U99" s="16">
        <v>4.21</v>
      </c>
      <c r="V99" s="26" t="str">
        <v>N</v>
      </c>
    </row>
    <row r="100" spans="1:22">
      <c r="A100" s="15" t="str">
        <v>车灯</v>
      </c>
      <c r="B100" s="15" t="str">
        <v>状态灯</v>
      </c>
      <c r="C100" s="15" t="str">
        <v>signal_light_0080 </v>
      </c>
      <c r="D100" s="16">
        <v>2</v>
      </c>
      <c r="F100" s="15" t="str">
        <v>自动泊车功能状态灯</v>
      </c>
      <c r="G100" s="45" t="str">
        <v>低频变化</v>
      </c>
      <c r="H100" s="15" t="str">
        <v>states</v>
      </c>
      <c r="I100" s="15" t="str">
        <v>状态</v>
      </c>
      <c r="J100" s="15" t="str">
        <v>enum</v>
      </c>
      <c r="K100" s="18" t="str">
        <v>关闭，显示蓝色，显示灰色</v>
      </c>
      <c r="N100" s="15" t="str">
        <v>N</v>
      </c>
      <c r="O100" s="36" t="str">
        <v>N</v>
      </c>
      <c r="P100" s="37" t="str">
        <v>NA</v>
      </c>
      <c r="S100" s="32" t="inlineStr">
        <is>
          <r>
            <t>@陈果果</t>
          </r>
        </is>
      </c>
      <c r="T100" s="26" t="str">
        <v>N</v>
      </c>
      <c r="U100" s="16">
        <v>4.21</v>
      </c>
      <c r="V100" s="26" t="str">
        <v>N</v>
      </c>
    </row>
    <row r="101" spans="1:29">
      <c r="A101" s="15" t="str">
        <v>车灯</v>
      </c>
      <c r="B101" s="15" t="str">
        <v>状态灯</v>
      </c>
      <c r="C101" s="15" t="str">
        <v>signal_light_0081 </v>
      </c>
      <c r="D101" s="16">
        <v>2</v>
      </c>
      <c r="F101" s="15" t="str">
        <v>疲劳分心报警灯</v>
      </c>
      <c r="G101" s="45" t="str">
        <v>低频变化</v>
      </c>
      <c r="H101" s="15" t="str">
        <v>states</v>
      </c>
      <c r="I101" s="15" t="str">
        <v>状态</v>
      </c>
      <c r="J101" s="15" t="str">
        <v>enum</v>
      </c>
      <c r="K101" s="48" t="str">
        <v>关闭，显示红色，显示黄色</v>
      </c>
      <c r="N101" s="15" t="str">
        <v>Y</v>
      </c>
      <c r="O101" s="36" t="str">
        <v>Y</v>
      </c>
      <c r="P101" s="37" t="str">
        <v>Y</v>
      </c>
      <c r="Q101" s="36" t="str">
        <v>227（咖啡灯）</v>
      </c>
      <c r="R101" s="39" t="str">
        <v>multidisplay，id 9001</v>
      </c>
      <c r="S101" s="32" t="inlineStr">
        <is>
          <r>
            <t>@陈果果</t>
          </r>
        </is>
      </c>
      <c r="T101" s="26" t="str">
        <v>Y</v>
      </c>
      <c r="U101" s="16">
        <v>4.21</v>
      </c>
      <c r="V101" s="40" t="str">
        <v>Y</v>
      </c>
      <c r="Y101" s="15" t="str">
        <v>B</v>
      </c>
      <c r="AA101" s="15" t="str">
        <v>除了1其他落库都是显示红色，4的时候仪表显示的是黄色，未模拟出显示红色</v>
      </c>
      <c r="AB101" s="15" t="str">
        <v>待确认</v>
      </c>
      <c r="AC101" s="15" t="str">
        <v>只有黄色</v>
      </c>
    </row>
    <row r="102" spans="1:19">
      <c r="A102" s="15" t="str">
        <v>车灯</v>
      </c>
      <c r="H102" s="15" t="str">
        <v>flash</v>
      </c>
      <c r="I102" s="15" t="str">
        <v>闪烁频率</v>
      </c>
      <c r="J102" s="15" t="str">
        <v>enum</v>
      </c>
      <c r="K102" s="18" t="str">
        <v>0.5Hz，常亮</v>
      </c>
      <c r="N102" s="15" t="str">
        <v>Y</v>
      </c>
      <c r="O102" s="36" t="str">
        <v>N</v>
      </c>
      <c r="P102" s="37" t="str">
        <v>NA</v>
      </c>
      <c r="S102" s="32" t="inlineStr">
        <is>
          <r>
            <t>@尹泽陆</t>
          </r>
        </is>
      </c>
    </row>
    <row r="103" ht="176" customHeight="1" spans="1:26">
      <c r="A103" s="20" t="str">
        <v>车灯</v>
      </c>
      <c r="B103" s="15" t="str">
        <v>状态灯</v>
      </c>
      <c r="C103" s="15" t="str">
        <v>signal_light_0082 </v>
      </c>
      <c r="D103" s="21">
        <v>1</v>
      </c>
      <c r="E103" s="20"/>
      <c r="F103" s="78" t="str">
        <v>车道限速标识指示灯</v>
      </c>
      <c r="G103" s="45" t="str">
        <v>低频变化</v>
      </c>
      <c r="H103" s="15" t="str">
        <v>states</v>
      </c>
      <c r="I103" s="15" t="str">
        <v>状态</v>
      </c>
      <c r="J103" s="15" t="str">
        <v>enum</v>
      </c>
      <c r="K103" s="18" t="str">
        <v>关闭，显示</v>
      </c>
      <c r="N103" s="15" t="str">
        <v>Y</v>
      </c>
      <c r="O103" s="36" t="str">
        <v>Y</v>
      </c>
      <c r="P103" s="37" t="str">
        <v>Y</v>
      </c>
      <c r="Q103" s="43">
        <v>206</v>
      </c>
      <c r="R103" s="39" t="str">
        <v>multidisplay，id 9001</v>
      </c>
      <c r="S103" s="32" t="inlineStr">
        <is>
          <r>
            <t>@陈果果</t>
          </r>
        </is>
      </c>
      <c r="T103" s="26" t="str">
        <v>Y</v>
      </c>
      <c r="U103" s="16">
        <v>4.21</v>
      </c>
      <c r="V103" s="40" t="str">
        <v>Y</v>
      </c>
      <c r="Y103" s="15" t="str">
        <v>Y</v>
      </c>
      <c r="Z103" s="15" t="str">
        <v>手动发信号验证</v>
      </c>
    </row>
    <row r="104" spans="1:25">
      <c r="A104" s="45" t="str">
        <v>车灯</v>
      </c>
      <c r="B104" s="45" t="str">
        <v>状态灯</v>
      </c>
      <c r="C104" s="45" t="str">
        <v>signal_light_0083</v>
      </c>
      <c r="D104" s="85">
        <v>1</v>
      </c>
      <c r="F104" s="86" t="str">
        <v>未有目标限速指示灯</v>
      </c>
      <c r="G104" s="45" t="str">
        <v>高频变化</v>
      </c>
      <c r="H104" s="45" t="str">
        <v>states</v>
      </c>
      <c r="I104" s="45" t="str">
        <v>状态</v>
      </c>
      <c r="J104" s="45" t="str">
        <v>enum</v>
      </c>
      <c r="K104" s="58" t="str">
        <v>关闭，显示</v>
      </c>
      <c r="N104" s="15" t="str">
        <v>Y</v>
      </c>
      <c r="O104" s="87" t="str">
        <v>Y</v>
      </c>
      <c r="P104" s="37" t="str">
        <v>Y</v>
      </c>
      <c r="Q104" s="43">
        <v>205</v>
      </c>
      <c r="R104" s="39" t="str">
        <v>multidisplay，id 9001</v>
      </c>
      <c r="S104" s="32" t="inlineStr">
        <is>
          <r>
            <t>@陈果果</t>
          </r>
        </is>
      </c>
      <c r="T104" s="26" t="str">
        <v>Y</v>
      </c>
      <c r="U104" s="27">
        <v>4.21</v>
      </c>
      <c r="V104" s="40" t="str">
        <v>Y</v>
      </c>
      <c r="Y104" s="15" t="str">
        <v>Y</v>
      </c>
    </row>
    <row r="105" spans="1:22">
      <c r="A105" s="45" t="str">
        <v>车灯</v>
      </c>
      <c r="B105" s="45" t="str">
        <v>状态灯</v>
      </c>
      <c r="C105" s="45" t="str">
        <v>signal_light_0084</v>
      </c>
      <c r="D105" s="85">
        <v>1</v>
      </c>
      <c r="F105" s="86" t="str">
        <v>智能限速激活和超速状态指示灯</v>
      </c>
      <c r="G105" s="45" t="str">
        <v>低频变化</v>
      </c>
      <c r="H105" s="45" t="str">
        <v>states</v>
      </c>
      <c r="I105" s="45" t="str">
        <v>状态</v>
      </c>
      <c r="J105" s="45" t="str">
        <v>enum</v>
      </c>
      <c r="K105" s="88" t="str">
        <v>关闭，显示绿色，显示白色，显示黄色，显示红色</v>
      </c>
      <c r="N105" s="45" t="str">
        <v>N</v>
      </c>
      <c r="O105" s="87" t="str">
        <v>N</v>
      </c>
      <c r="P105" s="37" t="str">
        <v>NA</v>
      </c>
      <c r="Q105" s="89" t="str">
        <v>201 202 203 204（依次是否为蓝/灰色、关闭、黄？）待确认</v>
      </c>
      <c r="R105" s="39" t="str">
        <v>multidisplay，id 9001</v>
      </c>
      <c r="S105" s="32" t="inlineStr">
        <is>
          <r>
            <t>@陈果果</t>
          </r>
        </is>
      </c>
      <c r="T105" s="26" t="str">
        <v>N</v>
      </c>
      <c r="U105" s="16">
        <v>4.21</v>
      </c>
      <c r="V105" s="15" t="str">
        <v>N</v>
      </c>
    </row>
    <row r="106" spans="1:22">
      <c r="A106" s="45" t="str">
        <v>车灯</v>
      </c>
      <c r="B106" s="45" t="str">
        <v>状态灯</v>
      </c>
      <c r="C106" s="45" t="str">
        <v>signal_light_0085</v>
      </c>
      <c r="D106" s="85">
        <v>3</v>
      </c>
      <c r="F106" s="86" t="str">
        <v>限速辅助状态指示灯</v>
      </c>
      <c r="G106" s="45" t="str">
        <v>低频变化</v>
      </c>
      <c r="H106" s="45" t="str">
        <v>states</v>
      </c>
      <c r="I106" s="45" t="str">
        <v>状态</v>
      </c>
      <c r="J106" s="45" t="str">
        <v>enum</v>
      </c>
      <c r="K106" s="58" t="str">
        <v>关闭，显示绿色，绿色闪烁，白色</v>
      </c>
      <c r="N106" s="45" t="str">
        <v>N</v>
      </c>
      <c r="O106" s="87" t="str">
        <v>N</v>
      </c>
      <c r="P106" s="90" t="str">
        <v>NA</v>
      </c>
      <c r="Q106" s="91" t="str">
        <v>105 106（灰色 蓝色）</v>
      </c>
      <c r="R106" s="64" t="str">
        <v>multidisplay，id 9001</v>
      </c>
      <c r="S106" s="32" t="inlineStr">
        <is>
          <r>
            <t>@陈果果</t>
          </r>
        </is>
      </c>
      <c r="T106" s="26" t="str">
        <v>N</v>
      </c>
      <c r="U106" s="16">
        <v>4.21</v>
      </c>
      <c r="V106" s="15" t="str">
        <v>N</v>
      </c>
    </row>
    <row r="107" spans="1:25">
      <c r="A107" s="45" t="str">
        <v>车灯</v>
      </c>
      <c r="B107" s="45" t="str">
        <v>状态灯</v>
      </c>
      <c r="C107" s="45" t="str">
        <v>signal_light_0086</v>
      </c>
      <c r="D107" s="85">
        <v>4</v>
      </c>
      <c r="F107" s="86" t="str">
        <v>巡航辅助系统状态灯</v>
      </c>
      <c r="G107" s="45" t="str">
        <v>低频变化</v>
      </c>
      <c r="H107" s="45" t="str">
        <v>states</v>
      </c>
      <c r="I107" s="45" t="str">
        <v>状态</v>
      </c>
      <c r="J107" s="45" t="str">
        <v>enum</v>
      </c>
      <c r="K107" s="58" t="str">
        <v>关闭，蓝色，灰色，白色，黄色</v>
      </c>
      <c r="N107" s="45" t="str">
        <v>Y</v>
      </c>
      <c r="O107" s="87" t="str">
        <v>Y</v>
      </c>
      <c r="P107" s="37" t="str">
        <v>Y</v>
      </c>
      <c r="Q107" s="78" t="str">
        <v>223，224，225，226（依次为灰白蓝黄）</v>
      </c>
      <c r="R107" s="39" t="str">
        <v>multidisplay，id 9001</v>
      </c>
      <c r="S107" s="32" t="inlineStr">
        <is>
          <r>
            <t>@陈果果</t>
          </r>
        </is>
      </c>
      <c r="T107" s="26" t="str">
        <v>Y</v>
      </c>
      <c r="U107" s="16">
        <v>4.21</v>
      </c>
      <c r="V107" s="40" t="str">
        <v>Y</v>
      </c>
      <c r="Y107" s="15" t="str">
        <v>Y</v>
      </c>
    </row>
    <row r="108" spans="1:25">
      <c r="A108" s="45" t="str">
        <v>车灯</v>
      </c>
      <c r="B108" s="45" t="str">
        <v>状态灯</v>
      </c>
      <c r="C108" s="45" t="str">
        <v>signal_light_0087</v>
      </c>
      <c r="F108" s="86" t="str">
        <v>限速辅助系统故障灯</v>
      </c>
      <c r="G108" s="45" t="str">
        <v>低频变化</v>
      </c>
      <c r="H108" s="45" t="str">
        <v>states</v>
      </c>
      <c r="I108" s="45" t="str">
        <v>状态</v>
      </c>
      <c r="J108" s="45" t="str">
        <v>enum</v>
      </c>
      <c r="K108" s="58" t="str">
        <v>关闭，黄色</v>
      </c>
      <c r="N108" s="45" t="str">
        <v>Y</v>
      </c>
      <c r="O108" s="87" t="str">
        <v>Y</v>
      </c>
      <c r="P108" s="37" t="str">
        <v>Y</v>
      </c>
      <c r="Q108" s="92">
        <v>56</v>
      </c>
      <c r="R108" s="39" t="str">
        <v>multidisplay，id 9001</v>
      </c>
      <c r="S108" s="32" t="inlineStr">
        <is>
          <r>
            <t>@陈果果</t>
          </r>
        </is>
      </c>
      <c r="T108" s="26" t="str">
        <v>Y</v>
      </c>
      <c r="U108" s="16">
        <v>4.21</v>
      </c>
      <c r="V108" s="40" t="str">
        <v>Y</v>
      </c>
      <c r="Y108" s="15" t="str">
        <v>Y</v>
      </c>
    </row>
    <row r="109" spans="1:26">
      <c r="A109" s="45" t="str">
        <v>车灯</v>
      </c>
      <c r="B109" s="45" t="str">
        <v>状态灯</v>
      </c>
      <c r="C109" s="45" t="str">
        <v>signal_light_0088</v>
      </c>
      <c r="F109" s="86" t="str">
        <v>ACC系统故障灯</v>
      </c>
      <c r="G109" s="45" t="str">
        <v>低频变化</v>
      </c>
      <c r="H109" s="45" t="str">
        <v>states</v>
      </c>
      <c r="I109" s="45" t="str">
        <v>状态</v>
      </c>
      <c r="J109" s="45" t="str">
        <v>enum</v>
      </c>
      <c r="K109" s="58" t="str">
        <v>关闭，黄色</v>
      </c>
      <c r="N109" s="45" t="str">
        <v>Y</v>
      </c>
      <c r="O109" s="87" t="str">
        <v>Y</v>
      </c>
      <c r="P109" s="37" t="str">
        <v>Y</v>
      </c>
      <c r="Q109" s="92">
        <v>159</v>
      </c>
      <c r="R109" s="39" t="str">
        <v>multidisplay，id 9001</v>
      </c>
      <c r="S109" s="32" t="inlineStr">
        <is>
          <r>
            <t>@陈果果</t>
          </r>
        </is>
      </c>
      <c r="T109" s="26" t="str">
        <v>Y</v>
      </c>
      <c r="U109" s="16">
        <v>4.21</v>
      </c>
      <c r="V109" s="40" t="str">
        <v>Y</v>
      </c>
      <c r="Y109" s="15" t="str">
        <v>Y</v>
      </c>
      <c r="Z109" s="15" t="str">
        <v>手动发信号验证</v>
      </c>
    </row>
    <row r="110" spans="1:26">
      <c r="A110" s="45" t="str">
        <v>车灯</v>
      </c>
      <c r="B110" s="45" t="str">
        <v>故障灯</v>
      </c>
      <c r="C110" s="45" t="str">
        <v>signal_light_0089</v>
      </c>
      <c r="D110" s="85">
        <v>1</v>
      </c>
      <c r="F110" s="86" t="str">
        <v>发动机故障警告灯</v>
      </c>
      <c r="G110" s="45" t="str">
        <v>低频变化</v>
      </c>
      <c r="H110" s="93" t="str">
        <v>states</v>
      </c>
      <c r="I110" s="93" t="str">
        <v>状态</v>
      </c>
      <c r="J110" s="45" t="str">
        <v>enum</v>
      </c>
      <c r="K110" s="58" t="str">
        <v>关闭，显示黄色</v>
      </c>
      <c r="N110" s="45" t="str">
        <v>Y</v>
      </c>
      <c r="O110" s="87" t="str">
        <v>Y</v>
      </c>
      <c r="P110" s="37" t="str">
        <v>Y</v>
      </c>
      <c r="Q110" s="94">
        <v>232</v>
      </c>
      <c r="R110" s="39" t="str">
        <v>multidisplay，id 9001</v>
      </c>
      <c r="S110" s="32" t="inlineStr">
        <is>
          <r>
            <t>@陈果果</t>
          </r>
        </is>
      </c>
      <c r="T110" s="26" t="str">
        <v>Y</v>
      </c>
      <c r="U110" s="16">
        <v>4.21</v>
      </c>
      <c r="V110" s="40" t="str">
        <v>Y</v>
      </c>
      <c r="Y110" s="15" t="str">
        <v>Y</v>
      </c>
      <c r="Z110" s="15" t="str">
        <v>手动发信号验证</v>
      </c>
    </row>
    <row r="111" spans="1:22">
      <c r="A111" s="95" t="str">
        <v>车灯</v>
      </c>
      <c r="B111" s="93" t="str">
        <v>状态灯</v>
      </c>
      <c r="C111" s="93" t="str">
        <v>signal_light_0090</v>
      </c>
      <c r="F111" s="93" t="str">
        <v>单踏板指示灯</v>
      </c>
      <c r="G111" s="45" t="str">
        <v>低频变化</v>
      </c>
      <c r="H111" s="93" t="str">
        <v>states</v>
      </c>
      <c r="I111" s="93" t="str">
        <v>状态</v>
      </c>
      <c r="J111" s="93" t="str">
        <v>enum</v>
      </c>
      <c r="K111" s="88" t="str">
        <v>关闭，显示白色</v>
      </c>
      <c r="N111" s="45" t="str">
        <v>N</v>
      </c>
      <c r="O111" s="36" t="str">
        <v>N</v>
      </c>
      <c r="P111" s="37" t="str">
        <v>NA</v>
      </c>
      <c r="S111" s="32" t="inlineStr">
        <is>
          <r>
            <t>@陈果果</t>
          </r>
        </is>
      </c>
      <c r="T111" s="26" t="str">
        <v>N</v>
      </c>
      <c r="U111" s="16">
        <v>4.21</v>
      </c>
      <c r="V111" s="26" t="str">
        <v>N</v>
      </c>
    </row>
    <row r="112" spans="1:23">
      <c r="A112" s="15" t="str">
        <v>智驾</v>
      </c>
      <c r="B112" s="15" t="str">
        <v>全速自适应巡航</v>
      </c>
      <c r="C112" s="15" t="str">
        <v>adsd_0001</v>
      </c>
      <c r="F112" s="15" t="str">
        <v>全速自适应巡航</v>
      </c>
      <c r="G112" s="15" t="str">
        <v>低频变化</v>
      </c>
      <c r="H112" s="15" t="str">
        <v>switch</v>
      </c>
      <c r="I112" s="15" t="str">
        <v>模式选项</v>
      </c>
      <c r="J112" s="15" t="str">
        <v>enum</v>
      </c>
      <c r="K112" s="18" t="str">
        <v>未选择，选择</v>
      </c>
      <c r="N112" s="45" t="str">
        <v>N（使用adsd_0037）</v>
      </c>
      <c r="O112" s="36" t="str">
        <v>Y</v>
      </c>
      <c r="P112" s="37" t="str">
        <v>Y</v>
      </c>
      <c r="Q112" s="36" t="str">
        <v>public int getAiPilotMode(@NonNull IntResult result) 
AdsCallbackFlag.AIPILOT
onAiPilotModeChanged
acc 1 ica 2 noa 3</v>
      </c>
      <c r="S112" s="32" t="inlineStr">
        <is>
          <r>
            <t>@谢一鸣</t>
          </r>
        </is>
      </c>
      <c r="T112" s="26" t="str">
        <v>Y</v>
      </c>
      <c r="U112" s="16">
        <v>4.22</v>
      </c>
      <c r="V112" s="15" t="str">
        <v>已开发，待验证</v>
      </c>
      <c r="W112" s="45" t="inlineStr">
        <is>
          <r>
            <rPr>
              <strike/>
              <sz val="10"/>
              <color rgb="FF1F2329"/>
              <rFont val="Arial"/>
            </rPr>
            <t xml:space="preserve">04.22：实车测试未收到状态回调，上汽反馈还未完成
</t>
          </r>
          <r>
            <rPr>
              <sz val="10"/>
              <color rgb="FFF54A45"/>
              <rFont val="Arial"/>
            </rPr>
            <t>05.26:已收到回调掉</t>
          </r>
        </is>
      </c>
    </row>
    <row r="113" spans="1:16">
      <c r="A113" s="15" t="str">
        <v>智驾</v>
      </c>
      <c r="H113" s="15" t="str">
        <v>abnormal_cause</v>
      </c>
      <c r="I113" s="15" t="str">
        <v>异常原因</v>
      </c>
      <c r="J113" s="15" t="str">
        <v>str</v>
      </c>
      <c r="N113" s="15" t="str">
        <v>N</v>
      </c>
      <c r="O113" s="36" t="str">
        <v>N</v>
      </c>
      <c r="P113" s="37" t="str">
        <v>NA</v>
      </c>
    </row>
    <row r="114" spans="1:23">
      <c r="A114" s="15" t="str">
        <v>智驾</v>
      </c>
      <c r="B114" s="15" t="str">
        <v>全速驾驶辅助</v>
      </c>
      <c r="C114" s="15" t="str">
        <v>adsd_0002</v>
      </c>
      <c r="F114" s="15" t="str">
        <v>全速驾驶辅助</v>
      </c>
      <c r="G114" s="15" t="str">
        <v>低频变化</v>
      </c>
      <c r="H114" s="15" t="str">
        <v>switch</v>
      </c>
      <c r="I114" s="15" t="str">
        <v>模式选项</v>
      </c>
      <c r="J114" s="15" t="str">
        <v>enum</v>
      </c>
      <c r="K114" s="18" t="str">
        <v>未选择，选择</v>
      </c>
      <c r="N114" s="45" t="str">
        <v>N（使用adsd_0037）</v>
      </c>
      <c r="O114" s="36" t="str">
        <v>Y</v>
      </c>
      <c r="P114" s="37" t="str">
        <v>Y</v>
      </c>
      <c r="Q114" s="36" t="str">
        <v>public int getAiPilotMode(@NonNull IntResult result) 
AdsCallbackFlag.AIPILOT
onAiPilotModeChanged
acc 1 ica 2 noa 3</v>
      </c>
      <c r="S114" s="32" t="inlineStr">
        <is>
          <r>
            <t>@谢一鸣</t>
          </r>
        </is>
      </c>
      <c r="T114" s="26" t="str">
        <v>Y</v>
      </c>
      <c r="U114" s="16">
        <v>4.22</v>
      </c>
      <c r="W114" s="45" t="inlineStr">
        <is>
          <r>
            <rPr>
              <strike/>
              <sz val="10"/>
              <color rgb="FF1F2329"/>
              <rFont val="Arial"/>
            </rPr>
            <t xml:space="preserve">04.18：在ACCTJAMdSwSt中未发现【全速驾驶辅助】状态
04.20：待上汽反馈  =》 上汽反馈没有这个需求（已通知产品）
</t>
          </r>
          <r>
            <rPr>
              <sz val="10"/>
              <color rgb="FFF54A45"/>
              <rFont val="Arial"/>
            </rPr>
            <t>05.26:已收到回调掉</t>
          </r>
        </is>
      </c>
    </row>
    <row r="115" spans="1:16">
      <c r="A115" s="15" t="str">
        <v>智驾</v>
      </c>
      <c r="H115" s="15" t="str">
        <v>abnormal_cause</v>
      </c>
      <c r="I115" s="15" t="str">
        <v>异常原因</v>
      </c>
      <c r="J115" s="15" t="str">
        <v>str</v>
      </c>
      <c r="N115" s="15" t="str">
        <v>N</v>
      </c>
      <c r="O115" s="36" t="str">
        <v>N</v>
      </c>
      <c r="P115" s="37" t="str">
        <v>NA</v>
      </c>
    </row>
    <row r="116" spans="1:24">
      <c r="A116" s="15" t="str">
        <v>智驾</v>
      </c>
      <c r="B116" s="15" t="str">
        <v>领航辅助NOA</v>
      </c>
      <c r="C116" s="15" t="str">
        <v>adsd_0003</v>
      </c>
      <c r="F116" s="15" t="str">
        <v>领航辅助NOA开关</v>
      </c>
      <c r="G116" s="15" t="str">
        <v>低频变化</v>
      </c>
      <c r="H116" s="15" t="str">
        <v>switch</v>
      </c>
      <c r="I116" s="15" t="str">
        <v>开关</v>
      </c>
      <c r="J116" s="15" t="str">
        <v>enum</v>
      </c>
      <c r="K116" s="18" t="str">
        <v>on，off</v>
      </c>
      <c r="N116" s="45" t="str">
        <v>N（使用adsd_0037）</v>
      </c>
      <c r="O116" s="36" t="str">
        <v>Y</v>
      </c>
      <c r="P116" s="37" t="str">
        <v>Y</v>
      </c>
      <c r="Q116" s="36" t="str">
        <v>public int getAiPilotMode(@NonNull IntResult result) 
AdsCallbackFlag.AIPILOT
onAiPilotModeChanged
acc 1 ica 2 noa 3</v>
      </c>
      <c r="S116" s="32" t="inlineStr">
        <is>
          <r>
            <t>@谢一鸣</t>
          </r>
        </is>
      </c>
      <c r="T116" s="26" t="str">
        <v>Y</v>
      </c>
      <c r="U116" s="16">
        <v>4.22</v>
      </c>
      <c r="V116" s="15" t="str">
        <v>已开发，待验证</v>
      </c>
      <c r="W116" s="96" t="inlineStr">
        <is>
          <r>
            <rPr>
              <strike/>
              <sz val="10"/>
              <color rgb="FF1F2329"/>
              <rFont val="Arial"/>
            </rPr>
            <t xml:space="preserve">04.18：在ACCTJAMdSwSt中未发现有NOA状态
04.20：待上汽反馈 =》上汽提供新的状态映射常量
04.22：实车不支持测试已向上汽反馈
</t>
          </r>
          <r>
            <rPr>
              <sz val="10"/>
              <color rgb="FFF54A45"/>
              <rFont val="Arial"/>
            </rPr>
            <t>05.26:收到回调掉</t>
          </r>
        </is>
      </c>
      <c r="X116" s="15" t="str">
        <v>on、off</v>
      </c>
    </row>
    <row r="117" spans="1:16">
      <c r="A117" s="15" t="str">
        <v>智驾</v>
      </c>
      <c r="H117" s="15" t="str">
        <v>abnormal_cause</v>
      </c>
      <c r="I117" s="15" t="str">
        <v>异常原因</v>
      </c>
      <c r="J117" s="15" t="str">
        <v>str</v>
      </c>
      <c r="N117" s="15" t="str">
        <v>N</v>
      </c>
      <c r="O117" s="36" t="str">
        <v>N</v>
      </c>
      <c r="P117" s="37" t="str">
        <v>NA</v>
      </c>
    </row>
    <row r="118" spans="1:23">
      <c r="A118" s="15" t="str">
        <v>智驾</v>
      </c>
      <c r="B118" s="15" t="str">
        <v>领航辅助</v>
      </c>
      <c r="C118" s="15" t="str">
        <v>adsd_0004</v>
      </c>
      <c r="F118" s="15" t="str">
        <v>变道确认开关</v>
      </c>
      <c r="G118" s="15" t="str">
        <v>低频变化</v>
      </c>
      <c r="H118" s="15" t="str">
        <v>switch</v>
      </c>
      <c r="I118" s="15" t="str">
        <v>开关</v>
      </c>
      <c r="J118" s="15" t="str">
        <v>enum</v>
      </c>
      <c r="K118" s="18" t="str">
        <v>on，off</v>
      </c>
      <c r="N118" s="56" t="str">
        <v>N（上汽反馈不支持）</v>
      </c>
      <c r="O118" s="36" t="str">
        <v>Y</v>
      </c>
      <c r="P118" s="37" t="str">
        <v>Y</v>
      </c>
      <c r="Q118" s="36" t="str">
        <v>int getAutoLaneChngSwSt(@NonNull
 IntResult result)
AdsCallbackFlag AUTO_LANE_CHNG_SW_ST
onAutoLaneChngSwStChanged回调</v>
      </c>
      <c r="S118" s="32" t="inlineStr">
        <is>
          <r>
            <t>@谢一鸣</t>
          </r>
        </is>
      </c>
      <c r="T118" s="26" t="str">
        <v>N</v>
      </c>
      <c r="U118" s="16">
        <v>4.22</v>
      </c>
      <c r="W118" s="96" t="inlineStr">
        <is>
          <r>
            <rPr>
              <strike/>
              <sz val="10"/>
              <color rgb="FF1F2329"/>
              <rFont val="Arial"/>
            </rPr>
            <t xml:space="preserve">04.18:需要上汽解释AdsAutoLaneChngType中的RECOMMENED的含义
</t>
          </r>
          <r>
            <rPr>
              <sz val="10"/>
              <color rgb="FFF54A45"/>
              <rFont val="Arial"/>
            </rPr>
            <t>04.20：待上汽反馈  =》 上汽反馈没这个需求（已通知产品）</t>
          </r>
        </is>
      </c>
    </row>
    <row r="119" spans="1:16">
      <c r="A119" s="15" t="str">
        <v>智驾</v>
      </c>
      <c r="H119" s="15" t="str">
        <v>abnormal_cause</v>
      </c>
      <c r="I119" s="15" t="str">
        <v>异常原因</v>
      </c>
      <c r="J119" s="15" t="str">
        <v>str</v>
      </c>
      <c r="N119" s="15" t="str">
        <v>N</v>
      </c>
      <c r="O119" s="36" t="str">
        <v>N</v>
      </c>
      <c r="P119" s="37" t="str">
        <v>NA</v>
      </c>
    </row>
    <row r="120" spans="1:16">
      <c r="A120" s="15" t="str">
        <v>智驾</v>
      </c>
      <c r="B120" s="15" t="str">
        <v>领航辅助</v>
      </c>
      <c r="C120" s="15" t="str">
        <v>adsd_0005</v>
      </c>
      <c r="F120" s="15" t="str">
        <v>信任增强开关</v>
      </c>
      <c r="G120" s="15" t="str">
        <v>低频变化</v>
      </c>
      <c r="H120" s="15" t="str">
        <v>switch</v>
      </c>
      <c r="I120" s="15" t="str">
        <v>开关</v>
      </c>
      <c r="J120" s="15" t="str">
        <v>enum</v>
      </c>
      <c r="K120" s="18" t="str">
        <v>on，off</v>
      </c>
      <c r="N120" s="15" t="str">
        <v>N</v>
      </c>
      <c r="O120" s="36" t="str">
        <v>N</v>
      </c>
      <c r="P120" s="37" t="str">
        <v>NA</v>
      </c>
    </row>
    <row r="121" spans="1:16">
      <c r="A121" s="15" t="str">
        <v>智驾</v>
      </c>
      <c r="H121" s="15" t="str">
        <v>abnormal_cause</v>
      </c>
      <c r="I121" s="15" t="str">
        <v>异常原因</v>
      </c>
      <c r="J121" s="15" t="str">
        <v>str</v>
      </c>
      <c r="N121" s="15" t="str">
        <v>N</v>
      </c>
      <c r="O121" s="36" t="str">
        <v>N</v>
      </c>
      <c r="P121" s="37" t="str">
        <v>NA</v>
      </c>
    </row>
    <row r="122" spans="1:23">
      <c r="A122" s="15" t="str">
        <v>智驾</v>
      </c>
      <c r="B122" s="15" t="str">
        <v>城市领航辅助UNP开关（开放道路NOA）</v>
      </c>
      <c r="C122" s="15" t="str">
        <v>adsd_0006</v>
      </c>
      <c r="F122" s="15" t="str">
        <v>城市领航辅助UNP开关（开放道路NOA）</v>
      </c>
      <c r="G122" s="15" t="str">
        <v>低频变化</v>
      </c>
      <c r="H122" s="15" t="str">
        <v>switch</v>
      </c>
      <c r="I122" s="15" t="str">
        <v>开关</v>
      </c>
      <c r="J122" s="15" t="str">
        <v>enum</v>
      </c>
      <c r="K122" s="18" t="str">
        <v>on，off</v>
      </c>
      <c r="N122" s="15" t="str">
        <v>N</v>
      </c>
      <c r="O122" s="36" t="str">
        <v>N</v>
      </c>
      <c r="P122" s="37" t="str">
        <v>NA</v>
      </c>
      <c r="V122" s="15" t="str">
        <v>已开发，待验证</v>
      </c>
      <c r="W122" s="45" t="str">
        <v>04.22：静态测试无法获取状态</v>
      </c>
    </row>
    <row r="123" spans="1:16">
      <c r="A123" s="15" t="str">
        <v>智驾</v>
      </c>
      <c r="H123" s="15" t="str">
        <v>abnormal_cause</v>
      </c>
      <c r="I123" s="15" t="str">
        <v>异常原因</v>
      </c>
      <c r="J123" s="15" t="str">
        <v>str</v>
      </c>
      <c r="N123" s="15" t="str">
        <v>N</v>
      </c>
      <c r="O123" s="36" t="str">
        <v>N</v>
      </c>
      <c r="P123" s="37" t="str">
        <v>NA</v>
      </c>
    </row>
    <row r="124" spans="1:16">
      <c r="A124" s="15" t="str">
        <v>智驾</v>
      </c>
      <c r="B124" s="15" t="str">
        <v>Pilot全速驾驶辅助</v>
      </c>
      <c r="C124" s="15" t="str">
        <v>adsd_0007</v>
      </c>
      <c r="F124" s="15" t="str">
        <v>Pilot全速驾驶辅助</v>
      </c>
      <c r="G124" s="15" t="str">
        <v>低频变化</v>
      </c>
      <c r="H124" s="15" t="str">
        <v>switch</v>
      </c>
      <c r="I124" s="15" t="str">
        <v>开关</v>
      </c>
      <c r="J124" s="15" t="str">
        <v>enum</v>
      </c>
      <c r="K124" s="18" t="str">
        <v>on，off</v>
      </c>
      <c r="N124" s="15" t="str">
        <v>N</v>
      </c>
      <c r="O124" s="36" t="str">
        <v>N</v>
      </c>
      <c r="P124" s="37" t="str">
        <v>NA</v>
      </c>
    </row>
    <row r="125" spans="1:16">
      <c r="A125" s="15" t="str">
        <v>智驾</v>
      </c>
      <c r="H125" s="15" t="str">
        <v>abnormal_cause</v>
      </c>
      <c r="I125" s="15" t="str">
        <v>异常原因</v>
      </c>
      <c r="J125" s="15" t="str">
        <v>str</v>
      </c>
      <c r="N125" s="15" t="str">
        <v>N</v>
      </c>
      <c r="O125" s="36" t="str">
        <v>N</v>
      </c>
      <c r="P125" s="37" t="str">
        <v>NA</v>
      </c>
    </row>
    <row r="126" spans="1:23">
      <c r="A126" s="15" t="str">
        <v>智驾</v>
      </c>
      <c r="B126" s="15" t="str">
        <v>指令自动变道CALC（打灯变道）</v>
      </c>
      <c r="C126" s="15" t="str">
        <v>adsd_0008</v>
      </c>
      <c r="F126" s="15" t="str">
        <v>指令自动变道CALC（打灯变道）</v>
      </c>
      <c r="G126" s="15" t="str">
        <v>低频变化</v>
      </c>
      <c r="H126" s="15" t="str">
        <v>switch</v>
      </c>
      <c r="I126" s="15" t="str">
        <v>开关</v>
      </c>
      <c r="J126" s="15" t="str">
        <v>enum</v>
      </c>
      <c r="K126" s="18" t="str">
        <v>on，off</v>
      </c>
      <c r="N126" s="15" t="str">
        <v>Y</v>
      </c>
      <c r="O126" s="36" t="str">
        <v>Y</v>
      </c>
      <c r="P126" s="37" t="str">
        <v>Y</v>
      </c>
      <c r="Q126" s="36" t="str">
        <v>int getAutoLaneChngSwSt(@NonNull
 IntResult result)
打灯变道获取 PermissionRequest(permissions = { zone.permission.vehicle.DEVICE_GET })
参数:
result - BaseResult.getResult() AdsConstants.AdsAutoLaneChngType
AdsCallbackFlag AUTO_LANE_CHNG_SW_ST
onAutoLaneChngSwStChanged回调</v>
      </c>
      <c r="S126" s="32" t="inlineStr">
        <is>
          <r>
            <t>@谢一鸣</t>
          </r>
        </is>
      </c>
      <c r="T126" s="26" t="str">
        <v>N（给的接口有问题，后富龙重新提供了接口）</v>
      </c>
      <c r="U126" s="16">
        <v>4.22</v>
      </c>
      <c r="V126" s="15" t="str">
        <v>Y</v>
      </c>
      <c r="W126" s="96" t="inlineStr">
        <is>
          <r>
            <rPr>
              <strike/>
              <sz val="10"/>
              <color rgb="FF1F2329"/>
              <rFont val="Arial"/>
            </rPr>
            <t xml:space="preserve">04.18：AdsAutoLaneChngType中的RECOMMENED字段需要上汽澄清
04.20：待上汽反馈
</t>
          </r>
          <r>
            <rPr>
              <sz val="10"/>
              <color rgb="FF1F2329"/>
              <rFont val="Arial"/>
            </rPr>
            <t xml:space="preserve">04.22：静态测试无法获取状态
</t>
          </r>
          <r>
            <rPr>
              <strike/>
              <sz val="10"/>
              <color rgb="FF1F2329"/>
              <rFont val="Arial"/>
            </rPr>
            <t xml:space="preserve">05.26:未收到回调
06:14：上汽工程师让调整接口后搜到信号</t>
          </r>
        </is>
      </c>
    </row>
    <row r="127" spans="1:16">
      <c r="A127" s="15" t="str">
        <v>智驾</v>
      </c>
      <c r="H127" s="15" t="str">
        <v>abnormal_cause</v>
      </c>
      <c r="I127" s="15" t="str">
        <v>异常原因</v>
      </c>
      <c r="J127" s="15" t="str">
        <v>str</v>
      </c>
      <c r="N127" s="15" t="str">
        <v>N</v>
      </c>
      <c r="O127" s="36" t="str">
        <v>N</v>
      </c>
      <c r="P127" s="37" t="str">
        <v>NA</v>
      </c>
    </row>
    <row r="128" spans="1:23">
      <c r="A128" s="15" t="str">
        <v>智驾</v>
      </c>
      <c r="B128" s="15" t="str">
        <v>智驾风格</v>
      </c>
      <c r="C128" s="15" t="str">
        <v>adsd_0009</v>
      </c>
      <c r="F128" s="15" t="str">
        <v>智驾风格选项</v>
      </c>
      <c r="G128" s="15" t="str">
        <v>低频变化</v>
      </c>
      <c r="H128" s="15" t="str">
        <v>switch</v>
      </c>
      <c r="I128" s="15" t="str">
        <v>模式选项</v>
      </c>
      <c r="J128" s="15" t="str">
        <v>enum</v>
      </c>
      <c r="K128" s="15" t="inlineStr">
        <is>
          <r>
            <rPr>
              <sz val="10"/>
              <color rgb="FF1F2329"/>
              <rFont val="Arial"/>
            </rPr>
            <t>柔和，标准，敏捷，</t>
          </r>
          <r>
            <rPr>
              <sz val="10"/>
              <color rgb="FFF54A45"/>
              <rFont val="Arial"/>
            </rPr>
            <t>舒适，运动</t>
          </r>
        </is>
      </c>
      <c r="N128" s="15" t="str">
        <v>Y</v>
      </c>
      <c r="O128" s="36" t="str">
        <v>Y</v>
      </c>
      <c r="P128" s="37" t="str">
        <v>Y</v>
      </c>
      <c r="Q128" s="36" t="str">
        <v>int getAiPilotDrvMdlS(@NonNull
 IntResult result)
智驾风格获取 PermissionRequest(permissions = { zone.permission.vehicle.DEVICE_GET })
参数:
result - : 结果 IntResultAdsConstants.AiPilotDrvMdlSts
AdsCallbackFlag AIPILOT_MODE
onAiPilotDrvMdlChanged 回调</v>
      </c>
      <c r="S128" s="32" t="inlineStr">
        <is>
          <r>
            <t>@谢一鸣</t>
          </r>
        </is>
      </c>
      <c r="T128" s="26" t="str">
        <v>Y</v>
      </c>
      <c r="U128" s="16">
        <v>4.22</v>
      </c>
      <c r="V128" s="15" t="str">
        <v>Y</v>
      </c>
      <c r="W128" s="96" t="inlineStr">
        <is>
          <r>
            <rPr>
              <strike/>
              <sz val="10"/>
              <color rgb="FF1F2329"/>
              <rFont val="Arial"/>
            </rPr>
            <t xml:space="preserve">04.20：需要上汽澄清（上汽接口中有四种状态，我们只有三种状态，另一种状态需要上汽给出对应）==》04.21：上汽给出了对应关系（没有自学习模式）
</t>
          </r>
          <r>
            <rPr>
              <sz val="10"/>
              <color rgb="FFF54A45"/>
              <rFont val="Arial"/>
            </rPr>
            <t>04.22：实车未发现切换智驾风格的UI已向上汽反馈</t>
          </r>
        </is>
      </c>
    </row>
    <row r="129" spans="1:16">
      <c r="A129" s="15" t="str">
        <v>智驾</v>
      </c>
      <c r="H129" s="15" t="str">
        <v>abnormal_cause</v>
      </c>
      <c r="I129" s="15" t="str">
        <v>异常原因</v>
      </c>
      <c r="J129" s="15" t="str">
        <v>str</v>
      </c>
      <c r="N129" s="15" t="str">
        <v>N</v>
      </c>
      <c r="O129" s="36" t="str">
        <v>N</v>
      </c>
      <c r="P129" s="37" t="str">
        <v>NA</v>
      </c>
    </row>
    <row r="130" spans="1:25">
      <c r="A130" s="15" t="str">
        <v>智驾</v>
      </c>
      <c r="B130" s="15" t="str">
        <v>起步提醒</v>
      </c>
      <c r="C130" s="15" t="str">
        <v>adsd_0010</v>
      </c>
      <c r="F130" s="15" t="str">
        <v>起步提醒选项开关</v>
      </c>
      <c r="G130" s="15" t="str">
        <v>低频变化</v>
      </c>
      <c r="H130" s="15" t="str">
        <v>switch</v>
      </c>
      <c r="I130" s="15" t="str">
        <v>开关</v>
      </c>
      <c r="J130" s="15" t="str">
        <v>enum</v>
      </c>
      <c r="K130" s="18" t="str">
        <v>on，off</v>
      </c>
      <c r="N130" s="15" t="str">
        <v>Y</v>
      </c>
      <c r="O130" s="36" t="str">
        <v>Y</v>
      </c>
      <c r="P130" s="37" t="str">
        <v>Y</v>
      </c>
      <c r="Q130" s="36" t="str">
        <v>int getFrtCarGoNotfrSwSts(@NonNull
 IntResult result)
AdsCallbackFlag FRTCARGONOTFR
onFrtCarGoNotfrSwStsChanged 回调</v>
      </c>
      <c r="S130" s="32" t="inlineStr">
        <is>
          <r>
            <t>@谢一鸣</t>
          </r>
        </is>
      </c>
      <c r="T130" s="26" t="str">
        <v>Y</v>
      </c>
      <c r="U130" s="27">
        <v>4.21</v>
      </c>
      <c r="V130" s="15" t="str">
        <v>Y</v>
      </c>
      <c r="Y130" s="15" t="str">
        <v>Y</v>
      </c>
    </row>
    <row r="131" spans="1:16">
      <c r="A131" s="15" t="str">
        <v>智驾</v>
      </c>
      <c r="H131" s="15" t="str">
        <v>abnormal_cause</v>
      </c>
      <c r="I131" s="15" t="str">
        <v>异常原因</v>
      </c>
      <c r="J131" s="15" t="str">
        <v>str</v>
      </c>
      <c r="N131" s="15" t="str">
        <v>N</v>
      </c>
      <c r="O131" s="36" t="str">
        <v>N</v>
      </c>
      <c r="P131" s="37" t="str">
        <v>NA</v>
      </c>
    </row>
    <row r="132" spans="1:23">
      <c r="A132" s="15" t="str">
        <v>智驾</v>
      </c>
      <c r="B132" s="15" t="str">
        <v>限速调整</v>
      </c>
      <c r="C132" s="15" t="str">
        <v>adsd_0011</v>
      </c>
      <c r="F132" s="45" t="str">
        <v>限速区间调整模式</v>
      </c>
      <c r="G132" s="15" t="str">
        <v>低频变化</v>
      </c>
      <c r="H132" s="15" t="str">
        <v>switch</v>
      </c>
      <c r="I132" s="15" t="str">
        <v>模式选项</v>
      </c>
      <c r="J132" s="15" t="str">
        <v>enum</v>
      </c>
      <c r="K132" s="18" t="str">
        <v>固定值，百分比</v>
      </c>
      <c r="N132" s="15" t="str">
        <v>N</v>
      </c>
      <c r="O132" s="36" t="str">
        <v>N</v>
      </c>
      <c r="P132" s="37" t="str">
        <v>NA</v>
      </c>
      <c r="S132" s="32" t="inlineStr">
        <is>
          <r>
            <t>@谢一鸣</t>
          </r>
        </is>
      </c>
      <c r="T132" s="26" t="str">
        <v>N</v>
      </c>
      <c r="W132" s="45" t="str">
        <v>05.26：没有接口</v>
      </c>
    </row>
    <row r="133" spans="1:16">
      <c r="A133" s="15" t="str">
        <v>智驾</v>
      </c>
      <c r="H133" s="15" t="str">
        <v>abnormal_cause</v>
      </c>
      <c r="I133" s="15" t="str">
        <v>异常原因</v>
      </c>
      <c r="J133" s="15" t="str">
        <v>str</v>
      </c>
      <c r="N133" s="15" t="str">
        <v>N</v>
      </c>
      <c r="O133" s="36" t="str">
        <v>N</v>
      </c>
      <c r="P133" s="37" t="str">
        <v>NA</v>
      </c>
    </row>
    <row r="134" spans="1:25">
      <c r="A134" s="15" t="str">
        <v>智驾</v>
      </c>
      <c r="B134" s="15" t="str">
        <v>固定值设置</v>
      </c>
      <c r="C134" s="15" t="str">
        <v>adsd_0012</v>
      </c>
      <c r="F134" s="15" t="str">
        <v>智驾限速固定值</v>
      </c>
      <c r="G134" s="15" t="str">
        <v>低频变化</v>
      </c>
      <c r="H134" s="15" t="str">
        <v>value</v>
      </c>
      <c r="I134" s="15" t="str">
        <v>固定值</v>
      </c>
      <c r="J134" s="15" t="str">
        <v>str</v>
      </c>
      <c r="N134" s="15" t="str">
        <v>Y</v>
      </c>
      <c r="O134" s="36" t="str">
        <v>Y</v>
      </c>
      <c r="P134" s="37" t="str">
        <v>Y</v>
      </c>
      <c r="Q134" s="36" t="str">
        <v>public int getSpdLmtOfstSetNum(@NonNull IntResult result)
AdsCallbackFlag.SPD_LMT_OF_ST_SET_NUM
onSpdLmtOfstSetNumChanged</v>
      </c>
      <c r="S134" s="32" t="inlineStr">
        <is>
          <r>
            <t>@谢一鸣</t>
          </r>
        </is>
      </c>
      <c r="T134" s="26" t="str">
        <v>Y</v>
      </c>
      <c r="U134" s="27">
        <v>4.23</v>
      </c>
      <c r="V134" s="15" t="str">
        <v>Y</v>
      </c>
      <c r="Y134" s="15" t="str">
        <v>Y</v>
      </c>
    </row>
    <row r="135" spans="1:16">
      <c r="A135" s="15" t="str">
        <v>智驾</v>
      </c>
      <c r="H135" s="15" t="str">
        <v>abnormal_cause</v>
      </c>
      <c r="I135" s="15" t="str">
        <v>异常原因</v>
      </c>
      <c r="J135" s="15" t="str">
        <v>str</v>
      </c>
      <c r="N135" s="15" t="str">
        <v>N</v>
      </c>
      <c r="O135" s="36" t="str">
        <v>N</v>
      </c>
      <c r="P135" s="37" t="str">
        <v>NA</v>
      </c>
    </row>
    <row r="136" spans="1:16">
      <c r="A136" s="15" t="str">
        <v>智驾</v>
      </c>
      <c r="B136" s="45" t="str">
        <v>百分比设置</v>
      </c>
      <c r="C136" s="45" t="str">
        <v>adsd_0013</v>
      </c>
      <c r="F136" s="45" t="str">
        <v>限速调整百分比</v>
      </c>
      <c r="G136" s="45" t="str">
        <v>低频变化</v>
      </c>
      <c r="H136" s="45" t="str">
        <v>value</v>
      </c>
      <c r="I136" s="45" t="str">
        <v>百分比</v>
      </c>
      <c r="J136" s="45" t="str">
        <v>str</v>
      </c>
      <c r="K136" s="58" t="str">
        <v>用户具体设置值</v>
      </c>
      <c r="N136" s="15" t="str">
        <v>N</v>
      </c>
      <c r="O136" s="36" t="str">
        <v>N （只有上下区间的波动比）</v>
      </c>
      <c r="P136" s="37" t="str">
        <v>NA</v>
      </c>
    </row>
    <row r="137" spans="1:16">
      <c r="A137" s="15" t="str">
        <v>智驾</v>
      </c>
      <c r="H137" s="15" t="str">
        <v>abnormal_cause</v>
      </c>
      <c r="I137" s="15" t="str">
        <v>异常原因</v>
      </c>
      <c r="J137" s="15" t="str">
        <v>str</v>
      </c>
      <c r="N137" s="15" t="str">
        <v>N</v>
      </c>
      <c r="O137" s="36" t="str">
        <v>N</v>
      </c>
      <c r="P137" s="37" t="str">
        <v>NA</v>
      </c>
    </row>
    <row r="138" spans="1:25">
      <c r="A138" s="15" t="str">
        <v>智驾</v>
      </c>
      <c r="B138" s="15" t="str">
        <v>限速报警</v>
      </c>
      <c r="C138" s="15" t="str">
        <v>adsd_0014</v>
      </c>
      <c r="F138" s="15" t="str">
        <v>限速报警开关</v>
      </c>
      <c r="G138" s="15" t="str">
        <v>低频变化</v>
      </c>
      <c r="H138" s="15" t="str">
        <v>switch</v>
      </c>
      <c r="I138" s="15" t="str">
        <v>开关</v>
      </c>
      <c r="J138" s="15" t="str">
        <v>enum</v>
      </c>
      <c r="K138" s="95" t="inlineStr">
        <is>
          <r>
            <rPr>
              <strike/>
              <sz val="10"/>
              <color rgb="FF1F2329"/>
              <rFont val="Arial"/>
            </rPr>
            <t>on</t>
          </r>
          <r>
            <rPr>
              <sz val="10"/>
              <color rgb="FF1F2329"/>
              <rFont val="Arial"/>
            </rPr>
            <t>，off，</t>
          </r>
          <r>
            <rPr>
              <sz val="10"/>
              <color rgb="FFF54A45"/>
              <rFont val="Arial"/>
            </rPr>
            <t>无报警，显示，显示+提示音</t>
          </r>
        </is>
      </c>
      <c r="N138" s="15" t="str">
        <v>Y</v>
      </c>
      <c r="O138" s="36" t="str">
        <v>Y</v>
      </c>
      <c r="P138" s="37" t="str">
        <v>Y</v>
      </c>
      <c r="Q138" s="36" t="str">
        <v>getSpdLmtCotOverWrnng
AdsCallbackFlag.SPD_LMT_COT_OVER_WRNNG
onSpdLmtCotOverWrnngChanged(IntResult result) {
 }</v>
      </c>
      <c r="S138" s="32" t="inlineStr">
        <is>
          <r>
            <t>@谢一鸣</t>
          </r>
        </is>
      </c>
      <c r="T138" s="26" t="str">
        <v>Y</v>
      </c>
      <c r="U138" s="27">
        <v>4.23</v>
      </c>
      <c r="V138" s="15" t="str">
        <v>Y</v>
      </c>
      <c r="Y138" s="18" t="str">
        <v>Y</v>
      </c>
    </row>
    <row r="139" spans="1:16">
      <c r="A139" s="15" t="str">
        <v>智驾</v>
      </c>
      <c r="H139" s="15" t="str">
        <v>abnormal_cause</v>
      </c>
      <c r="I139" s="15" t="str">
        <v>异常原因</v>
      </c>
      <c r="J139" s="15" t="str">
        <v>str</v>
      </c>
      <c r="N139" s="15" t="str">
        <v>N</v>
      </c>
      <c r="O139" s="36" t="str">
        <v>N</v>
      </c>
      <c r="P139" s="37" t="str">
        <v>NA</v>
      </c>
    </row>
    <row r="140" spans="1:23">
      <c r="A140" s="15" t="str">
        <v>智驾</v>
      </c>
      <c r="B140" s="45" t="str">
        <v>前方安全辅助</v>
      </c>
      <c r="C140" s="15" t="str">
        <v>adsd_0015</v>
      </c>
      <c r="F140" s="15" t="str">
        <v>前向碰撞预警开关</v>
      </c>
      <c r="G140" s="15" t="str">
        <v>低频变化</v>
      </c>
      <c r="H140" s="15" t="str">
        <v>switch</v>
      </c>
      <c r="I140" s="15" t="str">
        <v>开关</v>
      </c>
      <c r="J140" s="15" t="str">
        <v>enum</v>
      </c>
      <c r="K140" s="18" t="str">
        <v>on，off</v>
      </c>
      <c r="N140" s="15" t="str">
        <v>Y</v>
      </c>
      <c r="O140" s="36" t="str">
        <v>Y</v>
      </c>
      <c r="P140" s="37" t="str">
        <v>Y</v>
      </c>
      <c r="Q140" s="36" t="str">
        <v>int getPilotTotalSwitch(@PilotTotalSwitchType int switchType, @NonNull IntResult result)
AdsCallbackFlag.FRONT_SECURITY_ASSIST
onPilotTotalSwitchChanged(int switchType, IntResult result)</v>
      </c>
      <c r="S140" s="32" t="inlineStr">
        <is>
          <r>
            <t>@谢一鸣</t>
          </r>
        </is>
      </c>
      <c r="T140" s="26" t="str">
        <v>Y</v>
      </c>
      <c r="U140" s="16">
        <v>4.23</v>
      </c>
      <c r="V140" s="4" t="str">
        <v>Y</v>
      </c>
      <c r="W140" s="96" t="str">
        <v>4.24:相关问题已经反馈给上汽开发了 =》上汽需要我们给他们起票
05.26:已收到回调</v>
      </c>
    </row>
    <row r="141" spans="1:16">
      <c r="A141" s="15" t="str">
        <v>智驾</v>
      </c>
      <c r="H141" s="15" t="str">
        <v>abnormal_cause</v>
      </c>
      <c r="I141" s="15" t="str">
        <v>异常原因</v>
      </c>
      <c r="J141" s="15" t="str">
        <v>str</v>
      </c>
      <c r="N141" s="15" t="str">
        <v>N</v>
      </c>
      <c r="O141" s="36" t="str">
        <v>N</v>
      </c>
      <c r="P141" s="37" t="str">
        <v>NA</v>
      </c>
    </row>
    <row r="142" spans="1:22">
      <c r="A142" s="15" t="str">
        <v>智驾</v>
      </c>
      <c r="B142" s="45" t="str">
        <v>前方安全辅助</v>
      </c>
      <c r="C142" s="15" t="str">
        <v>adsd_0016</v>
      </c>
      <c r="F142" s="15" t="str">
        <v>前向碰撞灵敏度设置</v>
      </c>
      <c r="G142" s="15" t="str">
        <v>低频变化</v>
      </c>
      <c r="H142" s="15" t="str">
        <v>switch</v>
      </c>
      <c r="I142" s="15" t="str">
        <v>模式选项</v>
      </c>
      <c r="J142" s="15" t="str">
        <v>enum</v>
      </c>
      <c r="K142" s="15" t="inlineStr">
        <is>
          <r>
            <rPr>
              <sz val="10"/>
              <color rgb="FF1F2329"/>
              <rFont val="Arial"/>
            </rPr>
            <t>低，中，高，</t>
          </r>
          <r>
            <rPr>
              <sz val="10"/>
              <color rgb="FFF54A45"/>
              <rFont val="Arial"/>
            </rPr>
            <t>较早，适中，稍晚</t>
          </r>
        </is>
      </c>
      <c r="N142" s="15" t="str">
        <v>Y</v>
      </c>
      <c r="O142" s="36" t="str">
        <v>Y</v>
      </c>
      <c r="P142" s="37" t="str">
        <v>Y</v>
      </c>
      <c r="Q142" s="36" t="str">
        <v>int getFcwSnstvtLvl(@NonNull IntResult result);
AdsCallbackFlag.FCW_SNSTV_LVL
onFcwSnstvtLvlChanged(IntResult result)</v>
      </c>
      <c r="S142" s="32" t="inlineStr">
        <is>
          <r>
            <t>@谢一鸣</t>
          </r>
        </is>
      </c>
      <c r="T142" s="26" t="str">
        <v>Y</v>
      </c>
      <c r="U142" s="16">
        <v>4.23</v>
      </c>
      <c r="V142" s="4" t="str">
        <v>Y</v>
      </c>
    </row>
    <row r="143" spans="1:16">
      <c r="A143" s="15" t="str">
        <v>智驾</v>
      </c>
      <c r="H143" s="15" t="str">
        <v>abnormal_cause</v>
      </c>
      <c r="I143" s="15" t="str">
        <v>异常原因</v>
      </c>
      <c r="J143" s="15" t="str">
        <v>str</v>
      </c>
      <c r="N143" s="15" t="str">
        <v>N</v>
      </c>
      <c r="O143" s="36" t="str">
        <v>N</v>
      </c>
      <c r="P143" s="37" t="str">
        <v>NA</v>
      </c>
    </row>
    <row r="144" spans="1:22">
      <c r="A144" s="15" t="str">
        <v>智驾</v>
      </c>
      <c r="B144" s="15" t="str">
        <v>自动紧急制动</v>
      </c>
      <c r="C144" s="15" t="str">
        <v>adsd_0017</v>
      </c>
      <c r="F144" s="15" t="str">
        <v>自动紧急制动</v>
      </c>
      <c r="G144" s="15" t="str">
        <v>低频变化</v>
      </c>
      <c r="H144" s="15" t="str">
        <v>switch</v>
      </c>
      <c r="I144" s="15" t="str">
        <v>开关</v>
      </c>
      <c r="J144" s="15" t="str">
        <v>enum</v>
      </c>
      <c r="K144" s="18" t="str">
        <v>on，off</v>
      </c>
      <c r="N144" s="57" t="str">
        <v>N（@王超）</v>
      </c>
      <c r="O144" s="36" t="str">
        <v>Y</v>
      </c>
      <c r="P144" s="37" t="str">
        <v>Y</v>
      </c>
      <c r="Q144" s="36" t="str">
        <v>int getAebInfo(@NonNull IntResult result);
AdsCallbackFlag.AEB
onAebChanged(IntResult result) {
 }</v>
      </c>
      <c r="S144" s="32" t="inlineStr">
        <is>
          <r>
            <t>@谢一鸣</t>
          </r>
        </is>
      </c>
      <c r="U144" s="16">
        <v>4.23</v>
      </c>
      <c r="V144" s="4" t="str">
        <v>已开发，待验证</v>
      </c>
    </row>
    <row r="145" spans="1:16">
      <c r="A145" s="15" t="str">
        <v>智驾</v>
      </c>
      <c r="H145" s="15" t="str">
        <v>abnormal_cause</v>
      </c>
      <c r="I145" s="15" t="str">
        <v>异常原因</v>
      </c>
      <c r="J145" s="15" t="str">
        <v>str</v>
      </c>
      <c r="N145" s="15" t="str">
        <v>N</v>
      </c>
      <c r="O145" s="36" t="str">
        <v>N</v>
      </c>
      <c r="P145" s="37" t="str">
        <v>NA</v>
      </c>
    </row>
    <row r="146" spans="1:25">
      <c r="A146" s="15" t="str">
        <v>智驾</v>
      </c>
      <c r="B146" s="45" t="str">
        <v>后方安全辅助</v>
      </c>
      <c r="C146" s="15" t="str">
        <v>adsd_0018</v>
      </c>
      <c r="F146" s="15" t="str">
        <v>后向碰撞预警开关</v>
      </c>
      <c r="G146" s="15" t="str">
        <v>低频变化</v>
      </c>
      <c r="H146" s="15" t="str">
        <v>switch</v>
      </c>
      <c r="I146" s="15" t="str">
        <v>开关</v>
      </c>
      <c r="J146" s="15" t="str">
        <v>enum</v>
      </c>
      <c r="K146" s="18" t="str">
        <v>on，off</v>
      </c>
      <c r="N146" s="15" t="str">
        <v>Y</v>
      </c>
      <c r="O146" s="36" t="str">
        <v>Y</v>
      </c>
      <c r="P146" s="37" t="str">
        <v>Y</v>
      </c>
      <c r="Q146" s="36" t="str">
        <v> /**
 * 后向危险警示RCW状态获取
 * PermissionRequest(permissions = { zone.permission.vehicle.DEVICE_GET })
 * @param result {@link IntResult#getResult()} {@link SwitchStatus}
 * @return {@link ResultCode}
 */
 @ResultCode
 int getRcwSelSts(@NonNull IntResult result);
 /**
 * 后向危险警示RCW状态设置
 * PermissionRequest(permissions = { zone.permission.vehicle.ADS_SET })
 * @param status :开关状态 {@link SwitchStatus}
 * @return {@link ResultCode}
 */
 @ResultCode
 int setRcwSelSts(@NonNull SwitchStatus status);
 /**
 * 后向危险警示RCW状态更新通知
 *
 * @param result &lt;br&gt;{@link IntResult#getResult()} {@link SwitchStatus}&lt;br&gt;
 * 返回结果码 {@link IntResult#getCode()} {@link com.zone.api.vehicle.common.result.ResultCode}
 */
 default void onRcwSelStsChanged(IntResult result) {
 }</v>
      </c>
      <c r="S146" s="32" t="inlineStr">
        <is>
          <r>
            <t>@谢一鸣</t>
          </r>
        </is>
      </c>
      <c r="T146" s="26" t="str">
        <v>Y</v>
      </c>
      <c r="U146" s="27">
        <v>4.23</v>
      </c>
      <c r="V146" s="75" t="str">
        <v>Y</v>
      </c>
      <c r="Y146" s="18" t="str">
        <v>Y</v>
      </c>
    </row>
    <row r="147" spans="1:16">
      <c r="A147" s="15" t="str">
        <v>智驾</v>
      </c>
      <c r="H147" s="15" t="str">
        <v>abnormal_cause</v>
      </c>
      <c r="I147" s="15" t="str">
        <v>异常原因</v>
      </c>
      <c r="J147" s="15" t="str">
        <v>str</v>
      </c>
      <c r="N147" s="15" t="str">
        <v>N</v>
      </c>
      <c r="O147" s="36" t="str">
        <v>N</v>
      </c>
      <c r="P147" s="37" t="str">
        <v>NA</v>
      </c>
    </row>
    <row r="148" spans="1:25">
      <c r="A148" s="15" t="str">
        <v>智驾</v>
      </c>
      <c r="B148" s="45" t="str">
        <v>后方安全辅助</v>
      </c>
      <c r="C148" s="15" t="str">
        <v>adsd_0019</v>
      </c>
      <c r="F148" s="15" t="str">
        <v>盲点预警开关</v>
      </c>
      <c r="G148" s="15" t="str">
        <v>低频变化</v>
      </c>
      <c r="H148" s="15" t="str">
        <v>switch</v>
      </c>
      <c r="I148" s="15" t="str">
        <v>开关</v>
      </c>
      <c r="J148" s="15" t="str">
        <v>enum</v>
      </c>
      <c r="K148" s="18" t="str">
        <v>on，off</v>
      </c>
      <c r="N148" s="15" t="str">
        <v>Y</v>
      </c>
      <c r="O148" s="36" t="str">
        <v>Y</v>
      </c>
      <c r="P148" s="37" t="str">
        <v>Y</v>
      </c>
      <c r="Q148" s="36" t="str">
        <v> /**
 * 侧向盲区危险警示BSD状态获取
 * PermissionRequest(permissions = { zone.permission.vehicle.DEVICE_GET })
 * @param result {@link IntResult#getResult()} {@link SwitchStatus}
 * @return {@link ResultCode}
 */
 @ResultCode
 int getBsdSelSts(@NonNull IntResult result);
 /**
 * 侧向盲区危险警示BSD状态设置
 * PermissionRequest(permissions = { zone.permission.vehicle.ADS_SET })
 * @param status :开关状态 {@link SwitchStatus}
 * @return {@link ResultCode}
 */
 @ResultCode
 int setBsdSelSts(@NonNull SwitchStatus status);
 /**
 * 侧向盲区危险警示BSD状态更新通知
 *
 * @param result &lt;br&gt;{@link IntResult#getResult()} {@link SwitchStatus}&lt;br&gt;
 * 返回结果码 {@link IntResult#getCode()} {@link com.zone.api.vehicle.common.result.ResultCode}
 */
 default void onBsdSelStsChanged(IntResult result) {
 }</v>
      </c>
      <c r="S148" s="32" t="inlineStr">
        <is>
          <r>
            <t>@谢一鸣</t>
          </r>
        </is>
      </c>
      <c r="T148" s="26" t="str">
        <v>Y</v>
      </c>
      <c r="U148" s="27">
        <v>4.23</v>
      </c>
      <c r="V148" s="75" t="str">
        <v>Y</v>
      </c>
      <c r="Y148" s="18" t="str">
        <v>Y</v>
      </c>
    </row>
    <row r="149" spans="1:16">
      <c r="A149" s="15" t="str">
        <v>智驾</v>
      </c>
      <c r="H149" s="15" t="str">
        <v>abnormal_cause</v>
      </c>
      <c r="I149" s="15" t="str">
        <v>异常原因</v>
      </c>
      <c r="J149" s="15" t="str">
        <v>str</v>
      </c>
      <c r="N149" s="15" t="str">
        <v>N</v>
      </c>
      <c r="O149" s="36" t="str">
        <v>N</v>
      </c>
      <c r="P149" s="37" t="str">
        <v>NA</v>
      </c>
    </row>
    <row r="150" spans="1:25">
      <c r="A150" s="15" t="str">
        <v>智驾</v>
      </c>
      <c r="B150" s="15" t="str">
        <v>侧后方来车辅助</v>
      </c>
      <c r="C150" s="15" t="str">
        <v>adsd_0020</v>
      </c>
      <c r="F150" s="15" t="str">
        <v>侧后方来车辅助警示方式</v>
      </c>
      <c r="G150" s="15" t="str">
        <v>低频变化</v>
      </c>
      <c r="H150" s="15" t="str">
        <v>switch</v>
      </c>
      <c r="I150" s="15" t="str">
        <v>模式选项</v>
      </c>
      <c r="J150" s="15" t="str">
        <v>enum</v>
      </c>
      <c r="K150" s="18" t="str">
        <v>关闭，警示，警示+制动</v>
      </c>
      <c r="N150" s="57" t="str">
        <v>N（@王超）</v>
      </c>
      <c r="O150" s="36" t="str">
        <v>Y</v>
      </c>
      <c r="P150" s="37" t="str">
        <v>Y</v>
      </c>
      <c r="Q150" s="36" t="str">
        <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v>
      </c>
      <c r="S150" s="32" t="inlineStr">
        <is>
          <r>
            <t>@谢一鸣</t>
          </r>
        </is>
      </c>
      <c r="T150" s="26" t="str">
        <v>Y</v>
      </c>
      <c r="U150" s="27">
        <v>4.23</v>
      </c>
      <c r="V150" s="75" t="str">
        <v>Y</v>
      </c>
      <c r="Y150" s="18" t="str">
        <v>Y</v>
      </c>
    </row>
    <row r="151" spans="1:16">
      <c r="A151" s="15" t="str">
        <v>智驾</v>
      </c>
      <c r="H151" s="15" t="str">
        <v>abnormal_cause</v>
      </c>
      <c r="I151" s="15" t="str">
        <v>异常原因</v>
      </c>
      <c r="J151" s="15" t="str">
        <v>str</v>
      </c>
      <c r="N151" s="15" t="str">
        <v>N</v>
      </c>
      <c r="O151" s="36" t="str">
        <v>N</v>
      </c>
      <c r="P151" s="37" t="str">
        <v>NA</v>
      </c>
    </row>
    <row r="152" spans="1:25">
      <c r="A152" s="15" t="str">
        <v>智驾</v>
      </c>
      <c r="B152" s="15" t="str">
        <v>开门预警</v>
      </c>
      <c r="C152" s="15" t="str">
        <v>adsd_0021</v>
      </c>
      <c r="F152" s="15" t="str">
        <v>开门预警开关</v>
      </c>
      <c r="G152" s="15" t="str">
        <v>低频变化</v>
      </c>
      <c r="H152" s="15" t="str">
        <v>switch</v>
      </c>
      <c r="I152" s="15" t="str">
        <v>开关</v>
      </c>
      <c r="J152" s="15" t="str">
        <v>enum</v>
      </c>
      <c r="K152" s="18" t="str">
        <v>on，off</v>
      </c>
      <c r="N152" s="15" t="str">
        <v>Y</v>
      </c>
      <c r="O152" s="36" t="str">
        <v>Y</v>
      </c>
      <c r="P152" s="37" t="str">
        <v>Y</v>
      </c>
      <c r="Q152" s="36" t="str">
        <v> /**
 * 开门时危险警示DOW状态获取
 * PermissionRequest(permissions = { zone.permission.vehicle.DEVICE_GET })
 * @param result {@link IntResult#getResult()} {@link SwitchStatus}
 * @return {@link ResultCode}
 */
 @ResultCode
 int getDowSelSts(@NonNull IntResult result);
 /**
 * 开门时危险警示DOW状态设置
 * PermissionRequest(permissions = { zone.permission.vehicle.ADS_SET })
 * @param status :开关状态 {@link SwitchStatus}
 * @return {@link ResultCode}
 */
 @ResultCode
 int setDowSelSts(@NonNull SwitchStatus status);
 /**
 * 门时危险警示DOW状态更新通知
 *
 * @param result &lt;br&gt;{@link IntResult#getResult()} {@link SwitchStatus}&lt;br&gt;
 * 返回结果码 {@link IntResult#getCode()} {@link com.zone.api.vehicle.common.result.ResultCode}
 */
 default void onDowSelStsChanged(IntResult result) {
 }</v>
      </c>
      <c r="S152" s="32" t="inlineStr">
        <is>
          <r>
            <t>@谢一鸣</t>
          </r>
        </is>
      </c>
      <c r="T152" s="26" t="str">
        <v>Y</v>
      </c>
      <c r="U152" s="27">
        <v>4.23</v>
      </c>
      <c r="V152" s="75" t="str">
        <v>Y</v>
      </c>
      <c r="Y152" s="18" t="str">
        <v>Y</v>
      </c>
    </row>
    <row r="153" spans="1:16">
      <c r="A153" s="15" t="str">
        <v>智驾</v>
      </c>
      <c r="H153" s="15" t="str">
        <v>abnormal_cause</v>
      </c>
      <c r="I153" s="15" t="str">
        <v>异常原因</v>
      </c>
      <c r="J153" s="15" t="str">
        <v>str</v>
      </c>
      <c r="N153" s="15" t="str">
        <v>N</v>
      </c>
      <c r="O153" s="36" t="str">
        <v>N</v>
      </c>
      <c r="P153" s="37" t="str">
        <v>NA</v>
      </c>
    </row>
    <row r="154" spans="1:25">
      <c r="A154" s="15" t="str">
        <v>智驾</v>
      </c>
      <c r="B154" s="15" t="str">
        <v>车道偏离辅助</v>
      </c>
      <c r="C154" s="15" t="str">
        <v>adsd_0022</v>
      </c>
      <c r="F154" s="15" t="str">
        <v>车道偏离辅助</v>
      </c>
      <c r="G154" s="15" t="str">
        <v>低频变化</v>
      </c>
      <c r="H154" s="15" t="str">
        <v>switch</v>
      </c>
      <c r="I154" s="15" t="str">
        <v>模式选项</v>
      </c>
      <c r="J154" s="15" t="str">
        <v>enum</v>
      </c>
      <c r="K154" s="18" t="str">
        <v>关闭，警示，警示+辅助</v>
      </c>
      <c r="N154" s="15" t="str">
        <v>Y</v>
      </c>
      <c r="O154" s="36" t="str">
        <v>Y</v>
      </c>
      <c r="P154" s="37" t="str">
        <v>Y</v>
      </c>
      <c r="Q154" s="36" t="str">
        <v> /**
 * 车道保持辅助状态获取
 * PermissionRequest(permissions = { zone.permission.vehicle.DEVICE_GET })
 * @param result {@link IntResult#getResult()} {@link LDWLKASt}
 * @return {@link ResultCode}
 */
 @ResultCode
 int getLdwLka(@NonNull IntResult result);
 /**
 * 车道保持辅助状态设置
 * PermissionRequest(permissions = { zone.permission.vehicle.ADS_SET })
 * @param value :车道保持辅助状态 {@link LDWLKASt}
 * @return {@link ResultCode}
 */
 @ResultCode
 int setLdwLka(@LDWLKASt int value);
 /**
 * 车道保持辅助状态更新通知
 *
 * @param result &lt;br&gt;{@link IntResult#getResult()} {@link LDWLKASt}&lt;br&gt;
 * 返回结果码 {@link IntResult#getCode()} {@link com.zone.api.vehicle.common.result.ResultCode}
 */
 default void onLdwLkaChanged(IntResult result) {
 }
</v>
      </c>
      <c r="S154" s="32" t="inlineStr">
        <is>
          <r>
            <t>@谢一鸣</t>
          </r>
        </is>
      </c>
      <c r="T154" s="26" t="str">
        <v>Y</v>
      </c>
      <c r="U154" s="27">
        <v>4.23</v>
      </c>
      <c r="V154" s="75" t="str">
        <v>Y</v>
      </c>
      <c r="Y154" s="18" t="str">
        <v>Y</v>
      </c>
    </row>
    <row r="155" spans="1:16">
      <c r="A155" s="15" t="str">
        <v>智驾</v>
      </c>
      <c r="H155" s="15" t="str">
        <v>abnormal_cause</v>
      </c>
      <c r="I155" s="15" t="str">
        <v>异常原因</v>
      </c>
      <c r="J155" s="15" t="str">
        <v>str</v>
      </c>
      <c r="N155" s="15" t="str">
        <v>N</v>
      </c>
      <c r="O155" s="36" t="str">
        <v>N</v>
      </c>
      <c r="P155" s="37" t="str">
        <v>NA</v>
      </c>
    </row>
    <row r="156" spans="1:25">
      <c r="A156" s="15" t="str">
        <v>智驾</v>
      </c>
      <c r="B156" s="45" t="str">
        <v>车道偏离辅助</v>
      </c>
      <c r="C156" s="15" t="str">
        <v>adsd_0023</v>
      </c>
      <c r="F156" s="15" t="str">
        <v>车道偏离预警灵敏度设置</v>
      </c>
      <c r="G156" s="15" t="str">
        <v>低频变化</v>
      </c>
      <c r="H156" s="15" t="str">
        <v>states</v>
      </c>
      <c r="I156" s="15" t="str">
        <v>状态</v>
      </c>
      <c r="J156" s="15" t="str">
        <v>enum</v>
      </c>
      <c r="K156" s="15" t="inlineStr">
        <is>
          <r>
            <rPr>
              <sz val="10"/>
              <color rgb="FF1F2329"/>
              <rFont val="Arial"/>
            </rPr>
            <t>低，中，高，</t>
          </r>
          <r>
            <rPr>
              <sz val="10"/>
              <color rgb="FFF54A45"/>
              <rFont val="Arial"/>
            </rPr>
            <t>较早，适中，稍晚</t>
          </r>
        </is>
      </c>
      <c r="N156" s="15" t="str">
        <v>Y</v>
      </c>
      <c r="O156" s="36" t="str">
        <v>Y</v>
      </c>
      <c r="P156" s="37" t="str">
        <v>Y</v>
      </c>
      <c r="Q156" s="36" t="str">
        <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v>
      </c>
      <c r="S156" s="32" t="inlineStr">
        <is>
          <r>
            <t>@谢一鸣</t>
          </r>
        </is>
      </c>
      <c r="T156" s="26" t="str">
        <v>Y</v>
      </c>
      <c r="U156" s="27">
        <v>4.23</v>
      </c>
      <c r="V156" s="75" t="str">
        <v>Y</v>
      </c>
      <c r="Y156" s="18" t="str">
        <v>Y</v>
      </c>
    </row>
    <row r="157" spans="1:16">
      <c r="A157" s="15" t="str">
        <v>智驾</v>
      </c>
      <c r="H157" s="15" t="str">
        <v>abnormal_cause</v>
      </c>
      <c r="I157" s="15" t="str">
        <v>异常原因</v>
      </c>
      <c r="J157" s="15" t="str">
        <v>str</v>
      </c>
      <c r="N157" s="15" t="str">
        <v>N</v>
      </c>
      <c r="O157" s="36" t="str">
        <v>N</v>
      </c>
      <c r="P157" s="37" t="str">
        <v>NA</v>
      </c>
    </row>
    <row r="158" spans="1:25">
      <c r="A158" s="15" t="str">
        <v>智驾</v>
      </c>
      <c r="B158" s="45" t="str">
        <v>车道偏离辅助</v>
      </c>
      <c r="C158" s="15" t="str">
        <v>adsd_0024</v>
      </c>
      <c r="F158" s="15" t="str">
        <v>警示方式</v>
      </c>
      <c r="G158" s="15" t="str">
        <v>低频变化</v>
      </c>
      <c r="H158" s="15" t="str">
        <v>switch</v>
      </c>
      <c r="I158" s="15" t="str">
        <v>模式选项</v>
      </c>
      <c r="J158" s="15" t="str">
        <v>enum</v>
      </c>
      <c r="K158" s="88" t="str">
        <v>关闭，声音，振动，声音+振动</v>
      </c>
      <c r="N158" s="15" t="str">
        <v>Y</v>
      </c>
      <c r="O158" s="36" t="str">
        <v>Y</v>
      </c>
      <c r="P158" s="37" t="str">
        <v>Y</v>
      </c>
      <c r="Q158" s="36" t="str">
        <v>
 /**
 * 车道偏离声音提醒状态获取
 * PermissionRequest(permissions = { zone.permission.vehicle.DEVICE_GET })
 * @param result {@link IntResult#getResult()} {@link SwitchStatus}
 * @return {@link ResultCode}
 */
 @ResultCode
 int getLdwAdoWrnngSts(@NonNull IntResult result);
 /**
 * 车道偏离声音提醒状态设置
 * PermissionRequest(permissions = { zone.permission.vehicle.ADS_SET })
 * @param status :开关状态 {@link SwitchStatus}
 * @return {@link ResultCode}
 */
 @ResultCode
 int setLdwAdoWrnngSts(@NonNull SwitchStatus status);
 /**
 * 车道偏离声音提醒状态更新通知
 *
 * @param result &lt;br&gt;{@link IntResult#getResult()} {@link SwitchStatus}&lt;br&gt;
 * 返回结果码 {@link IntResult#getCode()} {@link com.zone.api.vehicle.common.result.ResultCode}
 */
 default void onLdwAdoWrnngStsChanged(IntResult result) {
 }
 /**
 * 车道偏离方向振动状态获取
 * PermissionRequest(permissions = { zone.permission.vehicle.DEVICE_GET })
 * @param result {@link IntResult#getResult()} {@link SwitchStatus}
 * @return {@link ResultCode}
 */
 @ResultCode
 int getLdwLkaHptWrnngSts(@NonNull IntResult result);
 /**
 * 车道偏离方向振动状态设置
 * PermissionRequest(permissions = { zone.permission.vehicle.ADS_SET })
 * @param status :开关状态 {@link SwitchStatus}
 * @return {@link ResultCode}
 */
 @ResultCode
 int setLdwLkaHptWrnngSts(@NonNull SwitchStatus status);
 /**
 * 车道偏离方向振动状态更新通知
 *
 * @param result &lt;br&gt;{@link IntResult#getResult()} {@link SwitchStatus}&lt;br&gt;
 * 返回结果码 {@link IntResult#getCode()} {@link com.zone.api.vehicle.common.result.ResultCode}
 */
 default void onLdwLkaHptWrnngStsChanged(IntResult result) {
 }</v>
      </c>
      <c r="S158" s="32" t="inlineStr">
        <is>
          <r>
            <t>@谢一鸣</t>
          </r>
        </is>
      </c>
      <c r="T158" s="26" t="str">
        <v>Y</v>
      </c>
      <c r="U158" s="27">
        <v>4.23</v>
      </c>
      <c r="V158" s="75" t="str">
        <v>Y</v>
      </c>
      <c r="Y158" s="18" t="str">
        <v>Y</v>
      </c>
    </row>
    <row r="159" spans="1:16">
      <c r="A159" s="15" t="str">
        <v>智驾</v>
      </c>
      <c r="H159" s="15" t="str">
        <v>abnormal_cause</v>
      </c>
      <c r="I159" s="15" t="str">
        <v>异常原因</v>
      </c>
      <c r="J159" s="15" t="str">
        <v>str</v>
      </c>
      <c r="N159" s="15" t="str">
        <v>N</v>
      </c>
      <c r="O159" s="36" t="str">
        <v>N</v>
      </c>
      <c r="P159" s="37" t="str">
        <v>NA</v>
      </c>
    </row>
    <row r="160" spans="1:25">
      <c r="A160" s="15" t="str">
        <v>智驾</v>
      </c>
      <c r="B160" s="15" t="str">
        <v>紧急车道保持（ELK）</v>
      </c>
      <c r="C160" s="15" t="str">
        <v>adsd_0025</v>
      </c>
      <c r="F160" s="15" t="str">
        <v>紧急车道保持（ELK）开关</v>
      </c>
      <c r="G160" s="15" t="str">
        <v>低频变化</v>
      </c>
      <c r="H160" s="15" t="str">
        <v>switch</v>
      </c>
      <c r="I160" s="15" t="str">
        <v>开关</v>
      </c>
      <c r="J160" s="15" t="str">
        <v>enum</v>
      </c>
      <c r="K160" s="18" t="str">
        <v>on，off</v>
      </c>
      <c r="N160" s="15" t="str">
        <v>Y</v>
      </c>
      <c r="O160" s="36" t="str">
        <v>Y</v>
      </c>
      <c r="P160" s="37" t="str">
        <v>Y</v>
      </c>
      <c r="Q160" s="36" t="str">
        <v> /**
 * 紧急车道辅助开关设置
 * PermissionRequest(permissions = { zone.permission.vehicle.ADS_SET }) 
 * @param status : 开关状态 {@link SwitchStatus}
 *
 * @return {@link ResultCode}
 */
 @ResultCode
 int setElkStatus(@NonNull SwitchStatus status);
 /**
 * 紧急车道辅助开关状态获取
 * PermissionRequest(permissions = { zone.permission.vehicle.DEVICE_GET })
 * @param result : 结果 {@link IntResult}{@link SwitchStatus}
 *
 * @return {@link ResultCode}
 */
 @ResultCode
 int getElkStatus(@NonNull IntResult result);
 /**
 * 紧急车道辅助开关状态更新通知
 *
 * @param result &lt;br&gt;{@link IntResult#getResult()} : @link SwitchStatus&lt;br&gt;
 * 返回结果码 {@link IntResult#getCode()} {@link com.zone.api.vehicle.common.result.ResultCode}
 */
 default void onElkStatusChanged(@NonNull IntResult result) {
 }</v>
      </c>
      <c r="S160" s="32" t="inlineStr">
        <is>
          <r>
            <t>@谢一鸣</t>
          </r>
        </is>
      </c>
      <c r="T160" s="26" t="str">
        <v>Y</v>
      </c>
      <c r="U160" s="27">
        <v>4.23</v>
      </c>
      <c r="V160" s="75" t="str">
        <v>Y</v>
      </c>
      <c r="Y160" s="18" t="str">
        <v>Y</v>
      </c>
    </row>
    <row r="161" spans="1:16">
      <c r="A161" s="15" t="str">
        <v>智驾</v>
      </c>
      <c r="H161" s="15" t="str">
        <v>abnormal_cause</v>
      </c>
      <c r="I161" s="15" t="str">
        <v>异常原因</v>
      </c>
      <c r="J161" s="15" t="str">
        <v>str</v>
      </c>
      <c r="N161" s="15" t="str">
        <v>N</v>
      </c>
      <c r="O161" s="36" t="str">
        <v>N</v>
      </c>
      <c r="P161" s="37" t="str">
        <v>NA</v>
      </c>
    </row>
    <row r="162" spans="1:25">
      <c r="A162" s="15" t="str">
        <v>智驾</v>
      </c>
      <c r="B162" s="15" t="str">
        <v>语音控制智驾</v>
      </c>
      <c r="C162" s="15" t="str">
        <v>adsd_0026</v>
      </c>
      <c r="F162" s="15" t="str">
        <v>语音控制智驾开关</v>
      </c>
      <c r="G162" s="15" t="str">
        <v>低频变化</v>
      </c>
      <c r="H162" s="15" t="str">
        <v>switch</v>
      </c>
      <c r="I162" s="15" t="str">
        <v>开关</v>
      </c>
      <c r="J162" s="15" t="str">
        <v>enum</v>
      </c>
      <c r="K162" s="18" t="str">
        <v>on，off</v>
      </c>
      <c r="N162" s="15" t="str">
        <v>Y</v>
      </c>
      <c r="O162" s="36" t="str">
        <v>Y</v>
      </c>
      <c r="P162" s="37" t="str">
        <v>Y</v>
      </c>
      <c r="Q162" s="36" t="str">
        <v> /**
 * ACC语音控制开关获取
 * PermissionRequest(permissions = { zone.permission.vehicle.DEVICE_GET })
 * @param result {@link IntResult#getResult()} {@link SwitchStatus}
 * @return {@link ResultCode}
 */
 @ResultCode
 int getCCSpdlVcCmdSwSt(@NonNull IntResult result);
 /**
 * ACC语音控制开关设置
 * PermissionRequest(permissions = { zone.permission.vehicle.ADS_SET }) 
 * @param status :开关状态{@link SwitchStatus}
 * @return {@link ResultCode}
 */
 @ResultCode
 int setCCSpdlVcCmdSwSt(@NonNull SwitchStatus status);
 /**
 * ACC语音控制开关更新通知
 *
 * @param result &lt;br&gt; {@link IntResult#getResult()} {@link SwitchStatus}&lt;br&gt;
 * 返回结果码 {@link IntResult#getCode()} {@link com.zone.api.vehicle.common.result.ResultCode}
 */
 default void onCcSpdlVcCmdSwStChanged(IntResult result) {
 }</v>
      </c>
      <c r="S162" s="32" t="inlineStr">
        <is>
          <r>
            <t>@谢一鸣</t>
          </r>
        </is>
      </c>
      <c r="T162" s="26" t="str">
        <v>Y</v>
      </c>
      <c r="U162" s="27">
        <v>4.23</v>
      </c>
      <c r="V162" s="75" t="str">
        <v>Y</v>
      </c>
      <c r="Y162" s="18" t="str">
        <v>Y</v>
      </c>
    </row>
    <row r="163" spans="1:23">
      <c r="A163" s="15" t="str">
        <v>智驾</v>
      </c>
      <c r="B163" s="15" t="str">
        <v>导航驾驶辅助</v>
      </c>
      <c r="C163" s="15" t="str">
        <v>adsd_0027</v>
      </c>
      <c r="F163" s="15" t="str">
        <v>导航驾驶辅助</v>
      </c>
      <c r="G163" s="15" t="str">
        <v>低频变化</v>
      </c>
      <c r="H163" s="15" t="str">
        <v>switch</v>
      </c>
      <c r="I163" s="15" t="str">
        <v>开关</v>
      </c>
      <c r="J163" s="15" t="str">
        <v>enum</v>
      </c>
      <c r="K163" s="18" t="str">
        <v>on，off</v>
      </c>
      <c r="N163" s="15" t="str">
        <v>Y</v>
      </c>
      <c r="O163" s="36" t="str">
        <v>Y</v>
      </c>
      <c r="P163" s="37" t="str">
        <v>Y</v>
      </c>
      <c r="Q163" s="36" t="str">
        <v> 
 public @interface PilotTotalSwitchType {} 
/** INTELLIGENT_NAVIGATION_ASSIST = 5 ：智能领航辅助HNP总开关*/
 int INTELLIGENT_NAVIGATION_ASSIST = 5; // 智能领航辅助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/**
 * 智驾总开关的状态更新通知
 *
 * @param switchType :总开关类别 {@link PilotTotalSwitchType}
 * @param result &lt;br&gt;{@link IntResult#getResult()} {@link PilotTotalSwitchStatus}&lt;br&gt;
 * 返回结果码 {@link IntResult#getCode()} {@link com.zone.api.vehicle.common.result.ResultCode}
 */
 default void onPilotTotalSwitchChanged(@PilotTotalSwitchType int switchType,
 IntResult result) {
 }</v>
      </c>
      <c r="S163" s="32" t="inlineStr">
        <is>
          <r>
            <t>@谢一鸣</t>
          </r>
        </is>
      </c>
      <c r="T163" s="26" t="str">
        <v>N</v>
      </c>
      <c r="U163" s="16">
        <v>4.23</v>
      </c>
      <c r="V163" s="4" t="str">
        <v>已开发，待验证</v>
      </c>
      <c r="W163" s="45" t="str">
        <v>0526：未收到导航辅助这个类别的回调 ==》06.14：上汽工程师反馈没有这个开关了</v>
      </c>
    </row>
    <row r="164" spans="1:16">
      <c r="A164" s="15" t="str">
        <v>智驾</v>
      </c>
      <c r="H164" s="15" t="str">
        <v>abnormal_cause</v>
      </c>
      <c r="I164" s="15" t="str">
        <v>异常原因</v>
      </c>
      <c r="J164" s="15" t="str">
        <v>str</v>
      </c>
      <c r="N164" s="15" t="str">
        <v>N</v>
      </c>
      <c r="O164" s="36" t="str">
        <v>N</v>
      </c>
      <c r="P164" s="37" t="str">
        <v>NA</v>
      </c>
    </row>
    <row r="165" spans="1:25">
      <c r="A165" s="15" t="str">
        <v>智驾</v>
      </c>
      <c r="B165" s="15" t="str">
        <v>导航驾驶辅助</v>
      </c>
      <c r="C165" s="15" t="str">
        <v>adsd_0028</v>
      </c>
      <c r="F165" s="15" t="str">
        <v>自动变道确认</v>
      </c>
      <c r="G165" s="15" t="str">
        <v>低频变化</v>
      </c>
      <c r="H165" s="15" t="str">
        <v>switch</v>
      </c>
      <c r="I165" s="15" t="str">
        <v>开关</v>
      </c>
      <c r="J165" s="15" t="str">
        <v>enum</v>
      </c>
      <c r="K165" s="18" t="str">
        <v>on，off</v>
      </c>
      <c r="N165" s="15" t="str">
        <v>Y</v>
      </c>
      <c r="O165" s="36" t="str">
        <v>Y</v>
      </c>
      <c r="P165" s="37" t="str">
        <v>Y</v>
      </c>
      <c r="Q165" s="36" t="str">
        <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v>
      </c>
      <c r="S165" s="32" t="inlineStr">
        <is>
          <r>
            <t>@谢一鸣</t>
          </r>
        </is>
      </c>
      <c r="T165" s="26" t="str">
        <v>Y</v>
      </c>
      <c r="U165" s="27">
        <v>4.23</v>
      </c>
      <c r="V165" s="75" t="str">
        <v>Y</v>
      </c>
      <c r="Y165" s="15" t="str">
        <v>Y</v>
      </c>
    </row>
    <row r="166" spans="1:16">
      <c r="A166" s="15" t="str">
        <v>智驾</v>
      </c>
      <c r="H166" s="15" t="str">
        <v>abnormal_cause</v>
      </c>
      <c r="I166" s="15" t="str">
        <v>异常原因</v>
      </c>
      <c r="J166" s="15" t="str">
        <v>str</v>
      </c>
      <c r="N166" s="15" t="str">
        <v>N</v>
      </c>
      <c r="O166" s="36" t="str">
        <v>N</v>
      </c>
      <c r="P166" s="37" t="str">
        <v>NA</v>
      </c>
    </row>
    <row r="167" spans="1:23">
      <c r="A167" s="15" t="str">
        <v>智驾</v>
      </c>
      <c r="B167" s="15" t="str">
        <v>导航驾驶辅助</v>
      </c>
      <c r="C167" s="15" t="str">
        <v>adsd_0029</v>
      </c>
      <c r="F167" s="25" t="str">
        <v>车道巡航辅助</v>
      </c>
      <c r="G167" s="15" t="str">
        <v>低频变化</v>
      </c>
      <c r="H167" s="15" t="str">
        <v>switch</v>
      </c>
      <c r="I167" s="15" t="str">
        <v>开关</v>
      </c>
      <c r="J167" s="15" t="str">
        <v>enum</v>
      </c>
      <c r="K167" s="18" t="str">
        <v>on，off</v>
      </c>
      <c r="N167" s="15" t="str">
        <v>Y</v>
      </c>
      <c r="O167" s="36" t="str">
        <v>Y</v>
      </c>
      <c r="P167" s="37" t="str">
        <v>Y</v>
      </c>
      <c r="Q167" s="36" t="str">
        <v> /**
 * 智能巡航辅助,轻松驾驶状态取得
 *
 * @param result {@link IntResult#getResult()} {@link ACCTJAMdSwSt}
 * @return {@link ResultCode}
 */
 @ResultCode
 int getAccTjaMdSwSt(@NonNull IntResult result);
 /**
 * 智能巡航辅助,轻松驾驶状态设置
 * PermissionRequest(permissions = { zone.permission.vehicle.ADS_SET })
 * @param status :状态{@link ACCTJAMdSwSt}
 * @return {@link ResultCode}
 */
 @ResultCode
 int setAccTjaMdSwSt(@ACCTJAMdSwSt int status);
 /**
 * 智能巡航辅助,轻松驾驶状态更新通知
 *
 * @param result &lt;br&gt;{@link IntResult#getResult()} {@link ACCTJAMdSwSt}&lt;br&gt;
 * 返回结果码 {@link IntResult#getCode()} {@link com.zone.api.vehicle.common.result.ResultCode}
 */
 default void onAccTjaMdSwStChanged(IntResult result) {
 }</v>
      </c>
      <c r="S167" s="32" t="inlineStr">
        <is>
          <r>
            <t>@谢一鸣</t>
          </r>
        </is>
      </c>
      <c r="T167" s="26" t="str">
        <v>N</v>
      </c>
      <c r="U167" s="16">
        <v>4.23</v>
      </c>
      <c r="V167" s="4" t="str">
        <v>已开发，待验证</v>
      </c>
      <c r="W167" s="45" t="str">
        <v>05.26：未收到回调 =》06.14:还是未收到回调（没开关）</v>
      </c>
    </row>
    <row r="168" spans="1:16">
      <c r="A168" s="15" t="str">
        <v>智驾</v>
      </c>
      <c r="H168" s="15" t="str">
        <v>abnormal_cause</v>
      </c>
      <c r="I168" s="15" t="str">
        <v>异常原因</v>
      </c>
      <c r="J168" s="15" t="str">
        <v>str</v>
      </c>
      <c r="N168" s="15" t="str">
        <v>N</v>
      </c>
      <c r="O168" s="36" t="str">
        <v>N</v>
      </c>
      <c r="P168" s="37" t="str">
        <v>NA</v>
      </c>
    </row>
    <row r="169" spans="1:23">
      <c r="A169" s="15" t="str">
        <v>智驾</v>
      </c>
      <c r="B169" s="15" t="str">
        <v>导航驾驶辅助</v>
      </c>
      <c r="C169" s="15" t="str">
        <v>adsd_0030</v>
      </c>
      <c r="F169" s="25" t="str">
        <v>智慧躲闪</v>
      </c>
      <c r="G169" s="15" t="str">
        <v>低频变化</v>
      </c>
      <c r="H169" s="15" t="str">
        <v>switch</v>
      </c>
      <c r="I169" s="15" t="str">
        <v>开关</v>
      </c>
      <c r="J169" s="15" t="str">
        <v>enum</v>
      </c>
      <c r="K169" s="18" t="str">
        <v>on，off</v>
      </c>
      <c r="N169" s="15" t="str">
        <v>Y</v>
      </c>
      <c r="O169" s="36" t="str">
        <v>Y</v>
      </c>
      <c r="P169" s="37" t="str">
        <v>Y</v>
      </c>
      <c r="Q169" s="36" t="str">
        <v> /**
 * 智慧躲闪状态获取
 * PermissionRequest(permissions = { zone.permission.vehicle.DEVICE_GET })
 * @param result {@link IntResult#getResult()} {@link SwitchStatus}
 * @return {@link ResultCode}
 */
 @ResultCode
 int getILCSwSt(@NonNull IntResult result);
 /**
 * 智慧躲闪状态设置
 * PermissionRequest(permissions = { zone.permission.vehicle.ADS_SET }) 
 * @param status : {@link SwitchStatus}
 * @return {@link ResultCode}
 */
 @ResultCode
 int setILCSwSt(@NonNull SwitchStatus status);
 /**
 * 智慧躲闪状态更新通知
 *
 * @param result &lt;br&gt;{@link IntResult#getResult()} {@link SwitchStatus}&lt;br&gt;
 * 返回结果码 {@link IntResult#getCode()} {@link com.zone.api.vehicle.common.result.ResultCode}
 */
 default void onIlcSwStChanged(IntResult result) {
 }</v>
      </c>
      <c r="S169" s="32" t="inlineStr">
        <is>
          <r>
            <t>@谢一鸣</t>
          </r>
        </is>
      </c>
      <c r="T169" s="26" t="str">
        <v>N</v>
      </c>
      <c r="U169" s="16">
        <v>4.24</v>
      </c>
      <c r="V169" s="15" t="str">
        <v>已开发，待验证</v>
      </c>
      <c r="W169" s="45" t="str">
        <v>05.26：未收到回调 ==》06.14：部分车才有这个开关</v>
      </c>
    </row>
    <row r="170" spans="1:16">
      <c r="A170" s="15" t="str">
        <v>智驾</v>
      </c>
      <c r="H170" s="15" t="str">
        <v>abnormal_cause</v>
      </c>
      <c r="I170" s="15" t="str">
        <v>异常原因</v>
      </c>
      <c r="J170" s="15" t="str">
        <v>str</v>
      </c>
      <c r="N170" s="15" t="str">
        <v>N</v>
      </c>
      <c r="O170" s="36" t="str">
        <v>N</v>
      </c>
      <c r="P170" s="37" t="str">
        <v>NA</v>
      </c>
    </row>
    <row r="171" spans="1:23">
      <c r="A171" s="15" t="str">
        <v>智驾</v>
      </c>
      <c r="B171" s="15" t="str">
        <v>导航驾驶辅助</v>
      </c>
      <c r="C171" s="15" t="str">
        <v>adsd_0031</v>
      </c>
      <c r="F171" s="15" t="str">
        <v>智能速度辅助</v>
      </c>
      <c r="G171" s="15" t="str">
        <v>低频变化</v>
      </c>
      <c r="H171" s="15" t="str">
        <v>switch</v>
      </c>
      <c r="I171" s="15" t="str">
        <v>开关</v>
      </c>
      <c r="J171" s="15" t="str">
        <v>enum</v>
      </c>
      <c r="K171" s="18" t="str">
        <v>关闭，报警，报警和限速</v>
      </c>
      <c r="N171" s="15" t="str">
        <v>Y</v>
      </c>
      <c r="O171" s="36" t="str">
        <v>Y</v>
      </c>
      <c r="P171" s="37" t="str">
        <v>Y</v>
      </c>
      <c r="Q171" s="36" t="str">
        <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v>
      </c>
      <c r="S171" s="32" t="inlineStr">
        <is>
          <r>
            <t>@谢一鸣</t>
          </r>
        </is>
      </c>
      <c r="T171" s="26" t="str">
        <v>N</v>
      </c>
      <c r="U171" s="16">
        <v>4.24</v>
      </c>
      <c r="V171" s="15" t="str">
        <v>已开发，待验证</v>
      </c>
      <c r="W171" s="45" t="str">
        <v>05.26：实际回调只有开和关闭两种状态，没有报警和限速 =》06.14：没有【报警和限速】</v>
      </c>
    </row>
    <row r="172" spans="1:16">
      <c r="A172" s="15" t="str">
        <v>智驾</v>
      </c>
      <c r="H172" s="15" t="str">
        <v>abnormal_cause</v>
      </c>
      <c r="I172" s="15" t="str">
        <v>异常原因</v>
      </c>
      <c r="J172" s="15" t="str">
        <v>str</v>
      </c>
      <c r="N172" s="15" t="str">
        <v>N</v>
      </c>
      <c r="O172" s="36" t="str">
        <v>N</v>
      </c>
      <c r="P172" s="37" t="str">
        <v>NA</v>
      </c>
    </row>
    <row r="173" spans="1:23">
      <c r="A173" s="15" t="str">
        <v>智驾</v>
      </c>
      <c r="B173" s="15" t="str">
        <v>导航驾驶辅助</v>
      </c>
      <c r="C173" s="15" t="str">
        <v>adsd_0032</v>
      </c>
      <c r="F173" s="15" t="str">
        <v>变道辅助</v>
      </c>
      <c r="G173" s="15" t="str">
        <v>低频变化</v>
      </c>
      <c r="H173" s="15" t="str">
        <v>switch</v>
      </c>
      <c r="I173" s="15" t="str">
        <v>开关</v>
      </c>
      <c r="J173" s="15" t="str">
        <v>enum</v>
      </c>
      <c r="K173" s="18" t="str">
        <v>关闭，打灯变道，推荐变道</v>
      </c>
      <c r="N173" s="15" t="str">
        <v>Y</v>
      </c>
      <c r="O173" s="36" t="str">
        <v>Y</v>
      </c>
      <c r="P173" s="37" t="str">
        <v>Y</v>
      </c>
      <c r="Q173" s="36" t="str">
        <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v>
      </c>
      <c r="S173" s="32" t="inlineStr">
        <is>
          <r>
            <t>@谢一鸣</t>
          </r>
        </is>
      </c>
      <c r="T173" s="26" t="str">
        <v>Y</v>
      </c>
      <c r="U173" s="16">
        <v>4.24</v>
      </c>
      <c r="V173" s="18" t="str">
        <v>Y</v>
      </c>
      <c r="W173" s="97" t="inlineStr">
        <is>
          <r>
            <rPr>
              <strike/>
              <sz val="10"/>
              <color rgb="FF1F2329"/>
              <rFont val="Arial"/>
            </rPr>
            <t xml:space="preserve">05.26：实际回调只有开和关闭两种状态，没有打灯变道，推荐变道
</t>
          </r>
          <r>
            <rPr>
              <sz val="10"/>
              <color rgb="FFF54A45"/>
              <rFont val="Arial"/>
            </rPr>
            <t>06.14:没有推荐变道</t>
          </r>
        </is>
      </c>
    </row>
    <row r="174" spans="1:16">
      <c r="A174" s="15" t="str">
        <v>智驾</v>
      </c>
      <c r="H174" s="15" t="str">
        <v>abnormal_cause</v>
      </c>
      <c r="I174" s="15" t="str">
        <v>异常原因</v>
      </c>
      <c r="J174" s="15" t="str">
        <v>str</v>
      </c>
      <c r="N174" s="15" t="str">
        <v>N</v>
      </c>
      <c r="O174" s="36" t="str">
        <v>N</v>
      </c>
      <c r="P174" s="37" t="str">
        <v>NA</v>
      </c>
    </row>
    <row r="175" spans="1:23">
      <c r="A175" s="15" t="str">
        <v>智驾</v>
      </c>
      <c r="B175" s="15" t="str">
        <v>导航驾驶辅助</v>
      </c>
      <c r="C175" s="15" t="str">
        <v>adsd_0033</v>
      </c>
      <c r="F175" s="15" t="str">
        <v>变道舒适性</v>
      </c>
      <c r="G175" s="15" t="str">
        <v>低频变化</v>
      </c>
      <c r="H175" s="26" t="str">
        <v>switch</v>
      </c>
      <c r="I175" s="15" t="str">
        <v>模式选项</v>
      </c>
      <c r="J175" s="15" t="str">
        <v>enum</v>
      </c>
      <c r="K175" s="18" t="str">
        <v>柔和，标准，敏捷</v>
      </c>
      <c r="N175" s="15" t="str">
        <v>Y</v>
      </c>
      <c r="O175" s="36" t="str">
        <v>Y</v>
      </c>
      <c r="P175" s="37" t="str">
        <v>Y</v>
      </c>
      <c r="Q175" s="36" t="str">
        <v> /**
 * 智驾风格设置
 * PermissionRequest(permissions = { zone.permission.vehicle.ADS_SET })
 * @param mode : 模式设置 {@link AiPilotDrvMdlSts}
 *
 * @return {@link ResultCode}
 */
 @ResultCode
 int setAiPilotDrvMdlS(@AiPilotDrvMdlSts int mode);
 /**
 * 智驾风格获取
 * PermissionRequest(permissions = { zone.permission.vehicle.DEVICE_GET })
 * @param result : 结果 {@link IntResult}{@link AiPilotDrvMdlSts}
 *
 * @return {@link ResultCode}
 */
 @ResultCode
 int getAiPilotDrvMdlS(@NonNull IntResult result);
 /**
 * 智驾风格更新通知
 *
 * @param result &lt;br&gt;{@link IntResult#getResult()} : {@link AiPilotDrvMdlSts}&lt;br&gt;
 * 返回结果码 {@link IntResult#getCode()} {@link com.zone.api.vehicle.common.result.ResultCode}
 */
 default void onAiPilotDrvMdlChanged(@NonNull IntResult result) {
 }</v>
      </c>
      <c r="S175" s="32" t="inlineStr">
        <is>
          <r>
            <t>@谢一鸣</t>
          </r>
        </is>
      </c>
      <c r="T175" s="72" t="str">
        <v>Y</v>
      </c>
      <c r="U175" s="19">
        <v>4.24</v>
      </c>
      <c r="V175" s="46" t="str">
        <v>Y</v>
      </c>
      <c r="W175" s="86" t="str">
        <v>06.14：上汽没有变道舒适性</v>
      </c>
    </row>
    <row r="176" spans="1:23">
      <c r="A176" s="15" t="str">
        <v>智驾</v>
      </c>
      <c r="B176" s="15" t="str">
        <v>导航驾驶辅助</v>
      </c>
      <c r="C176" s="15" t="str">
        <v>adsd_0034</v>
      </c>
      <c r="F176" s="15" t="str">
        <v>碰撞预警时机</v>
      </c>
      <c r="G176" s="15" t="str">
        <v>低频变化</v>
      </c>
      <c r="H176" s="26" t="str">
        <v>switch</v>
      </c>
      <c r="I176" s="15" t="str">
        <v>模式选项</v>
      </c>
      <c r="J176" s="15" t="str">
        <v>enum</v>
      </c>
      <c r="K176" s="18" t="str">
        <v>较早，适中，稍晚</v>
      </c>
      <c r="N176" s="15" t="str">
        <v>Y</v>
      </c>
      <c r="O176" s="36" t="str">
        <v>Y</v>
      </c>
      <c r="P176" s="37" t="str">
        <v>Y</v>
      </c>
      <c r="Q176" s="36" t="str">
        <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v>
      </c>
      <c r="S176" s="98" t="inlineStr">
        <is>
          <r>
            <t>@谢一鸣</t>
          </r>
        </is>
      </c>
      <c r="T176" s="15" t="str">
        <v>N</v>
      </c>
      <c r="U176" s="16">
        <v>4.24</v>
      </c>
      <c r="V176" s="15" t="str">
        <v>Y</v>
      </c>
      <c r="W176" s="99" t="str">
        <v>05.26：接口给的是车道偏离预警时机，无碰撞预警时机</v>
      </c>
    </row>
    <row r="177" spans="1:23">
      <c r="A177" s="15" t="str">
        <v>智驾</v>
      </c>
      <c r="B177" s="15" t="str">
        <v>导航驾驶辅助</v>
      </c>
      <c r="C177" s="15" t="str">
        <v>adsd_0035</v>
      </c>
      <c r="F177" s="15" t="str">
        <v>变道时危险预警</v>
      </c>
      <c r="G177" s="15" t="str">
        <v>低频变化</v>
      </c>
      <c r="H177" s="26" t="str">
        <v>switch</v>
      </c>
      <c r="I177" s="15" t="str">
        <v>开关</v>
      </c>
      <c r="J177" s="15" t="str">
        <v>enum</v>
      </c>
      <c r="K177" s="18" t="str">
        <v>打开，关闭</v>
      </c>
      <c r="N177" s="15" t="str">
        <v>Y</v>
      </c>
      <c r="O177" s="36" t="str">
        <v>Y</v>
      </c>
      <c r="P177" s="37" t="str">
        <v>Y</v>
      </c>
      <c r="Q177" s="36" t="str">
        <v> /**
 * 变道时危险警示LCA状态获取
 * PermissionRequest(permissions = { zone.permission.vehicle.DEVICE_GET })
 * @param result {@link IntResult#getResult()} {@link SwitchStatus}
 * @return {@link ResultCode}
 */
 @ResultCode
 int getLcaSelSts(@NonNull IntResult result);
 /**
 * 变道时危险警示LCA状态设置
 * PermissionRequest(permissions = { zone.permission.vehicle.ADS_SET })
 * @param status :开关状态 {@link SwitchStatus}
 * @return {@link ResultCode}
 */
 @ResultCode
 int setLcaSelSts(@NonNull SwitchStatus status);
 /**
 * 变道时危险警示LCA状态更新通知
 *
 * @param result &lt;br&gt;{@link IntResult#getResult()} {@link SwitchStatus}&lt;br&gt;
 * 返回结果码 {@link IntResult#getCode()} {@link com.zone.api.vehicle.common.result.ResultCode}
 */
 default void onLcaSelStsChanged(IntResult result) {
 }</v>
      </c>
      <c r="S177" s="98" t="inlineStr">
        <is>
          <r>
            <t>@谢一鸣</t>
          </r>
        </is>
      </c>
      <c r="T177" s="15" t="str">
        <v>Y</v>
      </c>
      <c r="U177" s="16">
        <v>4.24</v>
      </c>
      <c r="V177" s="15" t="str">
        <v>Y</v>
      </c>
      <c r="W177" s="100" t="str">
        <v>05.26:未收到回调</v>
      </c>
    </row>
    <row r="178" spans="1:16">
      <c r="A178" s="15" t="str">
        <v>智驾</v>
      </c>
      <c r="H178" s="26" t="str">
        <v>abnormal_cause</v>
      </c>
      <c r="I178" s="15" t="str">
        <v>异常原因</v>
      </c>
      <c r="J178" s="15" t="str">
        <v>str</v>
      </c>
      <c r="N178" s="15" t="str">
        <v>N</v>
      </c>
      <c r="O178" s="36" t="str">
        <v>N</v>
      </c>
      <c r="P178" s="37" t="str">
        <v>NA</v>
      </c>
    </row>
    <row r="179" spans="1:25">
      <c r="A179" s="15" t="str">
        <v>智驾</v>
      </c>
      <c r="B179" s="45" t="str">
        <v>后方安全辅助</v>
      </c>
      <c r="C179" s="15" t="str">
        <v>adsd_0036</v>
      </c>
      <c r="F179" s="15" t="str">
        <v>后方横穿危险预警和紧急制动</v>
      </c>
      <c r="G179" s="15" t="str">
        <v>低频变化</v>
      </c>
      <c r="H179" s="26" t="str">
        <v>switch</v>
      </c>
      <c r="I179" s="15" t="str">
        <v>模式选项</v>
      </c>
      <c r="J179" s="15" t="str">
        <v>enum</v>
      </c>
      <c r="K179" s="18" t="str">
        <v>关闭，警示，警示+制动</v>
      </c>
      <c r="N179" s="15" t="str">
        <v>Y</v>
      </c>
      <c r="O179" s="36" t="str">
        <v>Y</v>
      </c>
      <c r="P179" s="37" t="str">
        <v>Y</v>
      </c>
      <c r="Q179" s="36" t="str">
        <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v>
      </c>
      <c r="R179" s="101" t="str">
        <v>Y</v>
      </c>
      <c r="S179" s="32" t="inlineStr">
        <is>
          <r>
            <t>@谢一鸣</t>
          </r>
        </is>
      </c>
      <c r="T179" s="26" t="str">
        <v>Y</v>
      </c>
      <c r="U179" s="27">
        <v>4.24</v>
      </c>
      <c r="V179" s="15" t="str">
        <v>Y</v>
      </c>
      <c r="Y179" s="15" t="str">
        <v>Y</v>
      </c>
    </row>
    <row r="180" spans="1:16">
      <c r="A180" s="15" t="str">
        <v>智驾</v>
      </c>
      <c r="H180" s="26" t="str">
        <v>abnormal_cause</v>
      </c>
      <c r="I180" s="15" t="str">
        <v>异常原因</v>
      </c>
      <c r="J180" s="15" t="str">
        <v>str</v>
      </c>
      <c r="N180" s="15" t="str">
        <v>N</v>
      </c>
      <c r="O180" s="36" t="str">
        <v>N</v>
      </c>
      <c r="P180" s="37" t="str">
        <v>NA</v>
      </c>
    </row>
    <row r="181" spans="1:23">
      <c r="A181" s="15" t="str">
        <v>智驾</v>
      </c>
      <c r="B181" s="15" t="str">
        <v>导航驾驶辅助</v>
      </c>
      <c r="C181" s="15" t="str">
        <v>adsd_0037</v>
      </c>
      <c r="F181" s="15" t="str">
        <v>车道巡航辅助模式</v>
      </c>
      <c r="G181" s="15" t="str">
        <v>低频变化</v>
      </c>
      <c r="H181" s="26" t="str">
        <v>switch</v>
      </c>
      <c r="I181" s="15" t="str">
        <v>模式选项</v>
      </c>
      <c r="J181" s="15" t="str">
        <v>enum</v>
      </c>
      <c r="K181" s="15" t="inlineStr">
        <is>
          <r>
            <rPr>
              <sz val="10"/>
              <color rgb="FF1F2329"/>
              <rFont val="Arial"/>
            </rPr>
            <t>关闭，ACC，ICA</t>
          </r>
          <r>
            <rPr>
              <sz val="10"/>
              <color rgb="FFF54A45"/>
              <rFont val="Arial"/>
            </rPr>
            <t>，NOA</t>
          </r>
        </is>
      </c>
      <c r="N181" s="15" t="str">
        <v>Y</v>
      </c>
      <c r="O181" s="36" t="str">
        <v>Y</v>
      </c>
      <c r="P181" s="37" t="str">
        <v>Y</v>
      </c>
      <c r="Q181" s="36" t="str">
        <v> /**
 * 智驾模式选择设置
 * PermissionRequest(permissions = { zone.permission.vehicle.ADS_SET })
 * @param mode : 模式设置 {@link AiPilotMode}
 *
 * @return {@link ResultCode}
 */
 @ResultCode
 int setAiPilotMode(@AiPilotMode int mode);
 /**
 * 智驾模式选择获取
 * PermissionRequest(permissions = { zone.permission.vehicle.DEVICE_GET })
 * @param result : 结果 {@link IntResult}{@link AiPilotMode}
 *
 * @return {@link ResultCode}
 */
 @ResultCode
 int getAiPilotMode(@NonNull IntResult result);
 /**
 * 智驾模式选择更新通知
 *
 * @param result &lt;br&gt;{@link IntResult#getResult()} : {@link AiPilotMode}&lt;br&gt;
 * 返回结果码 {@link IntResult#getCode()} {@link com.zone.api.vehicle.common.result.ResultCode}
 */
 default void onAiPilotModeChanged(@NonNull IntResult result) {
 }</v>
      </c>
      <c r="S181" s="32" t="inlineStr">
        <is>
          <r>
            <t>@谢一鸣</t>
          </r>
        </is>
      </c>
      <c r="T181" s="26" t="str">
        <v>Y</v>
      </c>
      <c r="U181" s="16">
        <v>4.24</v>
      </c>
      <c r="V181" s="15" t="str">
        <v>Y</v>
      </c>
      <c r="W181" s="96" t="str">
        <v>05.26：无关闭按钮（只有ACC，ICA，NOA）</v>
      </c>
    </row>
    <row r="182" spans="1:16">
      <c r="A182" s="15" t="str">
        <v>智驾</v>
      </c>
      <c r="H182" s="26" t="str">
        <v>abnormal_cause</v>
      </c>
      <c r="I182" s="15" t="str">
        <v>异常原因</v>
      </c>
      <c r="J182" s="15" t="str">
        <v>str</v>
      </c>
      <c r="N182" s="15" t="str">
        <v>N</v>
      </c>
      <c r="O182" s="36" t="str">
        <v>N</v>
      </c>
      <c r="P182" s="37" t="str">
        <v>NA</v>
      </c>
    </row>
    <row r="183" spans="1:27">
      <c r="A183" s="15" t="str">
        <v>智驾</v>
      </c>
      <c r="B183" s="15" t="str">
        <v>导航驾驶辅助</v>
      </c>
      <c r="C183" s="15" t="str">
        <v>adsd_0038</v>
      </c>
      <c r="F183" s="15" t="str">
        <v>限速辅助</v>
      </c>
      <c r="G183" s="15" t="str">
        <v>低频变化</v>
      </c>
      <c r="H183" s="26" t="str">
        <v>switch</v>
      </c>
      <c r="I183" s="15" t="str">
        <v>模式选项</v>
      </c>
      <c r="J183" s="15" t="str">
        <v>enum</v>
      </c>
      <c r="K183" s="18" t="str">
        <v>关闭，手动，智能</v>
      </c>
      <c r="N183" s="15" t="str">
        <v>Y</v>
      </c>
      <c r="O183" s="36" t="str">
        <v>Y</v>
      </c>
      <c r="P183" s="37" t="str">
        <v>Y</v>
      </c>
      <c r="Q183" s="36" t="str">
        <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v>
      </c>
      <c r="S183" s="32" t="inlineStr">
        <is>
          <r>
            <t>@谢一鸣</t>
          </r>
        </is>
      </c>
      <c r="T183" s="26" t="str">
        <v>Y</v>
      </c>
      <c r="U183" s="27">
        <v>4.24</v>
      </c>
      <c r="V183" s="15" t="str">
        <v>Y</v>
      </c>
      <c r="Y183" s="15" t="str">
        <v>N</v>
      </c>
      <c r="AA183" s="15" t="str">
        <v>上汽问题</v>
      </c>
    </row>
    <row r="184" spans="1:16">
      <c r="A184" s="15" t="str">
        <v>智驾</v>
      </c>
      <c r="H184" s="26" t="str">
        <v>abnormal_cause</v>
      </c>
      <c r="I184" s="15" t="str">
        <v>异常原因</v>
      </c>
      <c r="J184" s="15" t="str">
        <v>str</v>
      </c>
      <c r="N184" s="15" t="str">
        <v>N</v>
      </c>
      <c r="O184" s="36" t="str">
        <v>N</v>
      </c>
      <c r="P184" s="37" t="str">
        <v>NA</v>
      </c>
    </row>
    <row r="185" spans="1:27">
      <c r="A185" s="15" t="str">
        <v>智驾</v>
      </c>
      <c r="B185" s="15" t="str">
        <v>导航驾驶辅助</v>
      </c>
      <c r="C185" s="15" t="str">
        <v>adsd_0039</v>
      </c>
      <c r="F185" s="15" t="str">
        <v>智能超速报警</v>
      </c>
      <c r="G185" s="15" t="str">
        <v>低频变化</v>
      </c>
      <c r="H185" s="26" t="str">
        <v>switch</v>
      </c>
      <c r="I185" s="15" t="str">
        <v>开关</v>
      </c>
      <c r="J185" s="15" t="str">
        <v>enum</v>
      </c>
      <c r="K185" s="18" t="str">
        <v>关闭，开启</v>
      </c>
      <c r="N185" s="56" t="str">
        <v>N（和0014重复）</v>
      </c>
      <c r="O185" s="36" t="str">
        <v>Y</v>
      </c>
      <c r="P185" s="37" t="str">
        <v>Y</v>
      </c>
      <c r="Q185" s="36" t="str">
        <v> /**
 * 获取超速报警
 * PermissionRequest(permissions = { zone.permission.vehicle.DEVICE_GET })
 * @param result {@link IntResult#getResult}
 * @return
 */
 int getSpdLmtCotOverWrnng(@NonNull IntResult result);
 /**
 * 设置超速报警
 * PermissionRequest(permissions = { zone.permission.vehicle.ADS_SET })
 * @param value {0-2}
 *
 * @return {@link ResultCode}
 */
 @ResultCode
 int setSpdLmtCotOverWrnng(int value);
 /**
 * 超速报警更新通知
 * PermissionRequest(permissions = { zone.permission.vehicle.DEVICE_on })
 * @param result &lt;br&gt;{@link IntResult#getResult()} {@link SwitchHmiStatus}&lt;br&gt;
 * @return
 */
 default void onSpdLmtCotOverWrnngChanged(IntResult result){}</v>
      </c>
      <c r="S185" s="32" t="inlineStr">
        <is>
          <r>
            <t>@谢一鸣</t>
          </r>
        </is>
      </c>
      <c r="T185" s="26" t="str">
        <v>Y</v>
      </c>
      <c r="U185" s="27">
        <v>4.24</v>
      </c>
      <c r="V185" s="15" t="str">
        <v>Y</v>
      </c>
      <c r="Y185" s="15" t="str">
        <v>B</v>
      </c>
      <c r="AA185" s="15" t="inlineStr">
        <is>
          <r>
            <rPr>
              <sz val="10"/>
              <color rgb="FF1F2329"/>
              <rFont val="Arial"/>
            </rPr>
            <t>和adsd_0014 一样 怎么处理，</t>
          </r>
          <r>
            <rPr>
              <sz val="10"/>
              <color rgb="FFF54A45"/>
              <rFont val="Arial"/>
            </rPr>
            <t>确认是删除</t>
          </r>
        </is>
      </c>
    </row>
    <row r="186" spans="1:16">
      <c r="A186" s="15" t="str">
        <v>智驾</v>
      </c>
      <c r="H186" s="26" t="str">
        <v>abnormal_cause</v>
      </c>
      <c r="I186" s="15" t="str">
        <v>异常原因</v>
      </c>
      <c r="J186" s="15" t="str">
        <v>str</v>
      </c>
      <c r="N186" s="15" t="str">
        <v>N</v>
      </c>
      <c r="O186" s="36" t="str">
        <v>N</v>
      </c>
      <c r="P186" s="37" t="str">
        <v>NA</v>
      </c>
    </row>
    <row r="187" spans="1:23">
      <c r="A187" s="15" t="str">
        <v>智驾</v>
      </c>
      <c r="B187" s="45" t="str">
        <v>前方安全辅助</v>
      </c>
      <c r="C187" s="15" t="str">
        <v>adsd_0040</v>
      </c>
      <c r="F187" s="15" t="str">
        <v>前方安全辅助模式</v>
      </c>
      <c r="G187" s="15" t="str">
        <v>低频变化</v>
      </c>
      <c r="H187" s="26" t="str">
        <v>switch</v>
      </c>
      <c r="I187" s="15" t="str">
        <v>模式选项</v>
      </c>
      <c r="J187" s="15" t="str">
        <v>enum</v>
      </c>
      <c r="K187" s="18" t="str">
        <v>关闭，预警，预警+制动</v>
      </c>
      <c r="N187" s="15" t="str">
        <v>Y</v>
      </c>
      <c r="O187" s="36" t="str">
        <v>Y</v>
      </c>
      <c r="P187" s="37" t="str">
        <v>Y</v>
      </c>
      <c r="Q187" s="36" t="str">
        <v> @Target({ElementType.PARAMETER})
 @Retention(RetentionPolicy.SOURCE)
 public @interface PilotTotalSwitchType {
 /** FRONT_SECURITY_ASSIST = 0 : 前向安全辅助总开关*/
 int FRONT_SECURITY_ASSIST = 0; // 前向安全辅助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default void onPilotTotalSwitchChanged(@PilotTotalSwitchType int switchType,
 IntResult result) {
 }</v>
      </c>
      <c r="S187" s="98" t="inlineStr">
        <is>
          <r>
            <t>@谢一鸣</t>
          </r>
        </is>
      </c>
      <c r="T187" s="15" t="str">
        <v>Y</v>
      </c>
      <c r="U187" s="16">
        <v>4.24</v>
      </c>
      <c r="V187" s="15" t="str">
        <v>Y</v>
      </c>
      <c r="W187" s="100" t="str">
        <v>4.24:相关问题已经反馈给上汽开发了 =》上汽需要我们给他们起票
05.26：接口只支持开启和关闭，无（关闭，预警，预警+制动）</v>
      </c>
    </row>
    <row r="188" spans="1:16">
      <c r="A188" s="15" t="str">
        <v>智驾</v>
      </c>
      <c r="H188" s="26" t="str">
        <v>abnormal_cause</v>
      </c>
      <c r="I188" s="15" t="str">
        <v>异常原因</v>
      </c>
      <c r="J188" s="15" t="str">
        <v>str</v>
      </c>
      <c r="N188" s="15" t="str">
        <v>N</v>
      </c>
      <c r="O188" s="36" t="str">
        <v>N</v>
      </c>
      <c r="P188" s="37" t="str">
        <v>NA</v>
      </c>
    </row>
    <row r="189" spans="1:25">
      <c r="A189" s="15" t="str">
        <v>车控功能</v>
      </c>
      <c r="B189" s="15" t="str">
        <v>驾驶</v>
      </c>
      <c r="C189" s="15" t="str">
        <v>vehicle_control_0003</v>
      </c>
      <c r="F189" s="15" t="str">
        <v>车辆行进状态</v>
      </c>
      <c r="G189" s="15" t="str">
        <v>低频变化</v>
      </c>
      <c r="H189" s="15" t="str">
        <v>switch</v>
      </c>
      <c r="I189" s="15" t="str">
        <v>模式选项</v>
      </c>
      <c r="J189" s="15" t="str">
        <v>enum</v>
      </c>
      <c r="K189" s="18" t="str">
        <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v>
      </c>
      <c r="M189" s="16">
        <v>1</v>
      </c>
      <c r="N189" s="15" t="str">
        <v>Y</v>
      </c>
      <c r="O189" s="36" t="str">
        <v>Y（驾驶模式）</v>
      </c>
      <c r="P189" s="37" t="str">
        <v>Y</v>
      </c>
      <c r="Q189" s="36" t="str">
        <v>int getDrivingMode(@NonNull IntResult result)
AdsCallbackFlag.DRIVING_MODE
onDrivingModeChanged</v>
      </c>
      <c r="S189" s="32" t="inlineStr">
        <is>
          <r>
            <t>@高宇新</t>
          </r>
        </is>
      </c>
      <c r="T189" s="26" t="str">
        <v>Y</v>
      </c>
      <c r="V189" s="15" t="str">
        <v>Y</v>
      </c>
      <c r="Y189" s="15" t="str">
        <v>Y</v>
      </c>
    </row>
    <row r="190" spans="1:25">
      <c r="A190" s="15" t="str">
        <v>车控功能</v>
      </c>
      <c r="C190" s="15" t="str">
        <v>vehicle_control_0003</v>
      </c>
      <c r="H190" s="15" t="str">
        <v>states</v>
      </c>
      <c r="I190" s="15" t="str">
        <v>状态</v>
      </c>
      <c r="J190" s="15" t="str">
        <v>enum</v>
      </c>
      <c r="K190" s="18" t="str">
        <v>D，P，R，N</v>
      </c>
      <c r="M190" s="16">
        <v>1</v>
      </c>
      <c r="N190" s="15" t="str">
        <v>Y</v>
      </c>
      <c r="O190" s="36" t="str">
        <v>Y</v>
      </c>
      <c r="P190" s="37" t="str">
        <v>Y</v>
      </c>
      <c r="Q190" s="36" t="str">
        <v>int getOrgGearInfo(@NonNull IntResult result)
VehicleCommonCallbackFlag.ORG_GEAR
onOrgGearInfoChanged</v>
      </c>
      <c r="S190" s="32" t="inlineStr">
        <is>
          <r>
            <t>@谢一鸣</t>
          </r>
        </is>
      </c>
      <c r="T190" s="26" t="str">
        <v>Y</v>
      </c>
      <c r="U190" s="16">
        <v>4.23</v>
      </c>
      <c r="V190" s="15" t="str">
        <v>Y </v>
      </c>
      <c r="Y190" s="15" t="str">
        <v>Y</v>
      </c>
    </row>
    <row r="191" spans="1:27">
      <c r="A191" s="15" t="str">
        <v>车控功能</v>
      </c>
      <c r="B191" s="15" t="str">
        <v>驾驶</v>
      </c>
      <c r="C191" s="15" t="str">
        <v>vehicle_control_0004</v>
      </c>
      <c r="F191" s="15" t="str">
        <v>车辆速度</v>
      </c>
      <c r="G191" s="15" t="str">
        <v>高频变化</v>
      </c>
      <c r="H191" s="15" t="str">
        <v>velocity</v>
      </c>
      <c r="I191" s="15" t="str">
        <v>速度</v>
      </c>
      <c r="J191" s="15" t="str">
        <v>str</v>
      </c>
      <c r="M191" s="16">
        <v>1</v>
      </c>
      <c r="N191" s="15" t="str">
        <v>Y</v>
      </c>
      <c r="O191" s="36" t="str">
        <v>Y</v>
      </c>
      <c r="P191" s="37" t="str">
        <v>Y</v>
      </c>
      <c r="Q191" s="36" t="str">
        <v>int getVehicleSpeed(@NonNull FloatResult result);
VehicleCommonCallbackFlag.SPEED
onVehicleSpeedChanged</v>
      </c>
      <c r="S191" s="32" t="inlineStr">
        <is>
          <r>
            <t>@田高琳</t>
          </r>
        </is>
      </c>
      <c r="T191" s="26" t="str">
        <v>Y</v>
      </c>
      <c r="U191" s="27">
        <v>4.22</v>
      </c>
      <c r="V191" s="40" t="str">
        <v>Y</v>
      </c>
      <c r="Y191" s="15" t="str">
        <v>Y</v>
      </c>
      <c r="AA191" s="15" t="str">
        <v>低速测试有数据变化，路测时在进行测试</v>
      </c>
    </row>
    <row r="192" spans="1:25">
      <c r="A192" s="15" t="str">
        <v>车控功能</v>
      </c>
      <c r="B192" s="15" t="str">
        <v>驾驶</v>
      </c>
      <c r="C192" s="15" t="str">
        <v>vehicle_control_0005</v>
      </c>
      <c r="D192" s="16">
        <v>3</v>
      </c>
      <c r="F192" s="15" t="str">
        <v>能量回收状态</v>
      </c>
      <c r="G192" s="15" t="str">
        <v>低频变化</v>
      </c>
      <c r="H192" s="15" t="str">
        <v>switch</v>
      </c>
      <c r="I192" s="15" t="str">
        <v>模式选项</v>
      </c>
      <c r="J192" s="15" t="str">
        <v>enum</v>
      </c>
      <c r="K192" s="88" t="str">
        <v>关闭，高，中，低， 自动</v>
      </c>
      <c r="M192" s="16">
        <v>1</v>
      </c>
      <c r="N192" s="15" t="str">
        <v>Y</v>
      </c>
      <c r="O192" s="36" t="str">
        <v>Y</v>
      </c>
      <c r="P192" s="37" t="str">
        <v>Y</v>
      </c>
      <c r="Q192" s="36" t="str">
        <v>int getEptRgtnLvl(@NonNull IntResult result) 
AdsCallbackFlag.PILOT_EPT_RGN_LEVEL
onEptRgtnLvlStatusChanged</v>
      </c>
      <c r="S192" s="32" t="inlineStr">
        <is>
          <r>
            <t>@谢一鸣</t>
          </r>
        </is>
      </c>
      <c r="T192" s="26" t="str">
        <v>Y</v>
      </c>
      <c r="U192" s="16">
        <v>4.23</v>
      </c>
      <c r="V192" s="15" t="str">
        <v>Y </v>
      </c>
      <c r="W192" s="15" t="str">
        <v>04.27 接口只有高中低</v>
      </c>
      <c r="Y192" s="15" t="str">
        <v>Y</v>
      </c>
    </row>
    <row r="193" spans="1:16">
      <c r="A193" s="15" t="str">
        <v>车控功能</v>
      </c>
      <c r="B193" s="15" t="str">
        <v>驾驶</v>
      </c>
      <c r="C193" s="15" t="str">
        <v>vehicle_control_0006</v>
      </c>
      <c r="F193" s="15" t="str">
        <v>尾翼状态</v>
      </c>
      <c r="G193" s="15" t="str">
        <v>低频变化</v>
      </c>
      <c r="H193" s="15" t="str">
        <v>states</v>
      </c>
      <c r="I193" s="15" t="str">
        <v>状态</v>
      </c>
      <c r="J193" s="15" t="str">
        <v>enum</v>
      </c>
      <c r="K193" s="18" t="str">
        <v>关闭，1档，2档，3档</v>
      </c>
      <c r="N193" s="15" t="str">
        <v>N</v>
      </c>
      <c r="O193" s="36" t="str">
        <v>N</v>
      </c>
      <c r="P193" s="37" t="str">
        <v>NA</v>
      </c>
    </row>
    <row r="194" spans="1:27">
      <c r="A194" s="15" t="str">
        <v>车控功能</v>
      </c>
      <c r="B194" s="15" t="str">
        <v>驾驶</v>
      </c>
      <c r="C194" s="15" t="str">
        <v>vehicle_control_0007</v>
      </c>
      <c r="F194" s="15" t="str">
        <v>悬架状态</v>
      </c>
      <c r="G194" s="15" t="str">
        <v>低频变化</v>
      </c>
      <c r="H194" s="15" t="str">
        <v>states</v>
      </c>
      <c r="I194" s="15" t="str">
        <v>状态</v>
      </c>
      <c r="J194" s="15" t="str">
        <v>enum</v>
      </c>
      <c r="K194" s="18" t="inlineStr">
        <is>
          <r>
            <rPr>
              <sz val="10"/>
              <color rgb="FF1F2329"/>
              <rFont val="Arial"/>
            </rPr>
            <t>高，中，低，</t>
          </r>
          <r>
            <rPr>
              <sz val="10"/>
              <color rgb="FFF54A45"/>
              <rFont val="Arial"/>
            </rPr>
            <t>高级，舒适，标准，运动</t>
          </r>
        </is>
      </c>
      <c r="N194" s="49" t="str">
        <v>Y</v>
      </c>
      <c r="O194" s="36" t="str">
        <v>N</v>
      </c>
      <c r="P194" s="37" t="str">
        <v>NA</v>
      </c>
      <c r="S194" s="32" t="inlineStr">
        <is>
          <r>
            <t>@谢一鸣</t>
          </r>
        </is>
      </c>
      <c r="T194" s="26" t="str">
        <v>Y</v>
      </c>
      <c r="U194" s="16">
        <v>4.24</v>
      </c>
      <c r="V194" s="15" t="str">
        <v>Y</v>
      </c>
      <c r="W194" s="45" t="inlineStr">
        <is>
          <r>
            <rPr>
              <sz val="10"/>
              <color rgb="FFF54A45"/>
              <rFont val="Arial"/>
            </rPr>
            <t xml:space="preserve">04.20：待两边产品澄清（两边产品定义不一致）
</t>
          </r>
          <r>
            <rPr>
              <sz val="10"/>
              <color rgb="FF1F2329"/>
              <rFont val="Arial"/>
            </rPr>
            <t xml:space="preserve"> 04.27 接口只有舒适、标准、运动 </t>
          </r>
        </is>
      </c>
      <c r="Y194" s="15" t="str">
        <v>Y</v>
      </c>
      <c r="AA194" s="96" t="str">
        <v>没找到页面操作的地方</v>
      </c>
    </row>
    <row r="195" spans="1:25">
      <c r="A195" s="15" t="str">
        <v>车控功能</v>
      </c>
      <c r="B195" s="15" t="str">
        <v>驾驶</v>
      </c>
      <c r="C195" s="15" t="str">
        <v>vehicle_control_0008</v>
      </c>
      <c r="F195" s="15" t="str">
        <v>轮胎状态</v>
      </c>
      <c r="G195" s="15" t="str">
        <v>低频变化</v>
      </c>
      <c r="H195" s="15" t="str">
        <v>pressure</v>
      </c>
      <c r="I195" s="15" t="str">
        <v>胎压</v>
      </c>
      <c r="J195" s="15" t="str">
        <v>str</v>
      </c>
      <c r="M195" s="16">
        <v>1</v>
      </c>
      <c r="N195" s="15" t="str">
        <v>Y</v>
      </c>
      <c r="O195" s="36" t="str">
        <v>Y</v>
      </c>
      <c r="P195" s="37" t="str">
        <v>Y</v>
      </c>
      <c r="Q195" s="36" t="str">
        <v> int getTirePressure(@TirePressurePos int pos, IntResult result);
VehicleCommonCallbackFlag.TIRE_PRESSURE
onTirePressureChanged(pos, value)</v>
      </c>
      <c r="S195" s="71" t="inlineStr">
        <is>
          <r>
            <t>@田高琳</t>
          </r>
        </is>
      </c>
      <c r="T195" s="72" t="str">
        <v>Y</v>
      </c>
      <c r="U195" s="23">
        <v>4.22</v>
      </c>
      <c r="V195" s="73" t="str">
        <v>Y</v>
      </c>
      <c r="Y195" s="15" t="str">
        <v>Y</v>
      </c>
    </row>
    <row r="196" spans="1:23">
      <c r="A196" s="15" t="str">
        <v>车控功能</v>
      </c>
      <c r="H196" s="15" t="str">
        <v>temperature</v>
      </c>
      <c r="I196" s="15" t="str">
        <v>胎温</v>
      </c>
      <c r="J196" s="15" t="str">
        <v>str</v>
      </c>
      <c r="M196" s="16">
        <v>1</v>
      </c>
      <c r="N196" s="28" t="str">
        <v>N（当前无胎温数据）</v>
      </c>
      <c r="O196" s="36" t="str">
        <v>N （底层信号有，但是接口未暴露）</v>
      </c>
      <c r="P196" s="37" t="str">
        <v>NA</v>
      </c>
      <c r="S196" s="32" t="inlineStr">
        <is>
          <r>
            <t>@田高琳</t>
          </r>
        </is>
      </c>
      <c r="T196" s="15" t="str">
        <v>N</v>
      </c>
      <c r="V196" s="32" t="str">
        <v>N</v>
      </c>
      <c r="W196" s="102" t="str">
        <v>@上汽桂祥没有这个需求
接口不支持</v>
      </c>
    </row>
    <row r="197" spans="1:25">
      <c r="A197" s="15" t="str">
        <v>车控功能</v>
      </c>
      <c r="H197" s="15" t="str">
        <v>position</v>
      </c>
      <c r="I197" s="15" t="str">
        <v>位置</v>
      </c>
      <c r="J197" s="15" t="str">
        <v>enum</v>
      </c>
      <c r="K197" s="18" t="str">
        <v>左前，右前，左后，右后</v>
      </c>
      <c r="L197" s="16">
        <v>1</v>
      </c>
      <c r="M197" s="16">
        <v>1</v>
      </c>
      <c r="N197" s="15" t="str">
        <v>Y</v>
      </c>
      <c r="O197" s="36" t="str">
        <v>Y</v>
      </c>
      <c r="P197" s="37" t="str">
        <v>Y</v>
      </c>
      <c r="Q197" s="36" t="str">
        <v> int getTirePressure(@TirePressurePos int pos, IntResult result);
VehicleCommonCallbackFlag.TIRE_PRESSURE
onTirePressureChanged(pos, value)</v>
      </c>
      <c r="S197" s="81" t="inlineStr">
        <is>
          <r>
            <t>@田高琳</t>
          </r>
        </is>
      </c>
      <c r="T197" s="103" t="str">
        <v>Y</v>
      </c>
      <c r="U197" s="83">
        <v>4.22</v>
      </c>
      <c r="V197" s="82" t="str">
        <v>Y</v>
      </c>
      <c r="Y197" s="15" t="str">
        <v>Y</v>
      </c>
    </row>
    <row r="198" spans="1:27">
      <c r="A198" s="15" t="str">
        <v>车控功能</v>
      </c>
      <c r="B198" s="15" t="str">
        <v>充电</v>
      </c>
      <c r="C198" s="4" t="str">
        <v>vehicle_control_0009</v>
      </c>
      <c r="F198" s="15" t="str">
        <v>充电盖开关</v>
      </c>
      <c r="G198" s="15" t="str">
        <v>低频变化</v>
      </c>
      <c r="H198" s="15" t="str">
        <v>switch</v>
      </c>
      <c r="I198" s="15" t="str">
        <v>开关</v>
      </c>
      <c r="J198" s="15" t="str">
        <v>enum</v>
      </c>
      <c r="K198" s="18" t="str">
        <v>on，off</v>
      </c>
      <c r="M198" s="16">
        <v>1</v>
      </c>
      <c r="N198" s="15" t="str">
        <v>Y</v>
      </c>
      <c r="O198" s="36" t="str">
        <v>Y</v>
      </c>
      <c r="P198" s="37" t="str">
        <v>Y</v>
      </c>
      <c r="Q198" s="53" t="str">
        <v> /**
 * 充电小门开关设置
 * PermissionRequest(permissions = { zone.permission.vehicle.BMS_SET })
 * @param value 设置值 {@link ChargeDoorControl}
 * @return resultCode 返回结果码 {@link ResultCode}
 */
 int setChargeDoorControl(@ChargeDoorControl int value);
 0x0:"0_No_Request"
 0x1:"1_Request"</v>
      </c>
      <c r="S198" s="32" t="inlineStr">
        <is>
          <r>
            <t>@陈果果</t>
          </r>
        </is>
      </c>
      <c r="T198" s="26" t="str">
        <v>Y</v>
      </c>
      <c r="U198" s="27">
        <v>4.22</v>
      </c>
      <c r="V198" s="15" t="str">
        <v>Y</v>
      </c>
      <c r="Y198" s="15" t="str">
        <v>Y</v>
      </c>
      <c r="AA198" s="96" t="str">
        <v>目前与开发沟通该车型这个不需要上传，未上传认为通过</v>
      </c>
    </row>
    <row r="199" spans="1:27">
      <c r="A199" s="15" t="str">
        <v>车控功能</v>
      </c>
      <c r="H199" s="15" t="str">
        <v>type</v>
      </c>
      <c r="I199" s="15" t="str">
        <v>类型</v>
      </c>
      <c r="J199" s="15" t="str">
        <v>enum</v>
      </c>
      <c r="K199" s="18" t="str">
        <v>快充，慢充，二合一</v>
      </c>
      <c r="L199" s="16">
        <v>1</v>
      </c>
      <c r="M199" s="16">
        <v>1</v>
      </c>
      <c r="N199" s="56" t="str">
        <v>Y</v>
      </c>
      <c r="O199" s="36" t="str">
        <v>N（充电盖统一开关，无快慢区分，快慢可参考充电状态信息）</v>
      </c>
      <c r="P199" s="37" t="str">
        <v>NA</v>
      </c>
      <c r="S199" s="32" t="inlineStr">
        <is>
          <r>
            <t>@陈果果</t>
          </r>
        </is>
      </c>
      <c r="T199" s="15" t="str">
        <v>Y</v>
      </c>
      <c r="V199" s="15" t="str">
        <v>Y</v>
      </c>
      <c r="Y199" s="15" t="str">
        <v>Y</v>
      </c>
      <c r="AA199" s="96" t="str">
        <v>目前与开发沟通该车型这个不需要上传，未上传认为通过</v>
      </c>
    </row>
    <row r="200" spans="1:25">
      <c r="A200" s="15" t="str">
        <v>车控功能</v>
      </c>
      <c r="B200" s="15" t="str">
        <v>充电</v>
      </c>
      <c r="C200" s="15" t="str">
        <v>vehicle_control_0010</v>
      </c>
      <c r="F200" s="15" t="str">
        <v>充电状态</v>
      </c>
      <c r="G200" s="15" t="str">
        <v>低频变化</v>
      </c>
      <c r="H200" s="15" t="str">
        <v>status</v>
      </c>
      <c r="I200" s="15" t="str">
        <v>状态</v>
      </c>
      <c r="J200" s="15" t="str">
        <v>enum</v>
      </c>
      <c r="K200" s="18" t="str">
        <v>充电中，未充电</v>
      </c>
      <c r="M200" s="16">
        <v>1</v>
      </c>
      <c r="N200" s="15" t="str">
        <v>Y</v>
      </c>
      <c r="O200" s="36" t="str">
        <v>Y</v>
      </c>
      <c r="P200" s="37" t="str">
        <v>Y</v>
      </c>
      <c r="Q200" s="53" t="str">
        <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v>
      </c>
      <c r="S200" s="32" t="inlineStr">
        <is>
          <r>
            <t>@陈果果</t>
          </r>
        </is>
      </c>
      <c r="T200" s="26" t="str">
        <v>Y</v>
      </c>
      <c r="U200" s="27">
        <v>4.23</v>
      </c>
      <c r="V200" s="15" t="str">
        <v>Y</v>
      </c>
      <c r="Y200" s="15" t="str">
        <v>Y</v>
      </c>
    </row>
    <row r="201" spans="1:25">
      <c r="A201" s="15" t="str">
        <v>车控功能</v>
      </c>
      <c r="H201" s="15" t="str">
        <v>type</v>
      </c>
      <c r="I201" s="15" t="str">
        <v>类型</v>
      </c>
      <c r="J201" s="15" t="str">
        <v>enum</v>
      </c>
      <c r="K201" s="18" t="str">
        <v>快充，慢充</v>
      </c>
      <c r="M201" s="16">
        <v>1</v>
      </c>
      <c r="N201" s="15" t="str">
        <v>Y</v>
      </c>
      <c r="O201" s="36" t="str">
        <v>Y</v>
      </c>
      <c r="P201" s="37" t="str">
        <v>Y</v>
      </c>
      <c r="Q201" s="53" t="str">
        <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v>
      </c>
      <c r="S201" s="32" t="inlineStr">
        <is>
          <r>
            <t>@陈果果</t>
          </r>
        </is>
      </c>
      <c r="T201" s="26" t="str">
        <v>Y</v>
      </c>
      <c r="U201" s="27">
        <v>4.23</v>
      </c>
      <c r="V201" s="15" t="str">
        <v>Y</v>
      </c>
      <c r="Y201" s="15" t="str">
        <v>Y</v>
      </c>
    </row>
    <row r="202" spans="1:25">
      <c r="A202" s="15" t="str">
        <v>车控功能</v>
      </c>
      <c r="H202" s="15" t="str">
        <v>duration</v>
      </c>
      <c r="I202" s="15" t="str">
        <v>剩余充电时长</v>
      </c>
      <c r="J202" s="15" t="str">
        <v>str</v>
      </c>
      <c r="M202" s="16">
        <v>1</v>
      </c>
      <c r="N202" s="15" t="str">
        <v>Y</v>
      </c>
      <c r="O202" s="36" t="str">
        <v>Y</v>
      </c>
      <c r="P202" s="37" t="str">
        <v>Y</v>
      </c>
      <c r="Q202" s="53" t="str">
        <v> /**
 * 充电剩余时间获取
 * PermissionRequest(permissions = { zone.permission.vehicle.DEVICE_GET })
 * @param result {@link IntResult#getResult} 0~1023 (min)
 * @return resultCode 返回结果码 {@link ResultCode}
 */
 int getChargeRemainTime(@NonNull IntResult result);</v>
      </c>
      <c r="S202" s="32" t="inlineStr">
        <is>
          <r>
            <t>@陈果果</t>
          </r>
        </is>
      </c>
      <c r="T202" s="26" t="str">
        <v>Y</v>
      </c>
      <c r="U202" s="27">
        <v>4.23</v>
      </c>
      <c r="V202" s="15" t="str">
        <v>Y</v>
      </c>
      <c r="Y202" s="15" t="str">
        <v>Y</v>
      </c>
    </row>
    <row r="203" spans="1:27">
      <c r="A203" s="15" t="str">
        <v>车控功能</v>
      </c>
      <c r="B203" s="15" t="str">
        <v>充电</v>
      </c>
      <c r="C203" s="15" t="str">
        <v>vehicle_control_0011</v>
      </c>
      <c r="F203" s="15" t="str">
        <v>充电设置</v>
      </c>
      <c r="G203" s="15" t="str">
        <v>低频变化</v>
      </c>
      <c r="H203" s="15" t="str">
        <v>limit</v>
      </c>
      <c r="I203" s="15" t="str">
        <v>充电上限</v>
      </c>
      <c r="J203" s="15" t="str">
        <v>str</v>
      </c>
      <c r="M203" s="16">
        <v>1</v>
      </c>
      <c r="N203" s="15" t="str">
        <v>Y</v>
      </c>
      <c r="O203" s="36" t="str">
        <v>Y</v>
      </c>
      <c r="P203" s="37" t="str">
        <v>Y</v>
      </c>
      <c r="Q203" s="53" t="str">
        <v> /**
 * 充电最大电流限制获取
 * PermissionRequest(permissions = { zone.permission.vehicle.DEVICE_GET })
 * @param result {@link IntResult#getResult} {@link ChargeAcThreshold}
 * @return resultCode 返回结果码 {@link ResultCode}
 */
 int getChargeAlertCurrentMaxThreshold(@NonNull IntResult result);</v>
      </c>
      <c r="S203" s="32" t="inlineStr">
        <is>
          <r>
            <t>@陈果果</t>
          </r>
        </is>
      </c>
      <c r="T203" s="26" t="str">
        <v>Y</v>
      </c>
      <c r="U203" s="27">
        <v>4.23</v>
      </c>
      <c r="V203" s="15" t="str">
        <v>Y</v>
      </c>
      <c r="Y203" s="15" t="str">
        <v>B</v>
      </c>
      <c r="AA203" s="96" t="str">
        <v>未找到设置的页面</v>
      </c>
    </row>
    <row r="204" spans="1:22">
      <c r="A204" s="15" t="str">
        <v>车控功能</v>
      </c>
      <c r="H204" s="15" t="str">
        <v>capacity</v>
      </c>
      <c r="I204" s="15" t="str">
        <v>最大电量</v>
      </c>
      <c r="J204" s="15" t="str">
        <v>str</v>
      </c>
      <c r="M204" s="16">
        <v>1</v>
      </c>
      <c r="N204" s="56" t="str">
        <v>N</v>
      </c>
      <c r="O204" s="36" t="str">
        <v>N</v>
      </c>
      <c r="P204" s="37" t="str">
        <v>NA</v>
      </c>
      <c r="Q204" s="53" t="str">
        <v> /**
 * 电池电量度数获取
 * PermissionRequest(permissions = { zone.permission.vehicle.DEVICE_GET })
 * @param result {@link IntResult#getResult}:0.0~100.0 (kwh)
 * @return resultCode 返回结果码 {@link ResultCode}
 */
 int getBmsPackSocKWh(@NonNull FloatResult result);</v>
      </c>
      <c r="S204" s="32" t="inlineStr">
        <is>
          <r>
            <t>@陈果果</t>
          </r>
        </is>
      </c>
      <c r="U204" s="27">
        <v>4.23</v>
      </c>
      <c r="V204" s="75" t="str">
        <v>NA</v>
      </c>
    </row>
    <row r="205" spans="1:25">
      <c r="A205" s="15" t="str">
        <v>车控功能</v>
      </c>
      <c r="B205" s="15" t="str">
        <v>充电</v>
      </c>
      <c r="C205" s="15" t="str">
        <v>vehicle_control_0012</v>
      </c>
      <c r="F205" s="45" t="str">
        <v>续航状态</v>
      </c>
      <c r="G205" s="15" t="str">
        <v>高频变化</v>
      </c>
      <c r="H205" s="45" t="str">
        <v>percentage_ev</v>
      </c>
      <c r="I205" s="45" t="str">
        <v>剩余电量</v>
      </c>
      <c r="J205" s="45" t="str">
        <v>str</v>
      </c>
      <c r="M205" s="85">
        <v>1</v>
      </c>
      <c r="N205" s="15" t="str">
        <v>Y</v>
      </c>
      <c r="O205" s="36" t="str">
        <v>Y 剩余电量百分比</v>
      </c>
      <c r="P205" s="37" t="str">
        <v>Y</v>
      </c>
      <c r="Q205" s="53" t="str">
        <v> /**
 * 电池电量百分比获取
 * PermissionRequest(permissions = { zone.permission.vehicle.DEVICE_GET })
 * @param result {@link IntResult#getResult}:0.0-100.0%
 * @return resultCode 返回结果码 {@link ResultCode}
 */
 int getBmsPackSocPercent(@NonNull FloatResult result);</v>
      </c>
      <c r="S205" s="32" t="inlineStr">
        <is>
          <r>
            <t>@尹泽陆</t>
          </r>
        </is>
      </c>
      <c r="T205" s="26" t="str">
        <v>Y</v>
      </c>
      <c r="V205" s="18" t="str">
        <v>Y</v>
      </c>
      <c r="Y205" s="15" t="str">
        <v>Y</v>
      </c>
    </row>
    <row r="206" spans="1:27">
      <c r="A206" s="15" t="str">
        <v>车控功能</v>
      </c>
      <c r="H206" s="45" t="str">
        <v>percentage_gas</v>
      </c>
      <c r="I206" s="45" t="str">
        <v>剩余油量</v>
      </c>
      <c r="J206" s="45" t="str">
        <v>str</v>
      </c>
      <c r="M206" s="85">
        <v>1</v>
      </c>
      <c r="N206" s="15" t="str">
        <v>Y</v>
      </c>
      <c r="O206" s="36" t="str">
        <v>Y （增程车型）</v>
      </c>
      <c r="P206" s="37" t="str">
        <v>Y</v>
      </c>
      <c r="Q206" s="53" t="str">
        <v> /**
 * 油量获取
 * @param result {@link IntResult#getResult}
 * @return resultCode 返回结果码 {@link ResultCode}
 */
 int getClstrDspdFuel(@NonNull IntResult result);
 /**
 * 油量变化通知
 *
 * @param result &lt;br&gt;
 * {@link IntResult#getCode()} {@link ResultCode}
 */
 default void onClstrDspdFuelChanged(IntResult result) {
 // TODO: 21-4-1 logic will be implemented by client.
 }</v>
      </c>
      <c r="S206" s="32" t="inlineStr">
        <is>
          <r>
            <t>@尹泽陆</t>
          </r>
        </is>
      </c>
      <c r="T206" s="26" t="str">
        <v>Y</v>
      </c>
      <c r="V206" s="18" t="str">
        <v>Y</v>
      </c>
      <c r="Y206" s="15" t="str">
        <v>N</v>
      </c>
      <c r="AA206" s="15" t="str">
        <v>油量相关信息未上报，上汽问题</v>
      </c>
    </row>
    <row r="207" spans="1:25">
      <c r="A207" s="15" t="str">
        <v>车控功能</v>
      </c>
      <c r="H207" s="45" t="str">
        <v>mileage_total</v>
      </c>
      <c r="I207" s="45" t="str">
        <v>剩余总续航里程</v>
      </c>
      <c r="J207" s="45" t="str">
        <v>str</v>
      </c>
      <c r="M207" s="85">
        <v>1</v>
      </c>
      <c r="N207" s="15" t="str">
        <v>Y</v>
      </c>
      <c r="O207" s="36" t="str">
        <v>Y</v>
      </c>
      <c r="P207" s="37" t="str">
        <v>Y</v>
      </c>
      <c r="Q207" s="36" t="str">
        <v>通过油量和电量剩余续航计算</v>
      </c>
      <c r="S207" s="32" t="inlineStr">
        <is>
          <r>
            <t>@尹泽陆</t>
          </r>
        </is>
      </c>
      <c r="T207" s="26" t="str">
        <v>Y</v>
      </c>
      <c r="V207" s="18" t="str">
        <v>Y</v>
      </c>
      <c r="Y207" s="15" t="str">
        <v>Y</v>
      </c>
    </row>
    <row r="208" spans="1:25">
      <c r="A208" s="15" t="str">
        <v>车控功能</v>
      </c>
      <c r="H208" s="45" t="str">
        <v>mileage_ev</v>
      </c>
      <c r="I208" s="45" t="str">
        <v>剩余电续航里程</v>
      </c>
      <c r="J208" s="45" t="str">
        <v>str</v>
      </c>
      <c r="M208" s="85">
        <v>1</v>
      </c>
      <c r="N208" s="15" t="str">
        <v>Y</v>
      </c>
      <c r="O208" s="36" t="str">
        <v>Y</v>
      </c>
      <c r="P208" s="37" t="str">
        <v>Y</v>
      </c>
      <c r="Q208" s="53" t="str">
        <v> /**
 * 当前续驶里程获取
 * PermissionRequest(permissions = { zone.permission.vehicle.DEVICE_GET })
 * @param result {@link IntResult#getResult} 0-2046 (km)
 * @return resultCode 返回结果码 {@link ResultCode}
 */
 int getVehicleElectricRange(@NonNull IntResult result);</v>
      </c>
      <c r="S208" s="32" t="inlineStr">
        <is>
          <r>
            <t>@尹泽陆</t>
          </r>
        </is>
      </c>
      <c r="T208" s="26" t="str">
        <v>Y</v>
      </c>
      <c r="V208" s="18" t="str">
        <v>Y</v>
      </c>
      <c r="Y208" s="15" t="str">
        <v>Y</v>
      </c>
    </row>
    <row r="209" spans="1:25">
      <c r="A209" s="15" t="str">
        <v>车控功能</v>
      </c>
      <c r="H209" s="45" t="str">
        <v>mileage_gas</v>
      </c>
      <c r="I209" s="45" t="str">
        <v>剩余油续航里程</v>
      </c>
      <c r="J209" s="45" t="str">
        <v>str</v>
      </c>
      <c r="M209" s="85">
        <v>1</v>
      </c>
      <c r="N209" s="15" t="str">
        <v>Y</v>
      </c>
      <c r="O209" s="36" t="str">
        <v>Y （增程车型）</v>
      </c>
      <c r="P209" s="37" t="str">
        <v>Y</v>
      </c>
      <c r="Q209" s="53" t="str">
        <v> /**
 * 纯油剩余续航里程获取
 * PermissionRequest(permissions = { zone.permission.vehicle.DEVICE_GET })
 * @param result {@link FloatResult#getResult} 0.0-2046.0 (km)
 * @return resultCode 返回结果码 {@link ResultCode}
 */
 int getVehicleFuelRange(@NonNull FloatResult result);</v>
      </c>
      <c r="S209" s="32" t="inlineStr">
        <is>
          <r>
            <t>@尹泽陆</t>
          </r>
        </is>
      </c>
      <c r="T209" s="26" t="str">
        <v>Y</v>
      </c>
      <c r="V209" s="18" t="str">
        <v>Y</v>
      </c>
      <c r="Y209" s="15" t="str">
        <v>Y</v>
      </c>
    </row>
    <row r="210" spans="1:25">
      <c r="A210" s="15" t="str">
        <v>车控功能</v>
      </c>
      <c r="B210" s="15" t="str">
        <v>空调</v>
      </c>
      <c r="C210" s="15" t="str">
        <v>vehicle_control_0013</v>
      </c>
      <c r="F210" s="15" t="str">
        <v>车内空调状态</v>
      </c>
      <c r="G210" s="15" t="str">
        <v>低频变化</v>
      </c>
      <c r="H210" s="15" t="str">
        <v>switch</v>
      </c>
      <c r="I210" s="15" t="str">
        <v>开关</v>
      </c>
      <c r="J210" s="15" t="str">
        <v>enum</v>
      </c>
      <c r="K210" s="18" t="str">
        <v>on，off</v>
      </c>
      <c r="M210" s="16">
        <v>1</v>
      </c>
      <c r="N210" s="15" t="str">
        <v>Y</v>
      </c>
      <c r="O210" s="36" t="str">
        <v>Y</v>
      </c>
      <c r="P210" s="37" t="str">
        <v>Y</v>
      </c>
      <c r="Q210" s="36" t="str">
        <v> 空调开关：
 HvacCallbackFlag.HVAC_POWER
 int setHvacPowerStatus(@HvacPosition int pos, @NonNull SwitchStatus status);
 int getHvacPowerStatus(@HvacPosition int pos, @NonNull IntResult result)
 default void onHvacPowerStatusChanged(int pos, @NonNull IntResult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v>
      </c>
      <c r="S210" s="32" t="inlineStr">
        <is>
          <r>
            <t>@赵明珠</t>
          </r>
        </is>
      </c>
      <c r="T210" s="26" t="str">
        <v>Y</v>
      </c>
      <c r="U210" s="18" t="str">
        <v>/</v>
      </c>
      <c r="V210" s="15" t="str">
        <v>Y</v>
      </c>
      <c r="X210" s="15" t="str">
        <v>on，off</v>
      </c>
      <c r="Y210" s="15" t="str">
        <v>Y</v>
      </c>
    </row>
    <row r="211" spans="1:25">
      <c r="A211" s="15" t="str">
        <v>车控功能</v>
      </c>
      <c r="H211" s="15" t="str">
        <v>position</v>
      </c>
      <c r="I211" s="15" t="str">
        <v>位置</v>
      </c>
      <c r="J211" s="15" t="str">
        <v>str</v>
      </c>
      <c r="K211" s="58" t="str">
        <v>主驾，副驾，二排左，二排中，二排右，三排左，三排中，三排右</v>
      </c>
      <c r="L211" s="16">
        <v>1</v>
      </c>
      <c r="M211" s="16">
        <v>1</v>
      </c>
      <c r="N211" s="56" t="str">
        <v>Y</v>
      </c>
      <c r="O211" s="36" t="str">
        <v>N（空调统一开关，不区分位置）</v>
      </c>
      <c r="P211" s="37" t="str">
        <v>NA</v>
      </c>
      <c r="S211" s="32" t="inlineStr">
        <is>
          <r>
            <t>@赵明珠</t>
          </r>
        </is>
      </c>
      <c r="T211" s="15" t="str">
        <v>Y</v>
      </c>
      <c r="U211" s="18" t="str">
        <v>/</v>
      </c>
      <c r="V211" s="15" t="str">
        <v>Y</v>
      </c>
      <c r="X211" s="15" t="str">
        <v>主驾、副驾</v>
      </c>
      <c r="Y211" s="15" t="str">
        <v>Y</v>
      </c>
    </row>
    <row r="212" spans="1:25">
      <c r="A212" s="15" t="str">
        <v>车控功能</v>
      </c>
      <c r="H212" s="15" t="str">
        <v>temperature</v>
      </c>
      <c r="I212" s="15" t="str">
        <v>温度</v>
      </c>
      <c r="J212" s="15" t="str">
        <v>str</v>
      </c>
      <c r="M212" s="16">
        <v>1</v>
      </c>
      <c r="N212" s="15" t="str">
        <v>Y</v>
      </c>
      <c r="O212" s="36" t="str">
        <v>Y</v>
      </c>
      <c r="P212" s="37" t="str">
        <v>Y</v>
      </c>
      <c r="Q212" s="36" t="str">
        <v> 温度设置：
 HvacCallbackFlag.SEAT_TEMPE
 int setTemperature(@HvacPosition int seatPosition, float temperature);
 int getTemperature(@HvacPosition int seatPosition, @NonNull FloatResult result);
 default void onTemperatureChanged(int cab, FloatResult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v>
      </c>
      <c r="S212" s="32" t="inlineStr">
        <is>
          <r>
            <t>@赵明珠</t>
          </r>
        </is>
      </c>
      <c r="T212" s="26" t="str">
        <v>Y</v>
      </c>
      <c r="U212" s="18" t="str">
        <v>/</v>
      </c>
      <c r="V212" s="15" t="str">
        <v>Y</v>
      </c>
      <c r="X212" s="15" t="str">
        <v>24度</v>
      </c>
      <c r="Y212" s="15" t="str">
        <v>Y</v>
      </c>
    </row>
    <row r="213" spans="1:25">
      <c r="A213" s="15" t="str">
        <v>车控功能</v>
      </c>
      <c r="H213" s="15" t="str">
        <v>mode</v>
      </c>
      <c r="I213" s="15" t="str">
        <v>模式</v>
      </c>
      <c r="J213" s="15" t="str">
        <v>str</v>
      </c>
      <c r="K213" s="18" t="str">
        <v>AUTO模式</v>
      </c>
      <c r="M213" s="16">
        <v>1</v>
      </c>
      <c r="N213" s="15" t="str">
        <v>Y</v>
      </c>
      <c r="O213" s="36" t="str">
        <v>Y</v>
      </c>
      <c r="P213" s="37" t="str">
        <v>Y</v>
      </c>
      <c r="Q213" s="36" t="str">
        <v>AUTO模式设置：
HvacCallbackFlag.AUTO_MODE
int getAutoModeStatus(int var1, @NonNull IntResult var2)
int setAutoModeStatus(int var1, @NonNull SwitchStatus var2);
default void onAutoModeStatusChanged(pos: Int, result: IntResult)</v>
      </c>
      <c r="S213" s="32" t="inlineStr">
        <is>
          <r>
            <t>@赵明珠</t>
          </r>
        </is>
      </c>
      <c r="T213" s="26" t="str">
        <v>Y</v>
      </c>
      <c r="U213" s="18" t="str">
        <v>/</v>
      </c>
      <c r="V213" s="15" t="str">
        <v>Y</v>
      </c>
      <c r="X213" s="15" t="str">
        <v>自动、手动</v>
      </c>
      <c r="Y213" s="15" t="str">
        <v>Y</v>
      </c>
    </row>
    <row r="214" spans="1:25">
      <c r="A214" s="15" t="str">
        <v>车控功能</v>
      </c>
      <c r="H214" s="15" t="str">
        <v>states</v>
      </c>
      <c r="I214" s="15" t="str">
        <v>状态</v>
      </c>
      <c r="J214" s="15" t="str">
        <v>str</v>
      </c>
      <c r="K214" s="18" t="str">
        <v>（手动空调风量档位）</v>
      </c>
      <c r="M214" s="16">
        <v>1</v>
      </c>
      <c r="N214" s="56" t="str">
        <v>Y</v>
      </c>
      <c r="O214" s="36" t="str">
        <v>Y（手动调节1~11挡）</v>
      </c>
      <c r="P214" s="37" t="str">
        <v>Y</v>
      </c>
      <c r="Q214" s="36" t="str">
        <v> 风量设置：
 /** onBlowerLevelChanged回调注册Flag */
 HvacCallbackFlag.BLOWING_LEVEL,
 int setBlowerLevel(@HvacPosition int pos, int level)
 int getBlowerLevel(@HvacPosition int pos, @NonNull IntResult result)
 default void onBlowerLevelChanged(int pos, IntResult result) 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v>
      </c>
      <c r="S214" s="32" t="inlineStr">
        <is>
          <r>
            <t>@赵明珠</t>
          </r>
        </is>
      </c>
      <c r="T214" s="26" t="str">
        <v>Y</v>
      </c>
      <c r="U214" s="18" t="str">
        <v>/</v>
      </c>
      <c r="V214" s="15" t="str">
        <v>Y</v>
      </c>
      <c r="X214" s="15" t="str">
        <v>1档～11档</v>
      </c>
      <c r="Y214" s="15" t="str">
        <v>Y</v>
      </c>
    </row>
    <row r="215" spans="1:25">
      <c r="A215" s="15" t="str">
        <v>车控功能</v>
      </c>
      <c r="H215" s="15" t="str">
        <v>states</v>
      </c>
      <c r="I215" s="15" t="str">
        <v>状态</v>
      </c>
      <c r="J215" s="15" t="str">
        <v>str</v>
      </c>
      <c r="K215" s="18" t="str">
        <v>（自动空调风量档位）</v>
      </c>
      <c r="M215" s="16">
        <v>1</v>
      </c>
      <c r="N215" s="56" t="str">
        <v>Y</v>
      </c>
      <c r="O215" s="36" t="str">
        <v>Y（自动风量支持：轻柔/标准/强劲）</v>
      </c>
      <c r="P215" s="37" t="str">
        <v>Y</v>
      </c>
      <c r="Q215" s="36" t="str">
        <v>自动风量模式设置：
HvacCallbackFlag.AUTO_BLOW_LEVEL
int getAutoBlowLevel(@NonNull IntResult result);
int setAutoBlowLevel(@AutoBlowLevel int level);
default void onAutoBlowLevelChanged(IntResult result)</v>
      </c>
      <c r="S215" s="32" t="inlineStr">
        <is>
          <r>
            <t>@赵明珠</t>
          </r>
        </is>
      </c>
      <c r="T215" s="26" t="str">
        <v>Y</v>
      </c>
      <c r="U215" s="18" t="str">
        <v>/</v>
      </c>
      <c r="V215" s="15" t="str">
        <v>Y</v>
      </c>
      <c r="X215" s="15" t="str">
        <v>低档、中档、高档</v>
      </c>
      <c r="Y215" s="15" t="str">
        <v>Y</v>
      </c>
    </row>
    <row r="216" spans="1:25">
      <c r="A216" s="15" t="str">
        <v>车控功能</v>
      </c>
      <c r="B216" s="15" t="str">
        <v>空调</v>
      </c>
      <c r="C216" s="15" t="str">
        <v>vehicle_control_0014</v>
      </c>
      <c r="F216" s="15" t="str">
        <v>空调风向模式</v>
      </c>
      <c r="G216" s="15" t="str">
        <v>低频变化</v>
      </c>
      <c r="H216" s="15" t="str">
        <v>switch</v>
      </c>
      <c r="I216" s="15" t="str">
        <v>模式选项</v>
      </c>
      <c r="J216" s="15" t="str">
        <v>enum</v>
      </c>
      <c r="K216" s="18" t="str">
        <v>吹头，吹脚，吹脸，吹头吹脚，吹玻璃，吹头吹玻璃，吹头吹脚吹玻璃，吹脚吹玻璃</v>
      </c>
      <c r="M216" s="16">
        <v>1</v>
      </c>
      <c r="N216" s="15" t="str">
        <v>Y</v>
      </c>
      <c r="O216" s="36" t="str">
        <v>Y</v>
      </c>
      <c r="P216" s="37" t="str">
        <v>Y</v>
      </c>
      <c r="Q216" s="36" t="str">
        <v>
风向模式：
HvacCallbackFlag.AIRFLOW_MODE
int getAirflowMode(@HvacPosition int pos, @NonNull IntResult result)
int setAirflowMode(@HvacPosition int pos, @HvacAirflowMode int mode);
default void onAirflowModeChanged(int pos, IntResult result)
 public @interface HvacAirflowMode {
 /**FACE = 0 ：吹脸*/
 int FACE = 0;
 /**FACE_FOOT = 1 ：吹脸吹脚*/
 int FACE_FOOT = 1;
 /**FOOT = 2 ：吹脚*/
 int FOOT = 2;
 /**FOOT_DEFROST = 3 ：吹脚吹窗*/
 int FOOT_DEFROST = 3;
 /**DEFROST = 4 ：吹窗*/
 int DEFROST = 4;
 /**FACE_FOOT_DEFROST = 5 ：吹脸吹脚吹窗*/
 int FACE_FOOT_DEFROST = 5;
 /**FACE_DEFROST = 6 ：吹脸吹窗*/
 int FACE_DEFROST = 6;
 /**COMMAND_AIR_DISTRIBUTE_MODE = 7 ：自动模式*/
 int COMMAND_AIR_DISTRIBUTE_MODE = 7;
 }</v>
      </c>
      <c r="S216" s="32" t="inlineStr">
        <is>
          <r>
            <t>@赵明珠</t>
          </r>
        </is>
      </c>
      <c r="T216" s="26" t="str">
        <v>Y</v>
      </c>
      <c r="U216" s="18" t="str">
        <v>/</v>
      </c>
      <c r="V216" s="15" t="str">
        <v>Y</v>
      </c>
      <c r="X216" s="15" t="str">
        <v>吹头，吹脚，吹脸，吹头吹脚，吹玻璃，吹头吹玻璃，吹头吹脚吹玻璃，吹脚吹玻璃</v>
      </c>
      <c r="Y216" s="15" t="str">
        <v>Y</v>
      </c>
    </row>
    <row r="217" spans="1:24">
      <c r="A217" s="15" t="str">
        <v>车控功能</v>
      </c>
      <c r="H217" s="15" t="str">
        <v>position</v>
      </c>
      <c r="I217" s="15" t="str">
        <v>位置</v>
      </c>
      <c r="J217" s="15" t="str">
        <v>str</v>
      </c>
      <c r="K217" s="58" t="str">
        <v>主驾，副驾，二排左，二排中，二排右，三排左，三排中，三排右</v>
      </c>
      <c r="L217" s="16">
        <v>1</v>
      </c>
      <c r="M217" s="16">
        <v>1</v>
      </c>
      <c r="N217" s="56" t="str">
        <v>Y</v>
      </c>
      <c r="O217" s="36" t="str">
        <v>N</v>
      </c>
      <c r="P217" s="37" t="str">
        <v>NA</v>
      </c>
      <c r="S217" s="32" t="inlineStr">
        <is>
          <r>
            <t>@赵明珠</t>
          </r>
        </is>
      </c>
      <c r="V217" s="15" t="str">
        <v>N</v>
      </c>
      <c r="X217" s="45" t="str">
        <v>不支持</v>
      </c>
    </row>
    <row r="218" spans="1:25">
      <c r="A218" s="15" t="str">
        <v>车控功能</v>
      </c>
      <c r="B218" s="15" t="str">
        <v>空调</v>
      </c>
      <c r="C218" s="15" t="str">
        <v>vehicle_control_0015</v>
      </c>
      <c r="F218" s="15" t="str">
        <v>空调循环模式</v>
      </c>
      <c r="G218" s="15" t="str">
        <v>低频变化</v>
      </c>
      <c r="H218" s="15" t="str">
        <v>switch</v>
      </c>
      <c r="I218" s="15" t="str">
        <v>模式选项</v>
      </c>
      <c r="J218" s="15" t="str">
        <v>enum</v>
      </c>
      <c r="K218" s="18" t="str">
        <v>内循环，外循环，自动循环</v>
      </c>
      <c r="M218" s="16">
        <v>1</v>
      </c>
      <c r="N218" s="15" t="str">
        <v>Y</v>
      </c>
      <c r="O218" s="36" t="str">
        <v>Y</v>
      </c>
      <c r="P218" s="37" t="str">
        <v>Y</v>
      </c>
      <c r="Q218" s="36" t="str">
        <v>循环模式：
HvacCallbackFlag.CYCLE_MODE
int getCirculationMode(@NonNull IntResult result)
int setCirculationMode(int mode)
default void onCirculationModeChanged(IntResult result) </v>
      </c>
      <c r="S218" s="32" t="inlineStr">
        <is>
          <r>
            <t>@赵明珠</t>
          </r>
        </is>
      </c>
      <c r="T218" s="26" t="str">
        <v>Y</v>
      </c>
      <c r="U218" s="18" t="str">
        <v>/</v>
      </c>
      <c r="V218" s="15" t="str">
        <v>Y</v>
      </c>
      <c r="X218" s="15" t="str">
        <v>内循环，外循环，自动循环</v>
      </c>
      <c r="Y218" s="15" t="str">
        <v>Y</v>
      </c>
    </row>
    <row r="219" spans="1:25">
      <c r="A219" s="15" t="str">
        <v>车控功能</v>
      </c>
      <c r="B219" s="15" t="str">
        <v>空调</v>
      </c>
      <c r="C219" s="15" t="str">
        <v>vehicle_control_0016</v>
      </c>
      <c r="F219" s="15" t="str">
        <v>空调制冷开关状态</v>
      </c>
      <c r="G219" s="15" t="str">
        <v>低频变化</v>
      </c>
      <c r="H219" s="15" t="str">
        <v>switch</v>
      </c>
      <c r="I219" s="15" t="str">
        <v>开关</v>
      </c>
      <c r="J219" s="15" t="str">
        <v>enum</v>
      </c>
      <c r="K219" s="18" t="str">
        <v>on，off</v>
      </c>
      <c r="M219" s="16">
        <v>1</v>
      </c>
      <c r="N219" s="15" t="str">
        <v>Y</v>
      </c>
      <c r="O219" s="36" t="str">
        <v>Y</v>
      </c>
      <c r="P219" s="37" t="str">
        <v>Y</v>
      </c>
      <c r="Q219" s="36" t="str">
        <v>AC 制冷：
HvacCallbackFlag.AC
int getAcStatus(int var1, @NonNull IntResult var2)
int setAcStatus(int var1, @NonNull SwitchStatus var2);
default void onAcStatusChanged(IntResult result) </v>
      </c>
      <c r="S219" s="32" t="inlineStr">
        <is>
          <r>
            <t>@赵明珠</t>
          </r>
        </is>
      </c>
      <c r="T219" s="26" t="str">
        <v>Y</v>
      </c>
      <c r="U219" s="18" t="str">
        <v>/</v>
      </c>
      <c r="V219" s="15" t="str">
        <v>Y</v>
      </c>
      <c r="X219" s="15" t="str">
        <v>on，off</v>
      </c>
      <c r="Y219" s="15" t="str">
        <v>Y</v>
      </c>
    </row>
    <row r="220" spans="1:25">
      <c r="A220" s="15" t="str">
        <v>车控功能</v>
      </c>
      <c r="B220" s="15" t="str">
        <v>空调</v>
      </c>
      <c r="C220" s="15" t="str">
        <v>vehicle_control_0017</v>
      </c>
      <c r="F220" s="15" t="str">
        <v>除霜除雾开关状态</v>
      </c>
      <c r="G220" s="15" t="str">
        <v>低频变化</v>
      </c>
      <c r="H220" s="15" t="str">
        <v>switch</v>
      </c>
      <c r="I220" s="15" t="str">
        <v>开关</v>
      </c>
      <c r="J220" s="15" t="str">
        <v>enum</v>
      </c>
      <c r="K220" s="18" t="str">
        <v>on，off</v>
      </c>
      <c r="M220" s="16">
        <v>1</v>
      </c>
      <c r="N220" s="56" t="str">
        <v>Y</v>
      </c>
      <c r="O220" s="36" t="str">
        <v>Y</v>
      </c>
      <c r="P220" s="37" t="str">
        <v>Y</v>
      </c>
      <c r="Q220" s="36" t="str">
        <v>除霜除雾：
HvacCallbackFlag.DEFOGGING
int setDefoggingStatus(@AirConditionRow int row @NonNull SwitchStatus status)
int getDefoggingStatus(@AirConditionRow int row @NonNull SwitchStatus status)
void onDefoggingStatusChanged(@AirConditionRow int row @NonNull SwitchStatus status)</v>
      </c>
      <c r="S220" s="32" t="inlineStr">
        <is>
          <r>
            <t>@赵明珠</t>
          </r>
        </is>
      </c>
      <c r="T220" s="26" t="str">
        <v>Y</v>
      </c>
      <c r="U220" s="18" t="str">
        <v>/</v>
      </c>
      <c r="V220" s="15" t="str">
        <v>Y</v>
      </c>
      <c r="X220" s="15" t="str">
        <v>on，off</v>
      </c>
      <c r="Y220" s="15" t="str">
        <v>Y</v>
      </c>
    </row>
    <row r="221" spans="1:25">
      <c r="A221" s="15" t="str">
        <v>车控功能</v>
      </c>
      <c r="H221" s="15" t="str">
        <v>position</v>
      </c>
      <c r="I221" s="15" t="str">
        <v>位置</v>
      </c>
      <c r="J221" s="15" t="str">
        <v>enum</v>
      </c>
      <c r="K221" s="18" t="str">
        <v>前，后</v>
      </c>
      <c r="L221" s="16">
        <v>1</v>
      </c>
      <c r="M221" s="16">
        <v>1</v>
      </c>
      <c r="N221" s="56" t="str">
        <v>Y</v>
      </c>
      <c r="O221" s="36" t="str">
        <v>N（仅支持前除霜除雾，支持后视镜联动后风窗加热）</v>
      </c>
      <c r="P221" s="37" t="str">
        <v>NA</v>
      </c>
      <c r="Q221" s="36" t="str">
        <v>前除霜HvacPosition.FRONT_ROW
后除雾HvacPosition.REAR_ROW</v>
      </c>
      <c r="S221" s="32" t="inlineStr">
        <is>
          <r>
            <t>@赵明珠</t>
          </r>
        </is>
      </c>
      <c r="T221" s="15" t="str">
        <v>Y</v>
      </c>
      <c r="U221" s="18" t="str">
        <v>/</v>
      </c>
      <c r="V221" s="15" t="str">
        <v>Y</v>
      </c>
      <c r="X221" s="15" t="str">
        <v>前，后</v>
      </c>
      <c r="Y221" s="15" t="str">
        <v>Y</v>
      </c>
    </row>
    <row r="222" spans="1:24">
      <c r="A222" s="15" t="str">
        <v>车控功能</v>
      </c>
      <c r="B222" s="15" t="str">
        <v>空调</v>
      </c>
      <c r="C222" s="15" t="str">
        <v>vehicle_control_0018</v>
      </c>
      <c r="F222" s="15" t="str">
        <v>空气净化开关状态</v>
      </c>
      <c r="G222" s="15" t="str">
        <v>低频变化</v>
      </c>
      <c r="H222" s="15" t="str">
        <v>switch</v>
      </c>
      <c r="I222" s="15" t="str">
        <v>开关</v>
      </c>
      <c r="J222" s="15" t="str">
        <v>enum</v>
      </c>
      <c r="K222" s="18" t="str">
        <v>on，off</v>
      </c>
      <c r="M222" s="16">
        <v>1</v>
      </c>
      <c r="N222" s="15" t="str">
        <v>N</v>
      </c>
      <c r="O222" s="36" t="str">
        <v>N</v>
      </c>
      <c r="P222" s="37" t="str">
        <v>NA</v>
      </c>
      <c r="V222" s="15" t="str">
        <v>N</v>
      </c>
      <c r="X222" s="45" t="str">
        <v>不支持</v>
      </c>
    </row>
    <row r="223" spans="1:24">
      <c r="A223" s="15" t="str">
        <v>车控功能</v>
      </c>
      <c r="B223" s="15" t="str">
        <v>空调</v>
      </c>
      <c r="C223" s="15" t="str">
        <v>vehicle_control_0019</v>
      </c>
      <c r="F223" s="15" t="str">
        <v>车内PM2.5空气质量 </v>
      </c>
      <c r="G223" s="15" t="str">
        <v>低频变化</v>
      </c>
      <c r="H223" s="15" t="str">
        <v>states</v>
      </c>
      <c r="I223" s="15" t="str">
        <v>状态</v>
      </c>
      <c r="J223" s="15" t="str">
        <v>str</v>
      </c>
      <c r="M223" s="16">
        <v>1</v>
      </c>
      <c r="N223" s="15" t="str">
        <v>N</v>
      </c>
      <c r="O223" s="36" t="str">
        <v>N（支持车内PM2.5）</v>
      </c>
      <c r="P223" s="37" t="str">
        <v>NA</v>
      </c>
      <c r="V223" s="15" t="str">
        <v>N</v>
      </c>
      <c r="X223" s="45" t="str">
        <v>不支持</v>
      </c>
    </row>
    <row r="224" spans="1:24">
      <c r="A224" s="15" t="str">
        <v>车控功能</v>
      </c>
      <c r="B224" s="15" t="str">
        <v>空调</v>
      </c>
      <c r="C224" s="15" t="str">
        <v>vehicle_control_0020</v>
      </c>
      <c r="F224" s="15" t="str">
        <v>车内CO2信息</v>
      </c>
      <c r="G224" s="15" t="str">
        <v>低频变化</v>
      </c>
      <c r="H224" s="15" t="str">
        <v>states</v>
      </c>
      <c r="I224" s="15" t="str">
        <v>状态</v>
      </c>
      <c r="J224" s="15" t="str">
        <v>str</v>
      </c>
      <c r="M224" s="16">
        <v>1</v>
      </c>
      <c r="N224" s="15" t="str">
        <v>N</v>
      </c>
      <c r="O224" s="36" t="str">
        <v>N</v>
      </c>
      <c r="P224" s="37" t="str">
        <v>NA</v>
      </c>
      <c r="V224" s="15" t="str">
        <v>N</v>
      </c>
      <c r="X224" s="45" t="str">
        <v>不支持</v>
      </c>
    </row>
    <row r="225" spans="1:25">
      <c r="A225" s="15" t="str">
        <v>车控功能</v>
      </c>
      <c r="B225" s="15" t="str">
        <v>空调</v>
      </c>
      <c r="C225" s="15" t="str">
        <v>vehicle_control_0021</v>
      </c>
      <c r="F225" s="15" t="str">
        <v>车内外温度状态</v>
      </c>
      <c r="G225" s="15" t="str">
        <v>低频变化</v>
      </c>
      <c r="H225" s="15" t="str">
        <v>temperature</v>
      </c>
      <c r="I225" s="15" t="str">
        <v>温度</v>
      </c>
      <c r="J225" s="15" t="str">
        <v>str</v>
      </c>
      <c r="M225" s="16">
        <v>1</v>
      </c>
      <c r="N225" s="56" t="str">
        <v>Y</v>
      </c>
      <c r="O225" s="36" t="str">
        <v>Y （只有车外温度）</v>
      </c>
      <c r="P225" s="37" t="str">
        <v>Y</v>
      </c>
      <c r="Q225" s="36" t="str">
        <v>车外温度：
HvacRequestType.OUTSIDE_TEP
default void onOutsideTemperatureChanged(FloatResult result) {}
int getOutsideTemperature(@NonNull FloatResult result);</v>
      </c>
      <c r="S225" s="32" t="inlineStr">
        <is>
          <r>
            <t>@陈果果</t>
          </r>
        </is>
      </c>
      <c r="T225" s="26" t="str">
        <v>Y</v>
      </c>
      <c r="U225" s="27">
        <v>4.24</v>
      </c>
      <c r="V225" s="15" t="str">
        <v>Y</v>
      </c>
      <c r="X225" s="15" t="str">
        <v>20度</v>
      </c>
      <c r="Y225" s="15" t="str">
        <v>Y</v>
      </c>
    </row>
    <row r="226" spans="1:25">
      <c r="A226" s="15" t="str">
        <v>车控功能</v>
      </c>
      <c r="H226" s="15" t="str">
        <v>position</v>
      </c>
      <c r="I226" s="15" t="str">
        <v>位置</v>
      </c>
      <c r="J226" s="15" t="str">
        <v>enum</v>
      </c>
      <c r="K226" s="46" t="str">
        <v>车内，车外</v>
      </c>
      <c r="L226" s="16">
        <v>1</v>
      </c>
      <c r="M226" s="16">
        <v>1</v>
      </c>
      <c r="N226" s="104" t="str">
        <v>Y</v>
      </c>
      <c r="O226" s="36" t="str">
        <v>N （只要车外）</v>
      </c>
      <c r="P226" s="37" t="str">
        <v>NA</v>
      </c>
      <c r="S226" s="32" t="inlineStr">
        <is>
          <r>
            <t>@陈果果</t>
          </r>
        </is>
      </c>
      <c r="T226" s="26" t="str">
        <v>Y</v>
      </c>
      <c r="V226" s="15" t="str">
        <v>Y</v>
      </c>
      <c r="X226" s="15" t="str">
        <v>车外</v>
      </c>
      <c r="Y226" s="15" t="str">
        <v>Y</v>
      </c>
    </row>
    <row r="227" spans="1:25">
      <c r="A227" s="15" t="str">
        <v>车控功能</v>
      </c>
      <c r="B227" s="15" t="str">
        <v>座椅系统及设置</v>
      </c>
      <c r="C227" s="4" t="str">
        <v>vehicle_control_0022</v>
      </c>
      <c r="F227" s="15" t="str">
        <v>座椅位置状态</v>
      </c>
      <c r="G227" s="15" t="str">
        <v>低频变化</v>
      </c>
      <c r="H227" s="15" t="str">
        <v>position</v>
      </c>
      <c r="I227" s="15" t="str">
        <v>位置</v>
      </c>
      <c r="J227" s="15" t="str">
        <v>enum</v>
      </c>
      <c r="K227" s="58" t="str">
        <v>主驾，副驾，左后，右后，二排左，二排中，二排右，三排左，三排中，三排右</v>
      </c>
      <c r="L227" s="16">
        <v>1</v>
      </c>
      <c r="M227" s="16">
        <v>1</v>
      </c>
      <c r="N227" s="75" t="str">
        <v>Y</v>
      </c>
      <c r="O227" s="36" t="str">
        <v>Y</v>
      </c>
      <c r="P227" s="37" t="str">
        <v>Y</v>
      </c>
      <c r="Q227" s="36" t="str">
        <v>座椅位置百分比调节获取：
SeatRequestType.SEAT_ADJUSTMENT_POSITION
int getSeatAdjustmentPosition​(int seatType, int direction, IntResult result) 座椅位置获取
int setSeatAdjustmentPosition(@SeatType int seatType, @SeatDirection int direction, int position);
default void onSeatAdjustmentPositionChanged​(int seatType, int direction, IntResult result) 座椅位置通知
seatType - 设置值 SeatConstants.SeatType
DRIVER = 0: 主驾
COPILOT = 1: 副驾
REAR_LEFT = 2: 后左 || 二排左
REAR_RIGHT = 3: 后右 || 二排右
direction - 设置值 SeatConstants.SeatDirection
VERTICAL = 0: 垂直 （srs:坐垫后部垂直方向状态）(ue:1.1.3 整体位置、腰托)
HORIZONTAL = 1: 水平 （srs：水平方向状态）(ue:1.1.1 整体位置、腰托、腿托)
RECLINE = 2: 躺倒 (srs：靠背方向状态)(ue:1.1.5 靠背)
TILTING = 3: 倾斜 (srs：前抬升方向状态) (ue:1.1.1 坐垫倾角、1.1.3腿托)
position- 设置值 0-100
</v>
      </c>
      <c r="S227" s="32" t="inlineStr">
        <is>
          <r>
            <t>@陈果果</t>
          </r>
        </is>
      </c>
      <c r="T227" s="26" t="str">
        <v>Y</v>
      </c>
      <c r="U227" s="10">
        <v>4.24</v>
      </c>
      <c r="V227" s="15" t="str">
        <v>Y</v>
      </c>
      <c r="Y227" s="15" t="str">
        <v>Y</v>
      </c>
    </row>
    <row r="228" spans="1:25">
      <c r="A228" s="15" t="str">
        <v>车控功能</v>
      </c>
      <c r="H228" s="15" t="str">
        <v>horizontal_movement</v>
      </c>
      <c r="I228" s="15" t="str">
        <v>水平位置</v>
      </c>
      <c r="J228" s="15" t="str">
        <v>str</v>
      </c>
      <c r="M228" s="16">
        <v>1</v>
      </c>
      <c r="N228" s="15" t="str">
        <v>Y（上报百分比）</v>
      </c>
      <c r="O228" s="36" t="str">
        <v>Y</v>
      </c>
      <c r="P228" s="37" t="str">
        <v>Y</v>
      </c>
      <c r="Q228" s="36" t="str">
        <v> 整体位置调节步进调节
int getSeatAdjustmentStatus​(int seatType, int direction, @NonNull IntResult result) 座椅调节获取
int setSeatAdjustmentStatus​(int seatType, int direction, int status) 座椅调节设置
default void onSeatAdjustmentStatusChanged​(int seatType, int direction, IntResult result) 座椅调节通知
SEAT_ADJUSTMENT_STATUS 座椅调节FLAG
 /**座椅方向*/
 @IntDef({SeatDirection.VERTICAL,
 SeatDirection.HORIZONTAL,
 SeatDirection.RECLINE,
 SeatDirection.TILTING,
 SeatDirection.LEFT_TILTING,
 SeatDirection.RIGHT_TILTING})
 @Target({ElementType.PARAMETER})
 @Retention(RetentionPolicy.SOURCE)
 public @interface SeatDirection {
 /**VERTICAL = 0: 垂直*/
 int VERTICAL = 0;
 /**HORIZONTAL = 1: 水平*/
 int HORIZONTAL = 1;
 /**RECLINE = 2: 躺倒*/
 int RECLINE = 2;
 /**TILTING = 3: 倾斜*/
 int TILTING = 3;
 /**LEFT_TILTING = 4: 左侧倾斜*/
 int LEFT_TILTING = 4;
 /**RIGHT_TILTING = 5: 右侧倾斜*/
 int RIGHT_TILTING = 5;
 }
status - 设置值 SeatConstants.SeatAdjustStatus
NOT_MOVING = 0: 静止中
UPWARD_MOVING = 1: 前移, 前倾，前靠，上移, 展开, 充气
DOWNWARD_MOVING = 2: 后移，后倾，后靠，下移, 合拢, 泄气</v>
      </c>
      <c r="S228" s="32" t="inlineStr">
        <is>
          <r>
            <t>@陈果果</t>
          </r>
        </is>
      </c>
      <c r="T228" s="26" t="str">
        <v>Y</v>
      </c>
      <c r="U228" s="16">
        <v>4.24</v>
      </c>
      <c r="V228" s="15" t="str">
        <v>Y</v>
      </c>
      <c r="Y228" s="15" t="str">
        <v>Y</v>
      </c>
    </row>
    <row r="229" spans="1:25">
      <c r="A229" s="15" t="str">
        <v>车控功能</v>
      </c>
      <c r="H229" s="15" t="str">
        <v>rotary_movement</v>
      </c>
      <c r="I229" s="15" t="str">
        <v>靠背位置</v>
      </c>
      <c r="J229" s="15" t="str">
        <v>str</v>
      </c>
      <c r="M229" s="16">
        <v>1</v>
      </c>
      <c r="N229" s="15" t="str">
        <v>Y（上报百分比）</v>
      </c>
      <c r="O229" s="36" t="str">
        <v>Y</v>
      </c>
      <c r="P229" s="37" t="str">
        <v>Y</v>
      </c>
      <c r="S229" s="32" t="inlineStr">
        <is>
          <r>
            <t>@陈果果</t>
          </r>
        </is>
      </c>
      <c r="T229" s="26" t="str">
        <v>Y</v>
      </c>
      <c r="U229" s="16">
        <v>4.24</v>
      </c>
      <c r="V229" s="15" t="str">
        <v>Y</v>
      </c>
      <c r="Y229" s="15" t="str">
        <v>Y</v>
      </c>
    </row>
    <row r="230" spans="1:25">
      <c r="A230" s="15" t="str">
        <v>车控功能</v>
      </c>
      <c r="H230" s="15" t="str">
        <v>vertical_movement</v>
      </c>
      <c r="I230" s="15" t="str">
        <v>高度位置</v>
      </c>
      <c r="J230" s="15" t="str">
        <v>str</v>
      </c>
      <c r="M230" s="16">
        <v>1</v>
      </c>
      <c r="N230" s="15" t="str">
        <v>Y（上报百分比）</v>
      </c>
      <c r="O230" s="36" t="str">
        <v>Y</v>
      </c>
      <c r="P230" s="37" t="str">
        <v>Y</v>
      </c>
      <c r="S230" s="32" t="inlineStr">
        <is>
          <r>
            <t>@陈果果</t>
          </r>
        </is>
      </c>
      <c r="T230" s="26" t="str">
        <v>Y</v>
      </c>
      <c r="U230" s="16">
        <v>4.24</v>
      </c>
      <c r="V230" s="15" t="str">
        <v>Y</v>
      </c>
      <c r="Y230" s="15" t="str">
        <v>Y</v>
      </c>
    </row>
    <row r="231" spans="1:28">
      <c r="A231" s="15" t="str">
        <v>车控功能</v>
      </c>
      <c r="H231" s="45" t="str">
        <v>lumbar_position_horizontal</v>
      </c>
      <c r="I231" s="45" t="str">
        <v>腰托水平位置</v>
      </c>
      <c r="J231" s="45" t="str">
        <v>str</v>
      </c>
      <c r="N231" s="56" t="str">
        <v>N（上汽接口不支持）</v>
      </c>
      <c r="O231" s="36" t="str">
        <v>Y</v>
      </c>
      <c r="P231" s="37" t="str">
        <v>Y</v>
      </c>
      <c r="Q231" s="36" t="str">
        <v>腰托调节
int getLumbarAdjustStatus(@SeatType int seatType, @SeatDirection int direction, @NonNull IntResult result);
int setLumbarAdjustStatus(@SeatType int seatType, @SeatDirection int direction, @LumbarAdjustStatus int status);
default void onLumbarAdjustStatusChanged(@SeatType int seatType, @SeatDirection int direction, @NonNull IntResult result)
/** onLumbarAdjustStatusChanged 回调注册Flag */
 SeatCallbackFlag.LUMBAR_ADJUST_STATUS,</v>
      </c>
      <c r="S231" s="32" t="inlineStr">
        <is>
          <r>
            <t>@陈果果</t>
          </r>
        </is>
      </c>
      <c r="T231" s="26" t="str">
        <v>Y</v>
      </c>
      <c r="U231" s="16">
        <v>4.24</v>
      </c>
      <c r="V231" s="15" t="str">
        <v>Y</v>
      </c>
      <c r="Y231" s="15" t="str">
        <v>Y</v>
      </c>
      <c r="AA231" s="15" t="inlineStr">
        <is>
          <r>
            <rPr>
              <sz val="10"/>
              <color rgb="FF1F2329"/>
              <rFont val="Arial"/>
            </rPr>
            <t>目前研发反馈没有腰托位置反馈的需求，</t>
          </r>
          <r>
            <rPr>
              <sz val="10"/>
              <color rgb="FFF54A45"/>
              <rFont val="Arial"/>
            </rPr>
            <t>经产品和研发确认上汽不支持，去除</t>
          </r>
        </is>
      </c>
      <c r="AB231" s="15" t="str">
        <v>待验证</v>
      </c>
    </row>
    <row r="232" spans="1:28">
      <c r="A232" s="15" t="str">
        <v>车控功能</v>
      </c>
      <c r="H232" s="45" t="str">
        <v>lumbar_position_vertical</v>
      </c>
      <c r="I232" s="45" t="str">
        <v>腰托高度位置</v>
      </c>
      <c r="J232" s="45" t="str">
        <v>str</v>
      </c>
      <c r="N232" s="56" t="str">
        <v>N（上汽接口不支持）</v>
      </c>
      <c r="O232" s="36" t="str">
        <v>Y</v>
      </c>
      <c r="P232" s="37" t="str">
        <v>Y</v>
      </c>
      <c r="Q232" s="36" t="str">
        <v>腰托调节
int getLumbarAdjustStatus(@SeatType int seatType, @SeatDirection int direction, @NonNull IntResult result);
int setLumbarAdjustStatus(@SeatType int seatType, @SeatDirection int direction, @LumbarAdjustStatus int status);
default void onLumbarAdjustStatusChanged(@SeatType int seatType, @SeatDirection int direction, @NonNull IntResult result)
/** onLumbarAdjustStatusChanged 回调注册Flag */
 SeatCallbackFlag.LUMBAR_ADJUST_STATUS,</v>
      </c>
      <c r="S232" s="32" t="inlineStr">
        <is>
          <r>
            <t>@陈果果</t>
          </r>
        </is>
      </c>
      <c r="T232" s="26" t="str">
        <v>Y</v>
      </c>
      <c r="U232" s="16">
        <v>5.15</v>
      </c>
      <c r="V232" s="15" t="str">
        <v>Y</v>
      </c>
      <c r="Y232" s="15" t="str">
        <v>Y</v>
      </c>
      <c r="AA232" s="15" t="inlineStr">
        <is>
          <r>
            <rPr>
              <sz val="10"/>
              <color rgb="FF1F2329"/>
              <rFont val="Arial"/>
            </rPr>
            <t>目前研发反馈没有腰托位置反馈的需求，</t>
          </r>
          <r>
            <rPr>
              <sz val="10"/>
              <color rgb="FFF54A45"/>
              <rFont val="Arial"/>
            </rPr>
            <t>经产品和研发确认上汽不支持，去除</t>
          </r>
        </is>
      </c>
      <c r="AB232" s="15" t="str">
        <v>待验证</v>
      </c>
    </row>
    <row r="233" spans="1:27">
      <c r="A233" s="15" t="str">
        <v>车控功能</v>
      </c>
      <c r="H233" s="45" t="str">
        <v>legrest_position_horizontal</v>
      </c>
      <c r="I233" s="45" t="str">
        <v>腿托水平位置</v>
      </c>
      <c r="J233" s="45" t="str">
        <v>str</v>
      </c>
      <c r="N233" s="15" t="str">
        <v>Y（上报百分比）</v>
      </c>
      <c r="O233" s="36" t="str">
        <v>Y</v>
      </c>
      <c r="P233" s="37" t="str">
        <v>Y</v>
      </c>
      <c r="Q233" s="36" t="str">
        <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v>
      </c>
      <c r="S233" s="32" t="inlineStr">
        <is>
          <r>
            <t>@陈果果</t>
          </r>
        </is>
      </c>
      <c r="T233" s="26" t="str">
        <v>Y</v>
      </c>
      <c r="U233" s="16">
        <v>4.24</v>
      </c>
      <c r="V233" s="15" t="str">
        <v>Y</v>
      </c>
      <c r="Y233" s="15" t="str">
        <v>N</v>
      </c>
      <c r="AA233" s="15" t="str">
        <v>副驾正常，主驾没有数据上传</v>
      </c>
    </row>
    <row r="234" spans="1:27">
      <c r="A234" s="15" t="str">
        <v>车控功能</v>
      </c>
      <c r="H234" s="45" t="str">
        <v>legrest_position_vertical</v>
      </c>
      <c r="I234" s="45" t="str">
        <v>腿托高度位置</v>
      </c>
      <c r="J234" s="45" t="str">
        <v>str</v>
      </c>
      <c r="N234" s="15" t="str">
        <v>Y（上报百分比）</v>
      </c>
      <c r="O234" s="36" t="str">
        <v>Y</v>
      </c>
      <c r="P234" s="37" t="str">
        <v>Y</v>
      </c>
      <c r="Q234" s="36" t="str">
        <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v>
      </c>
      <c r="S234" s="32" t="inlineStr">
        <is>
          <r>
            <t>@陈果果</t>
          </r>
        </is>
      </c>
      <c r="T234" s="26" t="str">
        <v>Y</v>
      </c>
      <c r="U234" s="16">
        <v>5.15</v>
      </c>
      <c r="V234" s="4" t="str">
        <v>Y</v>
      </c>
      <c r="Y234" s="15" t="str">
        <v>N</v>
      </c>
      <c r="AA234" s="15" t="str">
        <v>副驾正常，主驾没有数据上传</v>
      </c>
    </row>
    <row r="235" spans="1:25">
      <c r="A235" s="15" t="str">
        <v>车控功能</v>
      </c>
      <c r="B235" s="15" t="str">
        <v>座椅系统及设置</v>
      </c>
      <c r="C235" s="15" t="str">
        <v>vehicle_control_0023</v>
      </c>
      <c r="F235" s="15" t="str">
        <v>座椅通风开关状态</v>
      </c>
      <c r="G235" s="15" t="str">
        <v>低频变化</v>
      </c>
      <c r="H235" s="15" t="str">
        <v>states</v>
      </c>
      <c r="I235" s="15" t="str">
        <v>状态</v>
      </c>
      <c r="J235" s="15" t="str">
        <v>str</v>
      </c>
      <c r="K235" s="18" t="str">
        <v>关闭，1档，2档，3档</v>
      </c>
      <c r="M235" s="16">
        <v>1</v>
      </c>
      <c r="N235" s="15" t="str">
        <v>Y</v>
      </c>
      <c r="O235" s="36" t="str">
        <v>Y</v>
      </c>
      <c r="P235" s="37" t="str">
        <v>Y</v>
      </c>
      <c r="Q235" s="36" t="str">
        <v>座椅通风：
 SeatCallbackFlag.SEAT_VENTILATION
 int setSeatVentilationLevel(@SeatType int seatType, @SeatVentLevel int level);
 int getSeatVentilationLevel(@SeatType int seatType, @NonNull IntResult result);
 default void onSeatVentilationLevelChanged(int seatType, IntResult result) {</v>
      </c>
      <c r="S235" s="32" t="inlineStr">
        <is>
          <r>
            <t>@陈果果</t>
          </r>
        </is>
      </c>
      <c r="T235" s="26" t="str">
        <v>Y</v>
      </c>
      <c r="V235" s="15" t="str">
        <v>Y</v>
      </c>
      <c r="Y235" s="15" t="str">
        <v>Y</v>
      </c>
    </row>
    <row r="236" spans="1:25">
      <c r="A236" s="15" t="str">
        <v>车控功能</v>
      </c>
      <c r="H236" s="15" t="str">
        <v>position</v>
      </c>
      <c r="I236" s="15" t="str">
        <v>位置</v>
      </c>
      <c r="J236" s="15" t="str">
        <v>str</v>
      </c>
      <c r="K236" s="58" t="str">
        <v>主驾，副驾，左后，右后，二排左，二排中，二排右，三排左，三排中，三排右</v>
      </c>
      <c r="L236" s="16">
        <v>1</v>
      </c>
      <c r="M236" s="16">
        <v>1</v>
      </c>
      <c r="N236" s="15" t="str">
        <v>Y</v>
      </c>
      <c r="O236" s="36" t="str">
        <v>Y</v>
      </c>
      <c r="P236" s="37" t="str">
        <v>Y</v>
      </c>
      <c r="Q236" s="36" t="str">
        <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v>
      </c>
      <c r="S236" s="32" t="inlineStr">
        <is>
          <r>
            <t>@陈果果</t>
          </r>
        </is>
      </c>
      <c r="T236" s="26" t="str">
        <v>Y</v>
      </c>
      <c r="V236" s="15" t="str">
        <v>Y</v>
      </c>
      <c r="Y236" s="15" t="str">
        <v>Y</v>
      </c>
    </row>
    <row r="237" spans="1:25">
      <c r="A237" s="15" t="str">
        <v>车控功能</v>
      </c>
      <c r="B237" s="15" t="str">
        <v>座椅系统及设置</v>
      </c>
      <c r="C237" s="15" t="str">
        <v>vehicle_control_0024</v>
      </c>
      <c r="F237" s="15" t="str">
        <v>座椅加热状态</v>
      </c>
      <c r="G237" s="15" t="str">
        <v>低频变化</v>
      </c>
      <c r="H237" s="15" t="str">
        <v>states</v>
      </c>
      <c r="I237" s="15" t="str">
        <v>状态</v>
      </c>
      <c r="J237" s="15" t="str">
        <v>str</v>
      </c>
      <c r="K237" s="18" t="str">
        <v>关闭，1档，2档，3档</v>
      </c>
      <c r="M237" s="16">
        <v>1</v>
      </c>
      <c r="N237" s="15" t="str">
        <v>Y</v>
      </c>
      <c r="O237" s="36" t="str">
        <v>Y</v>
      </c>
      <c r="P237" s="37" t="str">
        <v>Y</v>
      </c>
      <c r="Q237" s="36" t="str">
        <v>座椅加热：
SeatCallbackFlag.SEAT_HEAT_LEVEL
int setSeatHeatLevel(@SeatType int seatType, @SeatHeatLevel int level);
 int getSeatHeatLevel(@SeatType int seatType, @NonNull IntResult result);
default void onSeatHeatLevelChanged(int seatType, IntResult result)</v>
      </c>
      <c r="S237" s="32" t="inlineStr">
        <is>
          <r>
            <t>@陈果果</t>
          </r>
        </is>
      </c>
      <c r="T237" s="26" t="str">
        <v>Y</v>
      </c>
      <c r="V237" s="15" t="str">
        <v>Y</v>
      </c>
      <c r="Y237" s="15" t="str">
        <v>Y</v>
      </c>
    </row>
    <row r="238" spans="1:25">
      <c r="A238" s="15" t="str">
        <v>车控功能</v>
      </c>
      <c r="H238" s="15" t="str">
        <v>position</v>
      </c>
      <c r="I238" s="15" t="str">
        <v>位置</v>
      </c>
      <c r="J238" s="15" t="str">
        <v>str</v>
      </c>
      <c r="K238" s="58" t="str">
        <v>主驾，副驾，左后，右后，二排左，二排中，二排右，三排左，三排中，三排右</v>
      </c>
      <c r="L238" s="16">
        <v>1</v>
      </c>
      <c r="M238" s="16">
        <v>1</v>
      </c>
      <c r="N238" s="15" t="str">
        <v>Y</v>
      </c>
      <c r="O238" s="36" t="str">
        <v>Y</v>
      </c>
      <c r="P238" s="37" t="str">
        <v>Y</v>
      </c>
      <c r="Q238" s="36" t="str">
        <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v>
      </c>
      <c r="S238" s="32" t="inlineStr">
        <is>
          <r>
            <t>@陈果果</t>
          </r>
        </is>
      </c>
      <c r="T238" s="26" t="str">
        <v>Y</v>
      </c>
      <c r="V238" s="15" t="str">
        <v>Y</v>
      </c>
      <c r="Y238" s="15" t="str">
        <v>Y</v>
      </c>
    </row>
    <row r="239" spans="1:25">
      <c r="A239" s="15" t="str">
        <v>车控功能</v>
      </c>
      <c r="B239" s="15" t="str">
        <v>座椅系统及设置</v>
      </c>
      <c r="C239" s="15" t="str">
        <v>vehicle_control_0025</v>
      </c>
      <c r="F239" s="15" t="str">
        <v>座椅按摩模式</v>
      </c>
      <c r="G239" s="15" t="str">
        <v>低频变化</v>
      </c>
      <c r="H239" s="15" t="str">
        <v>states</v>
      </c>
      <c r="I239" s="15" t="str">
        <v>状态</v>
      </c>
      <c r="J239" s="15" t="str">
        <v>enum</v>
      </c>
      <c r="K239" s="18" t="str">
        <v>关闭，1档，2档，3档</v>
      </c>
      <c r="M239" s="16">
        <v>1</v>
      </c>
      <c r="N239" s="15" t="str">
        <v>Y</v>
      </c>
      <c r="O239" s="36" t="str">
        <v>Y</v>
      </c>
      <c r="P239" s="37" t="str">
        <v>Y</v>
      </c>
      <c r="Q239" s="105" t="str">
        <v>座椅按摩开关：
SeatCallbackFlag.SEAT_MASSAGE_POWER
int getSeatMassageStatus(@SeatType int seatType, @NonNull IntResult result);
int setSeatMassageStatus(@SeatType int seatType, @NonNull SwitchStatus status);
default void onSeatMassageStatusChanged(int seatType, IntResult result)</v>
      </c>
      <c r="S239" s="32" t="inlineStr">
        <is>
          <r>
            <t>@陈果果</t>
          </r>
        </is>
      </c>
      <c r="T239" s="26" t="str">
        <v>Y</v>
      </c>
      <c r="V239" s="15" t="str">
        <v>Y</v>
      </c>
      <c r="Y239" s="15" t="str">
        <v>Y</v>
      </c>
    </row>
    <row r="240" spans="1:25">
      <c r="A240" s="15" t="str">
        <v>车控功能</v>
      </c>
      <c r="H240" s="15" t="str">
        <v>position</v>
      </c>
      <c r="I240" s="15" t="str">
        <v>位置</v>
      </c>
      <c r="J240" s="15" t="str">
        <v>str</v>
      </c>
      <c r="K240" s="58" t="str">
        <v>主驾，副驾，左后，右后，前排，后排，二排左，二排中，二排右，左三排，三排中，右三排</v>
      </c>
      <c r="L240" s="16">
        <v>1</v>
      </c>
      <c r="M240" s="16">
        <v>1</v>
      </c>
      <c r="N240" s="15" t="str">
        <v>Y</v>
      </c>
      <c r="O240" s="36" t="str">
        <v>Y</v>
      </c>
      <c r="P240" s="37" t="str">
        <v>Y</v>
      </c>
      <c r="Q240" s="36" t="str">
        <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v>
      </c>
      <c r="S240" s="32" t="inlineStr">
        <is>
          <r>
            <t>@陈果果</t>
          </r>
        </is>
      </c>
      <c r="T240" s="26" t="str">
        <v>Y</v>
      </c>
      <c r="V240" s="15" t="str">
        <v>Y</v>
      </c>
      <c r="Y240" s="15" t="str">
        <v>Y</v>
      </c>
    </row>
    <row r="241" spans="1:25">
      <c r="A241" s="15" t="str">
        <v>车控功能</v>
      </c>
      <c r="H241" s="15" t="str">
        <v>mode</v>
      </c>
      <c r="I241" s="15" t="str">
        <v>模式选项</v>
      </c>
      <c r="J241" s="15" t="str">
        <v>enum</v>
      </c>
      <c r="K241" s="58" t="str">
        <v>脉冲，波浪，猫步，单排，舒缓，蝶形，腰部，蛇形</v>
      </c>
      <c r="M241" s="16">
        <v>1</v>
      </c>
      <c r="N241" s="15" t="str">
        <v>Y</v>
      </c>
      <c r="O241" s="36" t="str">
        <v>Y</v>
      </c>
      <c r="P241" s="37" t="str">
        <v>Y</v>
      </c>
      <c r="Q241" s="36" t="str">
        <v>座椅按摩模式：
SeatCallbackFlag.SEAT_MASSAGE_MODE 
int getSeatMassageMode(@SeatType int seatType, @NonNull IntResult result);
 int setSeatMassageMode(@SeatType int seatType, int mode);
default void onSeatMassageModeChanged(int seatType, IntResult result) </v>
      </c>
      <c r="S241" s="32" t="inlineStr">
        <is>
          <r>
            <t>@陈果果</t>
          </r>
        </is>
      </c>
      <c r="T241" s="15" t="str">
        <v>Y</v>
      </c>
      <c r="U241" s="16">
        <v>4.24</v>
      </c>
      <c r="V241" s="15" t="str">
        <v>Y</v>
      </c>
      <c r="Y241" s="15" t="str">
        <v>Y</v>
      </c>
    </row>
    <row r="242" spans="1:27">
      <c r="A242" s="15" t="str">
        <v>车控功能</v>
      </c>
      <c r="B242" s="15" t="str">
        <v>座椅系统及设置</v>
      </c>
      <c r="C242" s="15" t="str">
        <v>vehicle_control_0026</v>
      </c>
      <c r="F242" s="15" t="str">
        <v>安全带插扣状态</v>
      </c>
      <c r="G242" s="15" t="str">
        <v>低频变化</v>
      </c>
      <c r="H242" s="15" t="str">
        <v>status</v>
      </c>
      <c r="I242" s="15" t="str">
        <v>插扣状态</v>
      </c>
      <c r="J242" s="15" t="str">
        <v>enum</v>
      </c>
      <c r="K242" s="18" t="str">
        <v>扣好，未扣好</v>
      </c>
      <c r="M242" s="10">
        <v>1</v>
      </c>
      <c r="N242" s="15" t="str">
        <v>Y</v>
      </c>
      <c r="O242" s="36" t="str">
        <v>Y</v>
      </c>
      <c r="P242" s="37" t="str">
        <v>Y</v>
      </c>
      <c r="Q242" s="36" t="str">
        <v>安全带get接口
ISeatInterface
int getSeatSbltAtc(@SeatType int seatType, @NonNull IntResult result);
安全带状态回调接口
ISeatCallback
default void onSeatSbltAtcChanged(int seatType, @NonNull IntResult result) {}</v>
      </c>
      <c r="S242" s="32" t="inlineStr">
        <is>
          <r>
            <t>@陈果果</t>
          </r>
        </is>
      </c>
      <c r="T242" s="26" t="str">
        <v>Y</v>
      </c>
      <c r="U242" s="16">
        <v>4.24</v>
      </c>
      <c r="V242" s="15" t="str">
        <v>Y</v>
      </c>
      <c r="Y242" s="15" t="str">
        <v>N</v>
      </c>
      <c r="AA242" s="15" t="str">
        <v>上汽问题</v>
      </c>
    </row>
    <row r="243" spans="1:25">
      <c r="A243" s="15" t="str">
        <v>车控功能</v>
      </c>
      <c r="H243" s="15" t="str">
        <v>position</v>
      </c>
      <c r="I243" s="15" t="str">
        <v>位置</v>
      </c>
      <c r="J243" s="15" t="str">
        <v>str</v>
      </c>
      <c r="L243" s="16">
        <v>1</v>
      </c>
      <c r="M243" s="16">
        <v>1</v>
      </c>
      <c r="N243" s="15" t="str">
        <v>Y</v>
      </c>
      <c r="O243" s="36" t="str">
        <v>Y</v>
      </c>
      <c r="P243" s="37" t="str">
        <v>Y</v>
      </c>
      <c r="Q243" s="36" t="str">
        <v>public @interface SeatType
{ /**DRIVER = 0: 主驾*/ int DRIVER = 0; /**COPILOT = 1: 副驾*/ int COPILOT = 1; /**REAR_LEFT = 2: 后左 || 二排左*/ int REAR_LEFT = 2; /**REAR_RIGHT = 3: 后右 || 二排右*/ int REAR_RIGHT = 3; /**REAR = 4: 后排*/ int REAR = 4; /**REAR_MIDDLE = 5: 后中*/ int REAR_MIDDLE = 5; /**ROW_3_LEFT = 6: 三排左*/ int ROW_3_LEFT = 6; /**ROW_3_RIGHT = 7: 三排右*/ int ROW_3_RIGHT = 7; }</v>
      </c>
      <c r="S243" s="32" t="inlineStr">
        <is>
          <r>
            <t>@陈果果</t>
          </r>
        </is>
      </c>
      <c r="T243" s="26" t="str">
        <v>Y</v>
      </c>
      <c r="U243" s="16">
        <v>4.24</v>
      </c>
      <c r="V243" s="15" t="str">
        <v>Y</v>
      </c>
      <c r="Y243" s="15" t="str">
        <v>Y</v>
      </c>
    </row>
    <row r="244" spans="1:25">
      <c r="A244" s="15" t="str">
        <v>车控功能</v>
      </c>
      <c r="B244" s="15" t="str">
        <v>门窗类</v>
      </c>
      <c r="C244" s="15" t="str">
        <v>vehicle_control_0027</v>
      </c>
      <c r="F244" s="15" t="str">
        <v>车窗状态</v>
      </c>
      <c r="G244" s="15" t="str">
        <v>低频变化</v>
      </c>
      <c r="H244" s="15" t="str">
        <v>switch</v>
      </c>
      <c r="I244" s="15" t="str">
        <v>开关</v>
      </c>
      <c r="J244" s="15" t="str">
        <v>enum</v>
      </c>
      <c r="K244" s="18" t="str">
        <v>on，off</v>
      </c>
      <c r="M244" s="16">
        <v>1</v>
      </c>
      <c r="N244" s="15" t="str">
        <v>Y</v>
      </c>
      <c r="O244" s="36" t="str">
        <v>Y(只有全开、全关和暂停)</v>
      </c>
      <c r="P244" s="37" t="str">
        <v>Y</v>
      </c>
      <c r="Q244" s="36" t="str">
        <v>/**
 * 车窗锁激活状态获取
 * PermissionRequest(permissions = { zone.permission.vehicle.DEVICE_GET })
 * @param result result
 * @param position : 车窗位置 {@link WindowPosition}
 * @return {@link com.zone.api.vehicle.common.result.ResultCode}
 */
 @ResultCode
 int getWndLclOpDsbld(@WindowPosition int position, @NonNull IntResult result);</v>
      </c>
      <c r="S244" s="32" t="inlineStr">
        <is>
          <r>
            <t>@赵明珠</t>
          </r>
        </is>
      </c>
      <c r="T244" s="26" t="str">
        <v>Y</v>
      </c>
      <c r="U244" s="18" t="str">
        <v>/</v>
      </c>
      <c r="V244" s="15" t="str">
        <v>Y</v>
      </c>
      <c r="X244" s="15" t="str">
        <v>on，off</v>
      </c>
      <c r="Y244" s="15" t="str">
        <v>Y</v>
      </c>
    </row>
    <row r="245" spans="1:25">
      <c r="A245" s="15" t="str">
        <v>车控功能</v>
      </c>
      <c r="H245" s="15" t="str">
        <v>degree</v>
      </c>
      <c r="I245" s="15" t="str">
        <v>开启程度</v>
      </c>
      <c r="J245" s="15" t="str">
        <v>str</v>
      </c>
      <c r="M245" s="16">
        <v>1</v>
      </c>
      <c r="N245" s="49" t="str">
        <v>Y</v>
      </c>
      <c r="O245" s="106" t="str">
        <v>N(车窗没有开启程度)</v>
      </c>
      <c r="P245" s="107" t="str">
        <v>Y</v>
      </c>
      <c r="Q245" s="36" t="str">
        <v> /**
 * 指定位置车窗的开度获取
 * PermissionRequest(permissions = { zone.permission.vehicle.DEVICE_GET })
 * @param position ： 区域 {@link WindowPosition}
 * @param result {@link IntResult#getResult()} {0(全关)-100(全开)}
 * @return {@link com.zone.api.vehicle.common.result.ResultCode}
 */
 @ResultCode
 int getWindowOpeningDegree(@WindowPosition int position, @NonNull IntResult result);
 /**
 * 指定位置车窗的开度
 * PermissionRequest(permissions = { zone.permission.vehicle.DOOR_WINDOW_LOCK_SET })
 * @param position ： 区域 {@link WindowPosition}
 * @param degree {0(全关)-100(全开)}
 * @return {@link com.zone.api.vehicle.common.result.ResultCode}
 */
 @ResultCode
 int setWindowOpeningDegree(@WindowPosition int position, int degree);
</v>
      </c>
      <c r="S245" s="32" t="inlineStr">
        <is>
          <r>
            <t>@赵明珠</t>
          </r>
        </is>
      </c>
      <c r="T245" s="15" t="str">
        <v>Y</v>
      </c>
      <c r="U245" s="18" t="str">
        <v>/</v>
      </c>
      <c r="V245" s="15" t="str">
        <v>Y</v>
      </c>
      <c r="X245" s="15" t="str">
        <v>0-100 数值</v>
      </c>
      <c r="Y245" s="15" t="str">
        <v>Y</v>
      </c>
    </row>
    <row r="246" spans="1:24">
      <c r="A246" s="15" t="str">
        <v>车控功能</v>
      </c>
      <c r="H246" s="15" t="str">
        <v>transparency</v>
      </c>
      <c r="I246" s="15" t="str">
        <v>透明度</v>
      </c>
      <c r="J246" s="15" t="str">
        <v>str</v>
      </c>
      <c r="M246" s="16">
        <v>1</v>
      </c>
      <c r="N246" s="108" t="str">
        <v>N（无此功能）</v>
      </c>
      <c r="O246" s="36" t="str">
        <v>N(车窗没有透明度)</v>
      </c>
      <c r="P246" s="37" t="str">
        <v>NA</v>
      </c>
      <c r="V246" s="15" t="str">
        <v>N</v>
      </c>
      <c r="X246" s="15" t="str">
        <v>车辆无此功能</v>
      </c>
    </row>
    <row r="247" spans="1:25">
      <c r="A247" s="15" t="str">
        <v>车控功能</v>
      </c>
      <c r="H247" s="15" t="str">
        <v>position</v>
      </c>
      <c r="I247" s="15" t="str">
        <v>位置</v>
      </c>
      <c r="J247" s="15" t="str">
        <v>enum</v>
      </c>
      <c r="K247" s="18" t="str">
        <v>主驾，副驾，左后，右后，天窗</v>
      </c>
      <c r="L247" s="16">
        <v>1</v>
      </c>
      <c r="M247" s="16">
        <v>1</v>
      </c>
      <c r="N247" s="15" t="str">
        <v>Y</v>
      </c>
      <c r="O247" s="36" t="str">
        <v>Y(没有天窗功能)</v>
      </c>
      <c r="P247" s="37" t="str">
        <v>Y</v>
      </c>
      <c r="Q247" s="36" t="str">
        <v> /**
 * 指定位置车窗移动状态获取
 * PermissionRequest(permissions = { zone.permission.vehicle.DEVICE_GET })
 * @param position ： 区域 {@link WindowPosition}
 * @param result {@link IntResult#getResult()} {@link WindowStatus}
 * @return {@link com.zone.api.vehicle.common.result.ResultCode}
 */
 @ResultCode
 int getWindowStatus(@WindowPosition int position, @NonNull IntResult result);
 /**
 * 指定位置车窗移动状态设置
 * PermissionRequest(permissions = { zone.permission.vehicle.DOOR_WINDOW_LOCK_SET })
 * @param position ： 区域 {@link WindowPosition}
 * @param ope {@link WindowOpeType}
 * @return {@link com.zone.api.vehicle.common.result.ResultCode}
 */
 @ResultCode
 int setWindowStatus(@WindowPosition int position, @WindowOpeType int ope);</v>
      </c>
      <c r="S247" s="32" t="inlineStr">
        <is>
          <r>
            <t>@赵明珠</t>
          </r>
        </is>
      </c>
      <c r="T247" s="26" t="str">
        <v>Y</v>
      </c>
      <c r="U247" s="18" t="str">
        <v>/</v>
      </c>
      <c r="V247" s="15" t="str">
        <v>Y</v>
      </c>
      <c r="X247" s="15" t="str">
        <v>主驾，副驾，左后，右后（天窗没有上报）</v>
      </c>
      <c r="Y247" s="15" t="str">
        <v>Y</v>
      </c>
    </row>
    <row r="248" spans="1:25">
      <c r="A248" s="15" t="str">
        <v>车控功能</v>
      </c>
      <c r="B248" s="15" t="str">
        <v>门窗类</v>
      </c>
      <c r="C248" s="15" t="str">
        <v>vehicle_control_0028</v>
      </c>
      <c r="F248" s="15" t="str">
        <v>车门状态</v>
      </c>
      <c r="G248" s="15" t="str">
        <v>低频变化</v>
      </c>
      <c r="H248" s="15" t="str">
        <v>switch</v>
      </c>
      <c r="I248" s="15" t="str">
        <v>开关</v>
      </c>
      <c r="J248" s="15" t="str">
        <v>enum</v>
      </c>
      <c r="K248" s="18" t="str">
        <v>on，off</v>
      </c>
      <c r="M248" s="16">
        <v>1</v>
      </c>
      <c r="N248" s="15" t="str">
        <v>Y</v>
      </c>
      <c r="O248" s="36" t="str">
        <v>Y</v>
      </c>
      <c r="P248" s="37" t="str">
        <v>Y</v>
      </c>
      <c r="Q248" s="36" t="str">
        <v> 
/**
 * 电动门状态获取
 * PermissionRequest(permissions = { zone.permission.vehicle.DEVICE_GET })
 * @param position : 区域 {@link DoorLockPostion}
 * @param result {@link IntResult#getResult()} {@link DoorOpenStatus}
 * @return {@link com.zone.api.vehicle.common.result.ResultCode}
 */
 @ResultCode
 int getDoorOpenStatus(@DoorLockPostion int position, @NonNull IntResult result
开关/开启程度：
前备箱-EV车：
开关
int getPwrHoodSysSts(@NonNull IntResult result)
DoorLockCallbackFlag.PWR_HOOD_SYS_STS
onPwrHoodSysStsChanged
开启程度
int getPowerHoodPosSet(@NonNull IntResult result)
DoorLockCallbackFlag.POWER_HOOD_POS_SET
onPowerHoodPosSetChanged
尾门：
开关
int getTailgateStatus(@NonNull IntResult result)
DoorLockCallbackFlag.TAILGATE_STATUS
onTailgateStatusChanged
开启程度
int getTailgatePosition(@NonNull FloatResult result)
DoorLockCallbackFlag.TAILGATE_POSITION
onTailgatePositionChanged</v>
      </c>
      <c r="S248" s="32" t="inlineStr">
        <is>
          <r>
            <t>@赵明珠</t>
          </r>
        </is>
      </c>
      <c r="T248" s="26" t="str">
        <v>Y</v>
      </c>
      <c r="U248" s="18" t="str">
        <v>/</v>
      </c>
      <c r="V248" s="15" t="str">
        <v>Y</v>
      </c>
      <c r="Y248" s="15" t="str">
        <v>Y</v>
      </c>
    </row>
    <row r="249" spans="1:23">
      <c r="A249" s="15" t="str">
        <v>车控功能</v>
      </c>
      <c r="H249" s="15" t="str">
        <v>degree</v>
      </c>
      <c r="I249" s="15" t="str">
        <v>开启程度</v>
      </c>
      <c r="J249" s="15" t="str">
        <v>str</v>
      </c>
      <c r="M249" s="16">
        <v>1</v>
      </c>
      <c r="N249" s="15" t="str">
        <v>Y</v>
      </c>
      <c r="O249" s="36" t="str">
        <v>Y (只支持前备箱-EV车和尾门有开启程度)</v>
      </c>
      <c r="P249" s="37" t="str">
        <v>Y</v>
      </c>
      <c r="S249" s="98" t="inlineStr">
        <is>
          <r>
            <t>@余明明</t>
          </r>
        </is>
      </c>
      <c r="T249" s="75" t="str">
        <v>N</v>
      </c>
      <c r="W249" s="4" t="inlineStr">
        <is>
          <r>
            <rPr>
              <strike/>
              <sz val="10"/>
              <color rgb="FF1F2329"/>
              <rFont val="Arial"/>
            </rPr>
            <t xml:space="preserve">无法获取具体数值待上汽接口支持
04.20：找上汽询问具体进度
</t>
          </r>
          <r>
            <rPr>
              <sz val="10"/>
              <color rgb="FF1F2329"/>
              <rFont val="Arial"/>
            </rPr>
            <t>当前车门是机械的，获取不了开合进度</t>
          </r>
        </is>
      </c>
    </row>
    <row r="250" spans="1:25">
      <c r="A250" s="15" t="str">
        <v>车控功能</v>
      </c>
      <c r="H250" s="15" t="str">
        <v>position</v>
      </c>
      <c r="I250" s="15" t="str">
        <v>位置</v>
      </c>
      <c r="J250" s="15" t="str">
        <v>enum</v>
      </c>
      <c r="K250" s="18" t="inlineStr">
        <is>
          <r>
            <rPr>
              <sz val="10"/>
              <color rgb="FF1F2329"/>
              <rFont val="Arial"/>
            </rPr>
            <t>主驾，副驾，左后，右后，尾门，</t>
          </r>
          <r>
            <rPr>
              <sz val="10"/>
              <color rgb="FFF54A45"/>
              <rFont val="Arial"/>
            </rPr>
            <t>前备箱</t>
          </r>
        </is>
      </c>
      <c r="L250" s="16">
        <v>1</v>
      </c>
      <c r="M250" s="16">
        <v>1</v>
      </c>
      <c r="N250" s="15" t="str">
        <v>Y</v>
      </c>
      <c r="O250" s="36" t="str">
        <v>Y</v>
      </c>
      <c r="P250" s="37" t="str">
        <v>Y</v>
      </c>
      <c r="S250" s="32" t="inlineStr">
        <is>
          <r>
            <t>@赵明珠</t>
          </r>
        </is>
      </c>
      <c r="T250" s="26" t="str">
        <v>Y</v>
      </c>
      <c r="U250" s="18" t="str">
        <v>/</v>
      </c>
      <c r="V250" s="15" t="str">
        <v>Y</v>
      </c>
      <c r="X250" s="15" t="str">
        <v>主驾，副驾，左后，右后、尾门</v>
      </c>
      <c r="Y250" s="15" t="str">
        <v>Y</v>
      </c>
    </row>
    <row r="251" spans="1:25">
      <c r="A251" s="15" t="str">
        <v>车控功能</v>
      </c>
      <c r="B251" s="15" t="str">
        <v>门窗类</v>
      </c>
      <c r="C251" s="15" t="str">
        <v>vehicle_control_0029</v>
      </c>
      <c r="F251" s="15" t="str">
        <v>车门锁状态</v>
      </c>
      <c r="G251" s="15" t="str">
        <v>低频变化</v>
      </c>
      <c r="H251" s="15" t="str">
        <v>switch</v>
      </c>
      <c r="I251" s="15" t="str">
        <v>开关</v>
      </c>
      <c r="J251" s="15" t="str">
        <v>enum</v>
      </c>
      <c r="K251" s="18" t="str">
        <v>on，off</v>
      </c>
      <c r="M251" s="16">
        <v>1</v>
      </c>
      <c r="N251" s="15" t="str">
        <v>Y</v>
      </c>
      <c r="O251" s="36" t="str">
        <v>Y</v>
      </c>
      <c r="P251" s="37" t="str">
        <v>Y</v>
      </c>
      <c r="Q251" s="36" t="str">
        <v> /**
 * 中控锁闭锁/解锁设置
 * PermissionRequest(permissions = { zone.permission.vehicle.DOOR_WINDOW_LOCK_SET }) 
 * @param status : 中控锁指令 {@link DoorLockStatus}
 * @return {@link com.zone.api.vehicle.common.result.ResultCode}
 */
 @ResultCode
 int setCentralCtrlDoorLock(@DoorLockStatus int status);
 /**
 * 中控锁状态获取
 * PermissionRequest(permissions = { zone.permission.vehicle.DEVICE_GET })
 * @param result {@link IntResult#getResult()} {@link DoorLockStatus}
 * @return {@link com.zone.api.vehicle.common.result.ResultCode}
 */
 @ResultCode
 int getCentralCtrlDoorLock(@NonNull IntResult result);</v>
      </c>
      <c r="S251" s="32" t="inlineStr">
        <is>
          <r>
            <t>@赵明珠</t>
          </r>
        </is>
      </c>
      <c r="T251" s="26" t="str">
        <v>Y</v>
      </c>
      <c r="U251" s="18" t="str">
        <v>/</v>
      </c>
      <c r="V251" s="15" t="str">
        <v>Y</v>
      </c>
      <c r="X251" s="15" t="str">
        <v>on，off</v>
      </c>
      <c r="Y251" s="15" t="str">
        <v>Y</v>
      </c>
    </row>
    <row r="252" spans="1:25">
      <c r="A252" s="15" t="str">
        <v>车控功能</v>
      </c>
      <c r="H252" s="15" t="str">
        <v>position</v>
      </c>
      <c r="I252" s="15" t="str">
        <v>位置</v>
      </c>
      <c r="J252" s="15" t="str">
        <v>enum</v>
      </c>
      <c r="K252" s="18" t="str">
        <v>主驾，副驾，左后，右后，整车</v>
      </c>
      <c r="L252" s="16">
        <v>1</v>
      </c>
      <c r="M252" s="16">
        <v>1</v>
      </c>
      <c r="N252" s="56" t="str">
        <v>Y（默认整车）</v>
      </c>
      <c r="O252" s="87" t="str">
        <v>N</v>
      </c>
      <c r="P252" s="37" t="str">
        <v>NA</v>
      </c>
      <c r="S252" s="32" t="inlineStr">
        <is>
          <r>
            <t>@赵明珠</t>
          </r>
        </is>
      </c>
      <c r="T252" s="15" t="str">
        <v>Y</v>
      </c>
      <c r="U252" s="18" t="str">
        <v>/</v>
      </c>
      <c r="V252" s="15" t="str">
        <v>Y</v>
      </c>
      <c r="X252" s="15" t="str">
        <v>全车</v>
      </c>
      <c r="Y252" s="15" t="str">
        <v>Y</v>
      </c>
    </row>
    <row r="253" spans="1:27">
      <c r="A253" s="15" t="str">
        <v>车控功能</v>
      </c>
      <c r="B253" s="15" t="str">
        <v>门窗类</v>
      </c>
      <c r="C253" s="15" t="str">
        <v>vehicle_control_0030</v>
      </c>
      <c r="F253" s="15" t="str">
        <v>儿童锁状态</v>
      </c>
      <c r="G253" s="15" t="str">
        <v>低频变化</v>
      </c>
      <c r="H253" s="15" t="str">
        <v>switch</v>
      </c>
      <c r="I253" s="15" t="str">
        <v>开关</v>
      </c>
      <c r="J253" s="15" t="str">
        <v>enum</v>
      </c>
      <c r="K253" s="18" t="str">
        <v>on，off</v>
      </c>
      <c r="M253" s="16">
        <v>1</v>
      </c>
      <c r="N253" s="56" t="str">
        <v>N（实车不支持）</v>
      </c>
      <c r="O253" s="36" t="str">
        <v>N（不支持电子儿童锁配置）</v>
      </c>
      <c r="P253" s="37" t="str">
        <v>NA</v>
      </c>
      <c r="S253" s="32" t="inlineStr">
        <is>
          <r>
            <t>@赵明珠</t>
          </r>
        </is>
      </c>
      <c r="T253" s="15" t="str">
        <v>Y</v>
      </c>
      <c r="V253" s="15" t="str">
        <v>Y</v>
      </c>
      <c r="W253" s="26" t="inlineStr">
        <is>
          <r>
            <rPr>
              <sz val="10"/>
              <color rgb="FF1F2329"/>
              <rFont val="Arial"/>
            </rPr>
            <t xml:space="preserve">拿不到信号值
</t>
          </r>
          <r>
            <rPr>
              <sz val="10"/>
              <color rgb="FFF54A45"/>
              <rFont val="Arial"/>
            </rPr>
            <t>04.20：待产品确认</t>
          </r>
        </is>
      </c>
      <c r="Y253" s="15" t="str">
        <v>Y</v>
      </c>
      <c r="AA253" s="15" t="str">
        <v>不支持，目前也未上传，认为通过</v>
      </c>
    </row>
    <row r="254" spans="1:27">
      <c r="A254" s="15" t="str">
        <v>车控功能</v>
      </c>
      <c r="H254" s="15" t="str">
        <v>position</v>
      </c>
      <c r="I254" s="15" t="str">
        <v>位置</v>
      </c>
      <c r="J254" s="15" t="str">
        <v>enum</v>
      </c>
      <c r="K254" s="58" t="str">
        <v>二排左，二排右，左三排，右三排，全车</v>
      </c>
      <c r="L254" s="16">
        <v>1</v>
      </c>
      <c r="M254" s="16">
        <v>1</v>
      </c>
      <c r="N254" s="56" t="str">
        <v>N（实车不支持）</v>
      </c>
      <c r="O254" s="36" t="str">
        <v>N</v>
      </c>
      <c r="P254" s="37" t="str">
        <v>NA</v>
      </c>
      <c r="S254" s="32" t="inlineStr">
        <is>
          <r>
            <t>@赵明珠</t>
          </r>
        </is>
      </c>
      <c r="T254" s="15" t="str">
        <v>Y</v>
      </c>
      <c r="V254" s="15" t="str">
        <v>Y</v>
      </c>
      <c r="Y254" s="15" t="str">
        <v>Y</v>
      </c>
      <c r="AA254" s="15" t="str">
        <v>不支持，目前也未上传，认为通过</v>
      </c>
    </row>
    <row r="255" spans="1:25">
      <c r="A255" s="15" t="str">
        <v>车控功能</v>
      </c>
      <c r="B255" s="15" t="str">
        <v>后视镜类</v>
      </c>
      <c r="C255" s="15" t="str">
        <v>vehicle_control_0031</v>
      </c>
      <c r="F255" s="15" t="str">
        <v>后视镜状态</v>
      </c>
      <c r="G255" s="15" t="str">
        <v>低频变化</v>
      </c>
      <c r="H255" s="15" t="str">
        <v>fold_switch</v>
      </c>
      <c r="I255" s="15" t="str">
        <v>折叠状态</v>
      </c>
      <c r="J255" s="15" t="str">
        <v>enum</v>
      </c>
      <c r="K255" s="18" t="str">
        <v>on，off</v>
      </c>
      <c r="M255" s="16">
        <v>1</v>
      </c>
      <c r="N255" s="15" t="str">
        <v>Y</v>
      </c>
      <c r="O255" s="36" t="str">
        <v>Y</v>
      </c>
      <c r="P255" s="37" t="str">
        <v>Y</v>
      </c>
      <c r="Q255" s="36" t="str">
        <v> /**
 * 后视镜折叠状态设置
 * PermissionRequest(permissions = { zone.permission.vehicle.DOOR_WINDOW_LOCK_SET }) 
 * @param status 设置值 {@link SwitchStatus}
 * @return resultCode 返回结果码 {@link ResultCode}
 */
 int setRearMirrorFoldStatus(@NonNull SwitchStatus status);
 /**
 * 后视镜折叠状态获取
 * PermissionRequest(permissions = { zone.permission.vehicle.DEVICE_GET })
 * @param result {@link IntResult#getResult} {@link SwitchHmiStatus}
 * @return resultCode 返回结果码 {@link ResultCode}
 */
 int getRearMirrorFoldStatus(@NonNull IntResult result);</v>
      </c>
      <c r="S255" s="32" t="inlineStr">
        <is>
          <r>
            <t>@谢一鸣</t>
          </r>
        </is>
      </c>
      <c r="T255" s="26" t="str">
        <v>Y</v>
      </c>
      <c r="U255" s="27">
        <v>4.24</v>
      </c>
      <c r="V255" s="15" t="str">
        <v>Y</v>
      </c>
      <c r="Y255" s="15" t="str">
        <v>Y</v>
      </c>
    </row>
    <row r="256" spans="1:24">
      <c r="A256" s="15" t="str">
        <v>车控功能</v>
      </c>
      <c r="H256" s="15" t="str">
        <v>heat_status</v>
      </c>
      <c r="I256" s="15" t="str">
        <v>加热状态</v>
      </c>
      <c r="J256" s="15" t="str">
        <v>enum</v>
      </c>
      <c r="K256" s="18" t="str">
        <v>on，off</v>
      </c>
      <c r="M256" s="16">
        <v>1</v>
      </c>
      <c r="N256" s="15" t="str">
        <v>Y</v>
      </c>
      <c r="O256" s="36" t="str">
        <v>Y(根据车型配置)</v>
      </c>
      <c r="P256" s="37" t="str">
        <v>Y</v>
      </c>
      <c r="Q256" s="36" t="str">
        <v>int getRearMirrorHeat(@NonNull IntResult result);
RearMirrorCallbackFlag.REAR_MIRROR_HEAT（）
onRearMirrorHeatChanged</v>
      </c>
      <c r="S256" s="98" t="inlineStr">
        <is>
          <r>
            <t>@谢一鸣</t>
          </r>
        </is>
      </c>
      <c r="T256" s="15" t="str">
        <v>N</v>
      </c>
      <c r="U256" s="16">
        <v>4.22</v>
      </c>
      <c r="V256" s="15" t="str">
        <v>已开发，待验证</v>
      </c>
      <c r="W256" s="109" t="inlineStr">
        <is>
          <r>
            <rPr>
              <strike/>
              <sz val="10"/>
              <color rgb="FF1F2329"/>
              <rFont val="Arial"/>
            </rPr>
            <t xml:space="preserve">04.22:实车未收到状态回调，上汽反馈还未完成
</t>
          </r>
          <r>
            <rPr>
              <sz val="10"/>
              <color rgb="FFF54A45"/>
              <rFont val="Arial"/>
            </rPr>
            <t>05.26：未收到回调 =》05.27：提供了新的接口，还未验证 =》06.14：依然未收到回调</t>
          </r>
        </is>
      </c>
      <c r="X256" s="15" t="str">
        <v>on，off</v>
      </c>
    </row>
    <row r="257" spans="1:23">
      <c r="A257" s="15" t="str">
        <v>车控功能</v>
      </c>
      <c r="B257" s="15" t="str">
        <v>雨刮类</v>
      </c>
      <c r="C257" s="15" t="str">
        <v>vehicle_control_0032</v>
      </c>
      <c r="F257" s="15" t="str">
        <v>雨刮状态</v>
      </c>
      <c r="G257" s="15" t="str">
        <v>低频变化</v>
      </c>
      <c r="H257" s="15" t="str">
        <v>states</v>
      </c>
      <c r="I257" s="15" t="str">
        <v>状态</v>
      </c>
      <c r="J257" s="15" t="str">
        <v>enum</v>
      </c>
      <c r="K257" s="18" t="str">
        <v>关闭，1档，2档，3档</v>
      </c>
      <c r="N257" s="15" t="str">
        <v>Y</v>
      </c>
      <c r="O257" s="36" t="str">
        <v>Y（只有关闭和打开）</v>
      </c>
      <c r="P257" s="37" t="str">
        <v>Y</v>
      </c>
      <c r="Q257" s="53" t="str">
        <v>int getFrtWiperSwSts(@NonNull IntResult result);
WindowCallbackFlag.WINDOW_FRONT_WIPER_SW_STS
default void onFrtWiperSwStsChanged(IntResult result) { // TODO: 21-4-1 logic will be implemented by client. }</v>
      </c>
      <c r="S257" s="32" t="inlineStr">
        <is>
          <r>
            <t>@谢一鸣</t>
          </r>
        </is>
      </c>
      <c r="T257" s="103" t="str">
        <v>Y</v>
      </c>
      <c r="U257" s="21">
        <v>4.22</v>
      </c>
      <c r="V257" s="20" t="str">
        <v>Y</v>
      </c>
      <c r="W257" s="96" t="str">
        <v>04.22:实车未收到状态回调，上汽反馈还未完成 =》 04.27：上汽建议起票
05.26：实车雨刮又出问题，无法打开雨刮=》05.27：提供了新的接口，还未验证</v>
      </c>
    </row>
    <row r="258" spans="1:27">
      <c r="A258" s="15" t="str">
        <v>车控功能</v>
      </c>
      <c r="B258" s="15" t="str">
        <v>方向盘类</v>
      </c>
      <c r="C258" s="15" t="str">
        <v>vehicle_control_0033</v>
      </c>
      <c r="F258" s="15" t="str">
        <v>方向盘加热状态</v>
      </c>
      <c r="G258" s="15" t="str">
        <v>低频变化</v>
      </c>
      <c r="H258" s="15" t="str">
        <v>states</v>
      </c>
      <c r="I258" s="15" t="str">
        <v>状态</v>
      </c>
      <c r="J258" s="15" t="str">
        <v>enum</v>
      </c>
      <c r="K258" s="18" t="str">
        <v>关闭，1档，2档，3档</v>
      </c>
      <c r="M258" s="16">
        <v>1</v>
      </c>
      <c r="N258" s="15" t="str">
        <v>Y</v>
      </c>
      <c r="O258" s="36" t="str">
        <v>Y</v>
      </c>
      <c r="P258" s="37" t="str">
        <v>Y</v>
      </c>
      <c r="Q258" s="53" t="str">
        <v>int setSteeringWheelHeatingLevel(@HvacSteeringWheelHeatingLevel int level); 方向盘加热开关设置
int getSteeringWheelHeatingLevel(IntResult result); 方向盘加热开关状态获取
default void onSteeringWheelHeatingLevelChanged(IntResult result) 方向盘加热开关状态通知
STEERING_WHEEL_HEATING_LEVEL 方向盘加热开关状态通知FLAG
HvacSteeringWheelHeatingLevel 
 /**OFF = 0 ：关闭*/
 int OFF = 0;
 /**LEVEL_1 = 1 ：暂未使用*/
 int LEVEL_1 = 1;
 /**LEVEL_2 = 2 ：暂未使用*/
 int LEVEL_2 = 2;
 /**LEVEL_3 = 3 ：开启*/
 int LEVEL_3 = 3;</v>
      </c>
      <c r="S258" s="32" t="inlineStr">
        <is>
          <r>
            <t>@尹泽陆</t>
          </r>
        </is>
      </c>
      <c r="T258" s="26" t="str">
        <v>Y</v>
      </c>
      <c r="V258" s="15" t="str">
        <v>Y</v>
      </c>
      <c r="Y258" s="15" t="str">
        <v>B</v>
      </c>
      <c r="AA258" s="15" t="str">
        <v>页面操作只有开启和关闭，没有档位</v>
      </c>
    </row>
    <row r="259" spans="1:22">
      <c r="A259" s="15" t="str">
        <v>车控功能</v>
      </c>
      <c r="B259" s="15" t="str">
        <v>香氛类</v>
      </c>
      <c r="C259" s="15" t="str">
        <v>vehicle_control_0034</v>
      </c>
      <c r="F259" s="15" t="str">
        <v>香氛状态</v>
      </c>
      <c r="G259" s="15" t="str">
        <v>低频变化</v>
      </c>
      <c r="H259" s="15" t="str">
        <v>states</v>
      </c>
      <c r="I259" s="15" t="str">
        <v>状态</v>
      </c>
      <c r="J259" s="15" t="str">
        <v>enum</v>
      </c>
      <c r="K259" s="18" t="str">
        <v>关闭，1档，2档，3档</v>
      </c>
      <c r="N259" s="56" t="str">
        <v>N（上汽无功能）</v>
      </c>
      <c r="O259" s="36" t="str">
        <v>N</v>
      </c>
      <c r="P259" s="37" t="str">
        <v>NA</v>
      </c>
      <c r="S259" s="32" t="inlineStr">
        <is>
          <r>
            <t>@尹泽陆</t>
          </r>
        </is>
      </c>
      <c r="T259" s="26" t="str">
        <v>N</v>
      </c>
      <c r="V259" s="110" t="str">
        <v>04.17功能开发完毕
04.17实车无该功能，无法自测（与上汽沟通确认功能位置）
04.20上汽确认没有该功能</v>
      </c>
    </row>
    <row r="260" spans="1:25">
      <c r="A260" s="15" t="str">
        <v>车控功能</v>
      </c>
      <c r="B260" s="15" t="str">
        <v>多媒体控制</v>
      </c>
      <c r="C260" s="15" t="str">
        <v>vehicle_control_0035</v>
      </c>
      <c r="F260" s="15" t="str">
        <v>音量状态</v>
      </c>
      <c r="G260" s="15" t="str">
        <v>低频变化</v>
      </c>
      <c r="H260" s="15" t="str">
        <v>object</v>
      </c>
      <c r="I260" s="15" t="str">
        <v>控制对象名称</v>
      </c>
      <c r="J260" s="15" t="str">
        <v>enum</v>
      </c>
      <c r="K260" s="18" t="str">
        <v>导航，媒体，语音，电话</v>
      </c>
      <c r="L260" s="16">
        <v>1</v>
      </c>
      <c r="M260" s="16">
        <v>1</v>
      </c>
      <c r="N260" s="15" t="str">
        <v>Y</v>
      </c>
      <c r="O260" s="36" t="str">
        <v>Y</v>
      </c>
      <c r="P260" s="37" t="str">
        <v>Y</v>
      </c>
      <c r="Q260" s="111" t="str">
        <v>设置各种音量使用public boolean setGroupVolumeAsync(int groupId, int index, int flags) 接口，
 设置静音使用public boolean setGroupMute(int groupId, boolean mute, int flags)
groupId指音量类型（如下），
index 是音量step值，mute是指是否静音，
flags 如果不需要弹窗建议使用VOLUME_CHANGE_FLAG_NO_TOAST_UI，需要弹窗可以使用VOLUME_CHANGE_FLAG_IMPORTANT_SHOW_UI
都有对应的get和notify接口</v>
      </c>
      <c r="S260" s="102" t="inlineStr">
        <is>
          <r>
            <t>@田高琳</t>
          </r>
        </is>
      </c>
      <c r="T260" s="26" t="str">
        <v>Y</v>
      </c>
      <c r="U260" s="27">
        <v>4.22</v>
      </c>
      <c r="V260" s="40" t="str">
        <v>Y</v>
      </c>
      <c r="X260" s="15" t="str">
        <v>多媒体、导航、语音、通话、来电铃声</v>
      </c>
      <c r="Y260" s="15" t="str">
        <v>Y</v>
      </c>
    </row>
    <row r="261" spans="1:25">
      <c r="A261" s="15" t="str">
        <v>车控功能</v>
      </c>
      <c r="H261" s="15" t="str">
        <v>states</v>
      </c>
      <c r="I261" s="15" t="str">
        <v>状态</v>
      </c>
      <c r="J261" s="15" t="str">
        <v>str</v>
      </c>
      <c r="M261" s="16">
        <v>1</v>
      </c>
      <c r="N261" s="15" t="str">
        <v>Y</v>
      </c>
      <c r="O261" s="36" t="str">
        <v>Y</v>
      </c>
      <c r="P261" s="37" t="str">
        <v>Y</v>
      </c>
      <c r="S261" s="102" t="inlineStr">
        <is>
          <r>
            <t>@田高琳</t>
          </r>
        </is>
      </c>
      <c r="T261" s="26" t="str">
        <v>Y</v>
      </c>
      <c r="U261" s="27">
        <v>4.22</v>
      </c>
      <c r="V261" s="40" t="str">
        <v>Y</v>
      </c>
      <c r="X261" s="15" t="str">
        <v>0～30</v>
      </c>
      <c r="Y261" s="15" t="str">
        <v>Y</v>
      </c>
    </row>
    <row r="262" spans="1:24">
      <c r="A262" s="15" t="str">
        <v>车控功能</v>
      </c>
      <c r="H262" s="15" t="str">
        <v>states</v>
      </c>
      <c r="I262" s="15" t="str">
        <v>状态</v>
      </c>
      <c r="J262" s="15" t="str">
        <v>enum</v>
      </c>
      <c r="K262" s="18" t="str">
        <v>max，min，high，mid，low</v>
      </c>
      <c r="M262" s="16">
        <v>1</v>
      </c>
      <c r="N262" s="15" t="str">
        <v>Y</v>
      </c>
      <c r="O262" s="36" t="str">
        <v>Y</v>
      </c>
      <c r="P262" s="37" t="str">
        <v>Y</v>
      </c>
      <c r="S262" s="102" t="inlineStr">
        <is>
          <r>
            <t>@田高琳</t>
          </r>
        </is>
      </c>
      <c r="T262" s="26" t="str">
        <v>N</v>
      </c>
      <c r="U262" s="16">
        <v>4.24</v>
      </c>
      <c r="V262" s="26" t="str">
        <v>N</v>
      </c>
      <c r="W262" s="15" t="inlineStr">
        <is>
          <r>
            <t>@吴仁杰</t>
          </r>
          <r>
            <t xml:space="preserve"> 这一列枚举只针对音量是高中低枚举类型的</t>
          </r>
          <r>
            <t xml:space="preserve">
</t>
          </r>
          <r>
            <t>上汽的是数值 所以这个不上报</t>
          </r>
        </is>
      </c>
      <c r="X262" s="45" t="str">
        <v>上汽车机音量是具体数值 这个是针对枚举才传的</v>
      </c>
    </row>
    <row r="263" spans="1:23">
      <c r="A263" s="15" t="str">
        <v>车控功能</v>
      </c>
      <c r="B263" s="15" t="str">
        <v>智能驾驶控制</v>
      </c>
      <c r="C263" s="15" t="str">
        <v>vehicle_control_0036</v>
      </c>
      <c r="F263" s="15" t="str">
        <v>车道保持开关状态</v>
      </c>
      <c r="G263" s="15" t="str">
        <v>低频变化</v>
      </c>
      <c r="H263" s="15" t="str">
        <v>switch</v>
      </c>
      <c r="I263" s="15" t="str">
        <v>开关</v>
      </c>
      <c r="J263" s="15" t="str">
        <v>enum</v>
      </c>
      <c r="K263" s="18" t="str">
        <v>on，off</v>
      </c>
      <c r="N263" s="15" t="str">
        <v>Y</v>
      </c>
      <c r="O263" s="36" t="str">
        <v>Y（LDP）</v>
      </c>
      <c r="P263" s="37" t="str">
        <v>Y</v>
      </c>
      <c r="Q263" s="53" t="str">
        <v>getLdwLka(@NonNull IntResult result)
AdsCallbackFlag.LDWLKA
onLdwLkaChanged</v>
      </c>
      <c r="S263" s="32" t="inlineStr">
        <is>
          <r>
            <t>@谢一鸣</t>
          </r>
        </is>
      </c>
      <c r="T263" s="26" t="str">
        <v>Y</v>
      </c>
      <c r="U263" s="16">
        <v>8.3</v>
      </c>
      <c r="V263" s="15" t="str">
        <v>Y</v>
      </c>
      <c r="W263" s="96" t="str">
        <v>05.26：给的接口是车道偏离提醒的接口
05.27:客户确认就是这个接口没有错。</v>
      </c>
    </row>
    <row r="264" spans="1:22">
      <c r="A264" s="15" t="str">
        <v>车控功能</v>
      </c>
      <c r="B264" s="15" t="str">
        <v>智能驾驶控制</v>
      </c>
      <c r="C264" s="15" t="str">
        <v>vehicle_control_0037</v>
      </c>
      <c r="F264" s="15" t="str">
        <v>领航辅助开关状态</v>
      </c>
      <c r="G264" s="15" t="str">
        <v>低频变化</v>
      </c>
      <c r="H264" s="15" t="str">
        <v>switch</v>
      </c>
      <c r="I264" s="15" t="str">
        <v>开关</v>
      </c>
      <c r="J264" s="15" t="str">
        <v>enum</v>
      </c>
      <c r="K264" s="18" t="str">
        <v>on，off</v>
      </c>
      <c r="N264" s="15" t="str">
        <v>Y</v>
      </c>
      <c r="O264" s="36" t="str">
        <v>Y (NOA/CNOA）</v>
      </c>
      <c r="P264" s="37" t="str">
        <v>Y</v>
      </c>
      <c r="Q264" s="53" t="str">
        <v>getAiPilotMode(@NonNull IntResult result)
AdsCallbackFlag.AIPILOT
onAiPilotModeChanged</v>
      </c>
      <c r="S264" s="32" t="inlineStr">
        <is>
          <r>
            <t>@谢一鸣</t>
          </r>
        </is>
      </c>
      <c r="T264" s="26" t="str">
        <v>Y</v>
      </c>
      <c r="U264" s="16">
        <v>8.3</v>
      </c>
      <c r="V264" s="15" t="str">
        <v>Y</v>
      </c>
    </row>
    <row r="265" spans="1:23">
      <c r="A265" s="15" t="str">
        <v>车控功能</v>
      </c>
      <c r="B265" s="15" t="str">
        <v>智能驾驶控制</v>
      </c>
      <c r="C265" s="15" t="str">
        <v>vehicle_control_0038</v>
      </c>
      <c r="F265" s="15" t="str">
        <v>跟车距离档位</v>
      </c>
      <c r="G265" s="15" t="str">
        <v>低频变化</v>
      </c>
      <c r="H265" s="15" t="str">
        <v>distance</v>
      </c>
      <c r="I265" s="15" t="str">
        <v>距离</v>
      </c>
      <c r="J265" s="15" t="str">
        <v>enum</v>
      </c>
      <c r="K265" s="18" t="str">
        <v>1档，2档，3档，4档，5档</v>
      </c>
      <c r="N265" s="15" t="str">
        <v>N</v>
      </c>
      <c r="O265" s="36" t="str">
        <v>N （ACC/ICA）</v>
      </c>
      <c r="P265" s="37" t="str">
        <v>NA</v>
      </c>
      <c r="S265" s="32" t="inlineStr">
        <is>
          <r>
            <t>@谢一鸣</t>
          </r>
        </is>
      </c>
      <c r="T265" s="26" t="str">
        <v>N</v>
      </c>
      <c r="U265" s="16">
        <v>8.3</v>
      </c>
      <c r="W265" s="45" t="str">
        <v>05.26:未给接口，且实车上没有该选项 </v>
      </c>
    </row>
    <row r="266" spans="1:23">
      <c r="A266" s="15" t="str">
        <v>车控功能</v>
      </c>
      <c r="B266" s="15" t="str">
        <v>智能驾驶控制</v>
      </c>
      <c r="C266" s="15" t="str">
        <v>vehicle_control_0039</v>
      </c>
      <c r="F266" s="15" t="str">
        <v>车速上限信息</v>
      </c>
      <c r="G266" s="15" t="str">
        <v>低频变化</v>
      </c>
      <c r="H266" s="15" t="str">
        <v>velocity</v>
      </c>
      <c r="I266" s="15" t="str">
        <v>速度</v>
      </c>
      <c r="J266" s="15" t="str">
        <v>str</v>
      </c>
      <c r="N266" s="15" t="str">
        <v>N</v>
      </c>
      <c r="O266" s="36" t="str">
        <v>N （固定上限）</v>
      </c>
      <c r="P266" s="37" t="str">
        <v>NA</v>
      </c>
      <c r="S266" s="32" t="inlineStr">
        <is>
          <r>
            <t>@谢一鸣</t>
          </r>
        </is>
      </c>
      <c r="T266" s="26" t="str">
        <v>N</v>
      </c>
      <c r="U266" s="16">
        <v>8.3</v>
      </c>
      <c r="W266" s="45" t="str">
        <v>05.26:未给接口，且实车上没有该选项</v>
      </c>
    </row>
    <row r="267" spans="1:25">
      <c r="A267" s="15" t="str">
        <v>车控功能</v>
      </c>
      <c r="B267" s="15" t="str">
        <v>仪表及其它辅助系统</v>
      </c>
      <c r="C267" s="15" t="str">
        <v>vehicle_control_0040</v>
      </c>
      <c r="F267" s="15" t="str">
        <v>车机时间</v>
      </c>
      <c r="G267" s="15" t="str">
        <v>低频变化</v>
      </c>
      <c r="H267" s="15" t="str">
        <v>date</v>
      </c>
      <c r="I267" s="15" t="str">
        <v>时间</v>
      </c>
      <c r="J267" s="15" t="str">
        <v>str</v>
      </c>
      <c r="M267" s="16">
        <v>1</v>
      </c>
      <c r="N267" s="15" t="str">
        <v>Y</v>
      </c>
      <c r="O267" s="36" t="str">
        <v>Y</v>
      </c>
      <c r="P267" s="37" t="str">
        <v>Y</v>
      </c>
      <c r="Q267" s="53" t="str">
        <v>原生系统能力</v>
      </c>
      <c r="S267" s="32" t="inlineStr">
        <is>
          <r>
            <t>@杨忠谕</t>
          </r>
        </is>
      </c>
      <c r="T267" s="26" t="str">
        <v>Y</v>
      </c>
      <c r="U267" s="112">
        <v>46132</v>
      </c>
      <c r="V267" s="15" t="str">
        <v>Y</v>
      </c>
      <c r="Y267" s="15" t="str">
        <v>Y</v>
      </c>
    </row>
    <row r="268" spans="1:23">
      <c r="A268" s="15" t="str">
        <v>车控功能</v>
      </c>
      <c r="B268" s="15" t="str">
        <v>仪表及其它辅助系统</v>
      </c>
      <c r="C268" s="15" t="str">
        <v>vehicle_control_0041</v>
      </c>
      <c r="F268" s="15" t="str">
        <v>空调负离子开关</v>
      </c>
      <c r="G268" s="15" t="str">
        <v>低频变化</v>
      </c>
      <c r="H268" s="15" t="str">
        <v>switch</v>
      </c>
      <c r="I268" s="15" t="str">
        <v>开关</v>
      </c>
      <c r="J268" s="15" t="str">
        <v>enum</v>
      </c>
      <c r="K268" s="18" t="str">
        <v>on，off</v>
      </c>
      <c r="N268" s="15" t="str">
        <v>N</v>
      </c>
      <c r="O268" s="36" t="str">
        <v>N</v>
      </c>
      <c r="P268" s="37" t="str">
        <v>NA</v>
      </c>
      <c r="S268" s="32" t="inlineStr">
        <is>
          <r>
            <t>@杨忠谕</t>
          </r>
        </is>
      </c>
      <c r="U268" s="15" t="str">
        <v>暂无接口</v>
      </c>
      <c r="V268" s="45" t="str">
        <v>待产品提供排期</v>
      </c>
      <c r="W268" s="45" t="str">
        <v>04.20：今天与上汽沟通确认负离子开关位置
上汽侧反馈没有负离子需求</v>
      </c>
    </row>
    <row r="269" spans="1:25">
      <c r="A269" s="15" t="str">
        <v>车控功能</v>
      </c>
      <c r="B269" s="15" t="str">
        <v>仪表及其它辅助系统</v>
      </c>
      <c r="C269" s="15" t="str">
        <v>vehicle_control_0042</v>
      </c>
      <c r="F269" s="15" t="str">
        <v>行驶里程</v>
      </c>
      <c r="G269" s="15" t="str">
        <v>低频变化</v>
      </c>
      <c r="H269" s="15" t="str">
        <v>object</v>
      </c>
      <c r="I269" s="15" t="str">
        <v>里程类型</v>
      </c>
      <c r="J269" s="18" t="str">
        <v>enum</v>
      </c>
      <c r="K269" s="15" t="str">
        <v>总里程，本次行驶里程</v>
      </c>
      <c r="L269" s="24">
        <v>1</v>
      </c>
      <c r="M269" s="16">
        <v>1</v>
      </c>
      <c r="N269" s="15" t="str">
        <v>Y</v>
      </c>
      <c r="O269" s="36" t="str">
        <v>Y （两个信号）</v>
      </c>
      <c r="P269" s="37" t="str">
        <v>Y</v>
      </c>
      <c r="Q269" s="111" t="str">
        <v> /**
 * 显示里程获取
 * PermissionRequest(permissions = { zone.permission.vehicle.DEVICE_GET })
 * @param result {@link IntResult#getResult}: 0-999999 (km)
 *
 * @return resultCode 返回结果码 {@link ResultCode}
 */
 int getODODispInfo(@NonNull IntResult result);</v>
      </c>
      <c r="S269" s="102" t="inlineStr">
        <is>
          <r>
            <t>@田高琳</t>
          </r>
        </is>
      </c>
      <c r="T269" s="26" t="str">
        <v>Y</v>
      </c>
      <c r="U269" s="27">
        <v>4.22</v>
      </c>
      <c r="V269" s="40" t="str">
        <v>Y</v>
      </c>
      <c r="Y269" s="15" t="str">
        <v>N</v>
      </c>
    </row>
    <row r="270" spans="1:25">
      <c r="A270" s="15" t="str">
        <v>车控功能</v>
      </c>
      <c r="H270" s="15" t="str">
        <v>distance</v>
      </c>
      <c r="I270" s="15" t="str">
        <v>里程</v>
      </c>
      <c r="J270" s="15" t="str">
        <v>str</v>
      </c>
      <c r="M270" s="16">
        <v>1</v>
      </c>
      <c r="N270" s="15" t="str">
        <v>Y</v>
      </c>
      <c r="O270" s="36" t="str">
        <v>Y</v>
      </c>
      <c r="P270" s="37" t="str">
        <v>Y</v>
      </c>
      <c r="Q270" s="111" t="str">
        <v> /**
 * 行驶里程更新通知.
 *
 * @param period:计算timing {@link CalculatePeriod}
 * @param result &lt;br&gt;
 * {@link FloatResult#getResult}: {任意值} &lt;br&gt;
 * {@link IntResult#getCode()} {@link ResultCode}
 */
 default void onTripInfoChanged(@CalculatePeriod int period, @NonNull FloatResult result) {
 }</v>
      </c>
      <c r="S270" s="102" t="inlineStr">
        <is>
          <r>
            <t>@田高琳</t>
          </r>
        </is>
      </c>
      <c r="T270" s="26" t="str">
        <v>Y</v>
      </c>
      <c r="U270" s="27">
        <v>4.22</v>
      </c>
      <c r="V270" s="40" t="str">
        <v>Y</v>
      </c>
      <c r="Y270" s="15" t="str">
        <v>N</v>
      </c>
    </row>
    <row r="271" spans="1:25">
      <c r="A271" s="15" t="str">
        <v>车控功能</v>
      </c>
      <c r="B271" s="15" t="str">
        <v>场景与模式</v>
      </c>
      <c r="C271" s="15" t="str">
        <v>vehicle_control_0043</v>
      </c>
      <c r="F271" s="15" t="str">
        <v>车辆使用模式</v>
      </c>
      <c r="G271" s="15" t="str">
        <v>低频变化</v>
      </c>
      <c r="H271" s="15" t="str">
        <v>states</v>
      </c>
      <c r="I271" s="15" t="str">
        <v>模式</v>
      </c>
      <c r="J271" s="15" t="str">
        <v>enum</v>
      </c>
      <c r="K271" s="18" t="str">
        <v>洗车模式，拖车模式，寻车模式，维修模式，露营模式，影院模式，关怀模式，露营模式，隐私模式</v>
      </c>
      <c r="N271" s="15" t="str">
        <v>Y</v>
      </c>
      <c r="O271" s="36" t="str">
        <v>Y</v>
      </c>
      <c r="P271" s="37" t="str">
        <v>Y</v>
      </c>
      <c r="Q271" s="53" t="str">
        <v>智能场景模式参考场景SDK（已提供）
 com.zone.api.smartscene.SmartSceneEventListener
void onSceneWindowShow(int sceneId, int displayId) 
描述: 场景开启后，通知指定屏幕显示场景画面
参数:
sceneId : 开启的场景id
displayId : 屏幕id
void onSceneHide(int sceneId) 
描述: 场景退出后，通知场景画面退出
参数:
sceneId : 开启的场景id
+++++++++++++++++++++++++++++++++++++++++++++++++++++++++++
车辆模式参考车控SDK（车辆模式）（@周莉）
在车控未找到此接口</v>
      </c>
      <c r="S271" s="32" t="inlineStr">
        <is>
          <r>
            <t>@杨忠谕</t>
          </r>
        </is>
      </c>
      <c r="T271" s="26" t="str">
        <v>Y</v>
      </c>
      <c r="U271" s="112">
        <v>46132</v>
      </c>
      <c r="V271" s="15" t="str">
        <v>Y</v>
      </c>
      <c r="Y271" s="15" t="str">
        <v>Y</v>
      </c>
    </row>
    <row r="272" spans="1:25">
      <c r="A272" s="15" t="str">
        <v>车控功能</v>
      </c>
      <c r="B272" s="15" t="str">
        <v>屏幕类</v>
      </c>
      <c r="C272" s="15" t="str">
        <v>vehicle_control_0044</v>
      </c>
      <c r="F272" s="15" t="str">
        <v>屏幕状态</v>
      </c>
      <c r="G272" s="15" t="str">
        <v>低频变化</v>
      </c>
      <c r="H272" s="15" t="str">
        <v>position</v>
      </c>
      <c r="I272" s="15" t="str">
        <v>位置</v>
      </c>
      <c r="J272" s="17" t="str">
        <v>enum</v>
      </c>
      <c r="K272" s="18" t="str">
        <v>中控屏、副驾屏、仪表、后排屏、左后屏、右后屏、前排屏、全部屏、PAD、语音屏、后排吸顶屏</v>
      </c>
      <c r="L272" s="16">
        <v>1</v>
      </c>
      <c r="N272" s="15" t="str">
        <v>Y</v>
      </c>
      <c r="O272" s="36" t="str">
        <v>Y</v>
      </c>
      <c r="P272" s="37" t="str">
        <v>Y</v>
      </c>
      <c r="Q272" s="53" t="str">
        <v>接口类：BackLightManager
获取背光开关状态：public int getBackLightSwitchStatus(int displayID)
设置背光开关状态：public int setBackLightSwitchStatus(int displayID, boolean isOn, int priority, int reason)
获取背光亮度：public int getBackLightBrightness(int displayID)
设置背光亮度：public int setBackLightBrightness(int displayID, int brightness, int priority, int requestorID)
都有对应的get和notify接口</v>
      </c>
      <c r="S272" s="32" t="inlineStr">
        <is>
          <r>
            <t>@谢一鸣</t>
          </r>
        </is>
      </c>
      <c r="T272" s="26" t="str">
        <v>Y</v>
      </c>
      <c r="U272" s="27">
        <v>4.21</v>
      </c>
      <c r="V272" s="15" t="str">
        <v>Y</v>
      </c>
      <c r="X272" s="15" t="str">
        <v>中控屏，仪表</v>
      </c>
      <c r="Y272" s="15" t="str">
        <v>Y</v>
      </c>
    </row>
    <row r="273" spans="1:25">
      <c r="A273" s="15" t="str">
        <v>车控功能</v>
      </c>
      <c r="H273" s="15" t="str">
        <v>states</v>
      </c>
      <c r="I273" s="15" t="str">
        <v>亮度</v>
      </c>
      <c r="J273" s="17" t="str">
        <v>str</v>
      </c>
      <c r="N273" s="15" t="str">
        <v>Y</v>
      </c>
      <c r="O273" s="36" t="str">
        <v>Y</v>
      </c>
      <c r="P273" s="37" t="str">
        <v>Y</v>
      </c>
      <c r="S273" s="32" t="inlineStr">
        <is>
          <r>
            <t>@谢一鸣</t>
          </r>
        </is>
      </c>
      <c r="T273" s="26" t="str">
        <v>Y</v>
      </c>
      <c r="U273" s="27">
        <v>4.21</v>
      </c>
      <c r="V273" s="15" t="str">
        <v>Y</v>
      </c>
      <c r="X273" s="113">
        <v>100100</v>
      </c>
      <c r="Y273" s="15" t="str">
        <v>Y</v>
      </c>
    </row>
    <row r="274" spans="1:25">
      <c r="A274" s="15" t="str">
        <v>车控功能</v>
      </c>
      <c r="H274" s="15" t="str">
        <v>states</v>
      </c>
      <c r="I274" s="15" t="str">
        <v>熄灭状态</v>
      </c>
      <c r="J274" s="17" t="str">
        <v>str</v>
      </c>
      <c r="K274" s="18" t="str">
        <v>亮屏、熄屏/锁屏</v>
      </c>
      <c r="N274" s="15" t="str">
        <v>Y</v>
      </c>
      <c r="O274" s="36" t="str">
        <v>Y</v>
      </c>
      <c r="P274" s="37" t="str">
        <v>Y</v>
      </c>
      <c r="S274" s="32" t="inlineStr">
        <is>
          <r>
            <t>@谢一鸣</t>
          </r>
        </is>
      </c>
      <c r="T274" s="26" t="str">
        <v>Y</v>
      </c>
      <c r="U274" s="27">
        <v>4.21</v>
      </c>
      <c r="V274" s="15" t="str">
        <v>Y</v>
      </c>
      <c r="Y274" s="15" t="str">
        <v>Y</v>
      </c>
    </row>
    <row r="275" spans="1:20">
      <c r="A275" s="15" t="str">
        <v>车控功能</v>
      </c>
      <c r="B275" s="15" t="str">
        <v>应用类</v>
      </c>
      <c r="C275" s="15" t="str">
        <v>vehicle_control_0045</v>
      </c>
      <c r="F275" s="15" t="str">
        <v>应用状态</v>
      </c>
      <c r="G275" s="45" t="str">
        <v>用户交互后变化</v>
      </c>
      <c r="H275" s="15" t="str">
        <v>app</v>
      </c>
      <c r="I275" s="15" t="str">
        <v>应用名称</v>
      </c>
      <c r="J275" s="15" t="str">
        <v>enum</v>
      </c>
      <c r="K275" s="18" t="str">
        <v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v>
      </c>
      <c r="L275" s="16">
        <v>1</v>
      </c>
      <c r="N275" s="15" t="str">
        <v>Y</v>
      </c>
      <c r="O275" s="36" t="str">
        <v>Y</v>
      </c>
      <c r="P275" s="37" t="str">
        <v>Y</v>
      </c>
      <c r="Q275" s="53" t="str">
        <v>原生系统能力</v>
      </c>
      <c r="S275" s="32" t="inlineStr">
        <is>
          <r>
            <t>@尹泽陆</t>
          </r>
        </is>
      </c>
      <c r="T275" s="26" t="str">
        <v>N(系统能力与可见即可说功能冲突，需要上汽重新提供接口)</v>
      </c>
    </row>
    <row r="276" spans="1:20">
      <c r="A276" s="15" t="str">
        <v>车控功能</v>
      </c>
      <c r="H276" s="25" t="str">
        <v>login_status</v>
      </c>
      <c r="I276" s="15" t="str">
        <v>登陆状态</v>
      </c>
      <c r="J276" s="15" t="str">
        <v>enum</v>
      </c>
      <c r="K276" s="77" t="str">
        <v>已登录，未登录，登录中</v>
      </c>
      <c r="N276" s="15" t="str">
        <v>Y</v>
      </c>
      <c r="O276" s="106" t="str">
        <v>N （需要字节单独列出需要状态的具体应用）</v>
      </c>
      <c r="P276" s="37" t="str">
        <v>NA</v>
      </c>
      <c r="S276" s="32" t="inlineStr">
        <is>
          <r>
            <t>@尹泽陆</t>
          </r>
        </is>
      </c>
      <c r="T276" s="26" t="str">
        <v>N</v>
      </c>
    </row>
    <row r="277" spans="1:20">
      <c r="A277" s="15" t="str">
        <v>车控功能</v>
      </c>
      <c r="H277" s="15" t="str">
        <v>membership_status</v>
      </c>
      <c r="I277" s="15" t="str">
        <v>会员开通状态</v>
      </c>
      <c r="J277" s="15" t="str">
        <v>enum</v>
      </c>
      <c r="K277" s="48" t="str">
        <v>已开通，已过期，待生效，未开通</v>
      </c>
      <c r="N277" s="15" t="str">
        <v>Y</v>
      </c>
      <c r="O277" s="106" t="str">
        <v>N （需要字节单独列出需要状态的具体应用）</v>
      </c>
      <c r="P277" s="37" t="str">
        <v>NA</v>
      </c>
      <c r="S277" s="32" t="inlineStr">
        <is>
          <r>
            <t>@尹泽陆</t>
          </r>
        </is>
      </c>
      <c r="T277" s="26" t="str">
        <v>N</v>
      </c>
    </row>
    <row r="278" spans="1:20">
      <c r="A278" s="15" t="str">
        <v>车控功能</v>
      </c>
      <c r="H278" s="15" t="str">
        <v>position</v>
      </c>
      <c r="I278" s="15" t="str">
        <v>位置</v>
      </c>
      <c r="J278" s="17" t="str">
        <v>enum</v>
      </c>
      <c r="K278" s="18" t="str">
        <v>中控屏、副驾屏、仪表、后排屏、左后屏、右后屏、前排屏、全部屏、PAD、语音屏、后排吸顶屏</v>
      </c>
      <c r="N278" s="15" t="str">
        <v>Y</v>
      </c>
      <c r="O278" s="36" t="str">
        <v>Y</v>
      </c>
      <c r="P278" s="37" t="str">
        <v>Y</v>
      </c>
      <c r="Q278" s="53" t="str">
        <v>原生系统能力</v>
      </c>
      <c r="S278" s="32" t="inlineStr">
        <is>
          <r>
            <t>@尹泽陆</t>
          </r>
        </is>
      </c>
      <c r="T278" s="26" t="str">
        <v>N(系统能力与可见即可说功能冲突，需要上汽重新提供接口)</v>
      </c>
    </row>
    <row r="279" spans="1:25">
      <c r="A279" s="15" t="str">
        <v>车控功能</v>
      </c>
      <c r="B279" s="15" t="str">
        <v>驾驶</v>
      </c>
      <c r="C279" s="15" t="str">
        <v>vehicle_control_0046</v>
      </c>
      <c r="F279" s="15" t="str">
        <v>动力和电源状态</v>
      </c>
      <c r="G279" s="45" t="str">
        <v>低频变化</v>
      </c>
      <c r="H279" s="15" t="str">
        <v>states</v>
      </c>
      <c r="I279" s="15" t="str">
        <v>状态</v>
      </c>
      <c r="J279" s="15" t="str">
        <v>enum</v>
      </c>
      <c r="K279" s="15" t="inlineStr">
        <is>
          <r>
            <rPr>
              <sz val="10"/>
              <color rgb="FF1F2329"/>
              <rFont val="Arial"/>
            </rPr>
            <t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</t>
          </r>
          <r>
            <rPr>
              <sz val="10"/>
              <color rgb="FFF54A45"/>
              <rFont val="Arial"/>
            </rPr>
            <t>智能泊车，智能驾驶，舒适模式（上车未启动车辆，静止状态下在车内使用舒适娱乐功能，动力未就绪）</t>
          </r>
        </is>
      </c>
      <c r="M279" s="16">
        <v>1</v>
      </c>
      <c r="N279" s="15" t="str">
        <v>Y</v>
      </c>
      <c r="O279" s="106" t="str">
        <v>Y（电源状态：usgmode）
(动力源：纯电/混动)</v>
      </c>
      <c r="P279" s="37" t="str">
        <v>Y</v>
      </c>
      <c r="Q279" s="36" t="str">
        <v>动力源
int getEptPwrMd(IntResult result)
AdsCallbackFlag.EPTPWRMD
onEptPwrMdChanged
电源模式
int getVehicleUsgMode(@NonNull IntResult result)
VehicleCommonCallbackFlag.USG_MODE
onVehicleUsgModeChanged</v>
      </c>
      <c r="S279" s="32" t="inlineStr">
        <is>
          <r>
            <t>@谢一鸣</t>
          </r>
        </is>
      </c>
      <c r="T279" s="15" t="str">
        <v>Y</v>
      </c>
      <c r="U279" s="27">
        <v>4.24</v>
      </c>
      <c r="V279" s="15" t="str">
        <v>Y</v>
      </c>
      <c r="W279" s="15" t="str">
        <v>动力源分到vehicle_control_0053
只上报电源状态
休眠模式==休眠模式
待机模式==待机模式
XOTA==远程OTA
舒适模式==舒适模式（用户上车未启动车辆，
静止状态下在车内使用舒适娱乐等功能，
动力未就绪）
正常驾驶==正常工作模式
智能泊车==智能泊车（新增）
智能驾驶==智能驾驶（新增）</v>
      </c>
      <c r="Y279" s="15" t="str">
        <v>Y</v>
      </c>
    </row>
    <row r="280" ht="100" customHeight="1" spans="1:22">
      <c r="A280" s="15" t="str">
        <v>车控功能</v>
      </c>
      <c r="B280" s="15" t="str">
        <v>驾驶类</v>
      </c>
      <c r="C280" s="15" t="str">
        <v>vehicle_control_0047</v>
      </c>
      <c r="E280" s="75"/>
      <c r="F280" s="15" t="str">
        <v>经济驾驶指示灯</v>
      </c>
      <c r="G280" s="45" t="str">
        <v>低频变化</v>
      </c>
      <c r="H280" s="15" t="str">
        <v>states</v>
      </c>
      <c r="I280" s="15" t="str">
        <v>状态</v>
      </c>
      <c r="J280" s="15" t="str">
        <v>enum</v>
      </c>
      <c r="K280" s="18" t="str">
        <v>关闭，显示绿色</v>
      </c>
      <c r="N280" s="49" t="str">
        <v>N</v>
      </c>
      <c r="O280" s="36" t="str">
        <v>N</v>
      </c>
      <c r="P280" s="37" t="str">
        <v>NA</v>
      </c>
      <c r="S280" s="32" t="inlineStr">
        <is>
          <r>
            <t>@尹泽陆</t>
          </r>
        </is>
      </c>
      <c r="T280" s="26" t="str">
        <v>N</v>
      </c>
      <c r="V280" s="75" t="str">
        <v>无接口</v>
      </c>
    </row>
    <row r="281" spans="1:25">
      <c r="A281" s="45" t="str">
        <v>车控功能</v>
      </c>
      <c r="B281" s="45" t="str">
        <v>车载家装家电类</v>
      </c>
      <c r="C281" s="15" t="str">
        <v>vehicle_control_0048</v>
      </c>
      <c r="F281" s="45" t="str">
        <v>冰箱状态</v>
      </c>
      <c r="G281" s="45" t="str">
        <v>低频变化</v>
      </c>
      <c r="H281" s="45" t="str">
        <v>states_work</v>
      </c>
      <c r="I281" s="45" t="str">
        <v>电源和工作状态</v>
      </c>
      <c r="J281" s="45" t="str">
        <v>enum</v>
      </c>
      <c r="K281" s="58" t="str">
        <v>关闭，制冷，制热</v>
      </c>
      <c r="N281" s="15" t="str">
        <v>Y</v>
      </c>
      <c r="O281" s="36" t="str">
        <v>Y</v>
      </c>
      <c r="P281" s="37" t="str">
        <v>Y</v>
      </c>
      <c r="Q281" s="36" t="str">
        <v> public int getFridgePowerStatus(@NonNull IntResult result) 
FridgeCallbackFlag.FRIDGE_POWER_STATUS
onFridgePowerStatusChanged</v>
      </c>
      <c r="S281" s="32" t="inlineStr">
        <is>
          <r>
            <t>@杨忠谕</t>
          </r>
        </is>
      </c>
      <c r="T281" s="26" t="str">
        <v>Y</v>
      </c>
      <c r="U281" s="112">
        <v>46132</v>
      </c>
      <c r="V281" s="15" t="str">
        <v>Y</v>
      </c>
      <c r="Y281" s="15" t="str">
        <v>Y</v>
      </c>
    </row>
    <row r="282" spans="1:25">
      <c r="A282" s="45" t="str">
        <v>车控功能</v>
      </c>
      <c r="H282" s="45" t="str">
        <v>temperature</v>
      </c>
      <c r="I282" s="45" t="str">
        <v>温度</v>
      </c>
      <c r="J282" s="45" t="str">
        <v>str</v>
      </c>
      <c r="N282" s="15" t="str">
        <v>Y</v>
      </c>
      <c r="O282" s="36" t="str">
        <v>Y</v>
      </c>
      <c r="P282" s="37" t="str">
        <v>Y</v>
      </c>
      <c r="Q282" s="36" t="str">
        <v>public int getFridgeTemp(@NonNull IntResult result) 
FridgeCallbackFlag.FRIDGE_TEMP
onFridgeTempChanged</v>
      </c>
      <c r="S282" s="32" t="inlineStr">
        <is>
          <r>
            <t>@杨忠谕</t>
          </r>
        </is>
      </c>
      <c r="T282" s="26" t="str">
        <v>Y</v>
      </c>
      <c r="U282" s="112">
        <v>46132</v>
      </c>
      <c r="V282" s="15" t="str">
        <v>Y</v>
      </c>
      <c r="Y282" s="15" t="str">
        <v>Y</v>
      </c>
    </row>
    <row r="283" spans="1:25">
      <c r="A283" s="45" t="str">
        <v>车控功能</v>
      </c>
      <c r="H283" s="45" t="str">
        <v>switch_door</v>
      </c>
      <c r="I283" s="45" t="str">
        <v>冰箱门开关</v>
      </c>
      <c r="J283" s="45" t="str">
        <v>enum</v>
      </c>
      <c r="K283" s="58" t="str">
        <v>打开，关闭</v>
      </c>
      <c r="N283" s="15" t="str">
        <v>Y</v>
      </c>
      <c r="O283" s="36" t="str">
        <v>Y</v>
      </c>
      <c r="P283" s="37" t="str">
        <v>Y</v>
      </c>
      <c r="Q283" s="36" t="str">
        <v>int getFridgeDoorStatus(@NonNull IntResult result) 
FridgeCallbackFlag.FRIDGE_DOOR_STATUS
onFridgeDoorStatusChanged</v>
      </c>
      <c r="S283" s="32" t="inlineStr">
        <is>
          <r>
            <t>@杨忠谕</t>
          </r>
        </is>
      </c>
      <c r="T283" s="26" t="str">
        <v>Y</v>
      </c>
      <c r="U283" s="112">
        <v>46132</v>
      </c>
      <c r="V283" s="15" t="str">
        <v>Y</v>
      </c>
      <c r="Y283" s="15" t="str">
        <v>Y</v>
      </c>
    </row>
    <row r="284" spans="1:25">
      <c r="A284" s="45" t="str">
        <v>车控功能</v>
      </c>
      <c r="H284" s="45" t="str">
        <v>switch_remain</v>
      </c>
      <c r="I284" s="45" t="str">
        <v>物品遗留检查开关</v>
      </c>
      <c r="J284" s="45" t="str">
        <v>enum</v>
      </c>
      <c r="K284" s="58" t="str">
        <v>打开，关闭</v>
      </c>
      <c r="N284" s="15" t="str">
        <v>Y</v>
      </c>
      <c r="O284" s="36" t="str">
        <v>Y</v>
      </c>
      <c r="P284" s="37" t="str">
        <v>Y</v>
      </c>
      <c r="Q284" s="36" t="str">
        <v>int getFridgeItemDetectionStatus(@NonNull IntResult result)
FridgeCallbackFlag.FRIDGE_ITEM_DETECTION_STATUS
onFridgeItemDetectionStatusChanged</v>
      </c>
      <c r="S284" s="32" t="inlineStr">
        <is>
          <r>
            <t>@杨忠谕</t>
          </r>
        </is>
      </c>
      <c r="T284" s="26" t="str">
        <v>Y</v>
      </c>
      <c r="U284" s="112">
        <v>46132</v>
      </c>
      <c r="V284" s="15" t="str">
        <v>Y</v>
      </c>
      <c r="Y284" s="15" t="str">
        <v>Y</v>
      </c>
    </row>
    <row r="285" spans="1:25">
      <c r="A285" s="45" t="str">
        <v>车控功能</v>
      </c>
      <c r="H285" s="45" t="str">
        <v>switch_purify</v>
      </c>
      <c r="I285" s="45" t="str">
        <v>净味杀菌开关</v>
      </c>
      <c r="J285" s="45" t="str">
        <v>enum</v>
      </c>
      <c r="K285" s="58" t="str">
        <v>打开，关闭</v>
      </c>
      <c r="N285" s="15" t="str">
        <v>Y</v>
      </c>
      <c r="O285" s="36" t="str">
        <v>Y</v>
      </c>
      <c r="P285" s="37" t="str">
        <v>Y</v>
      </c>
      <c r="Q285" s="36" t="str">
        <v>int getFridgeSterilizationStatus(@NonNull IntResult result)
FridgeCallbackFlag.FRIDGE_STERILIZATION_STATUS
onFridgeSterilizationStatusChanged</v>
      </c>
      <c r="S285" s="32" t="inlineStr">
        <is>
          <r>
            <t>@杨忠谕</t>
          </r>
        </is>
      </c>
      <c r="T285" s="26" t="str">
        <v>Y</v>
      </c>
      <c r="U285" s="112">
        <v>46132</v>
      </c>
      <c r="V285" s="15" t="str">
        <v>Y</v>
      </c>
      <c r="Y285" s="15" t="str">
        <v>Y</v>
      </c>
    </row>
    <row r="286" spans="1:27">
      <c r="A286" s="45" t="str">
        <v>车控功能</v>
      </c>
      <c r="H286" s="45" t="str">
        <v>switch_defrost</v>
      </c>
      <c r="I286" s="45" t="str">
        <v>脱冰开关</v>
      </c>
      <c r="J286" s="45" t="str">
        <v>enum</v>
      </c>
      <c r="K286" s="58" t="str">
        <v>打开，关闭</v>
      </c>
      <c r="N286" s="15" t="str">
        <v>Y</v>
      </c>
      <c r="O286" s="36" t="str">
        <v>Y</v>
      </c>
      <c r="P286" s="37" t="str">
        <v>Y</v>
      </c>
      <c r="Q286" s="36" t="str">
        <v>getFridgeIceMakingProgressStatus(@NonNull IntResult result) 
FridgeCallbackFlag.FRIDGE_ICE_MAKING_PROGRESS
onFridgeIceMakingProgressStatusChanged</v>
      </c>
      <c r="S286" s="32" t="inlineStr">
        <is>
          <r>
            <t>@杨忠谕</t>
          </r>
        </is>
      </c>
      <c r="T286" s="26" t="str">
        <v>Y</v>
      </c>
      <c r="U286" s="112">
        <v>46132</v>
      </c>
      <c r="V286" s="15" t="str">
        <v>Y</v>
      </c>
      <c r="Y286" s="15" t="str">
        <v>B</v>
      </c>
      <c r="AA286" s="15" t="str">
        <v>页面无法操作</v>
      </c>
    </row>
    <row r="287" spans="1:27">
      <c r="A287" s="45" t="str">
        <v>车控功能</v>
      </c>
      <c r="H287" s="45" t="str">
        <v>switch_ice</v>
      </c>
      <c r="I287" s="45" t="str">
        <v>制冰开关</v>
      </c>
      <c r="J287" s="45" t="str">
        <v>enum</v>
      </c>
      <c r="K287" s="58" t="str">
        <v>打开，关闭</v>
      </c>
      <c r="N287" s="15" t="str">
        <v>Y</v>
      </c>
      <c r="O287" s="36" t="str">
        <v>Y</v>
      </c>
      <c r="P287" s="37" t="str">
        <v>Y</v>
      </c>
      <c r="Q287" s="36" t="str">
        <v>getFridgeIceMakingProgressStatus(@NonNull IntResult result) 
FridgeCallbackFlag.FRIDGE_ICE_MAKING_PROGRESS
onFridgeIceMakingProgressStatusChanged</v>
      </c>
      <c r="S287" s="32" t="inlineStr">
        <is>
          <r>
            <t>@杨忠谕</t>
          </r>
        </is>
      </c>
      <c r="T287" s="26" t="str">
        <v>Y</v>
      </c>
      <c r="U287" s="112">
        <v>46132</v>
      </c>
      <c r="V287" s="15" t="str">
        <v>Y</v>
      </c>
      <c r="Y287" s="15" t="str">
        <v>B</v>
      </c>
      <c r="AA287" s="15" t="str">
        <v>页面无法操作</v>
      </c>
    </row>
    <row r="288" spans="1:25">
      <c r="A288" s="45" t="str">
        <v>车控功能</v>
      </c>
      <c r="H288" s="45" t="str">
        <v>switch_auto_on</v>
      </c>
      <c r="I288" s="45" t="str">
        <v>上电自动开启开关</v>
      </c>
      <c r="J288" s="45" t="str">
        <v>enum</v>
      </c>
      <c r="K288" s="58" t="str">
        <v>打开，关闭</v>
      </c>
      <c r="N288" s="15" t="str">
        <v>Y</v>
      </c>
      <c r="O288" s="36" t="str">
        <v>Y</v>
      </c>
      <c r="P288" s="37" t="str">
        <v>Y</v>
      </c>
      <c r="Q288" s="36" t="str">
        <v>int getFridgeAutoPowerOnStatus(@NonNull IntResult result)
FridgeCallbackFlag.FRIDGE_AUTO_POWER_ON_STATUS
onFridgeAutoPowerOnStatusChanged</v>
      </c>
      <c r="S288" s="32" t="inlineStr">
        <is>
          <r>
            <t>@杨忠谕</t>
          </r>
        </is>
      </c>
      <c r="T288" s="26" t="str">
        <v>Y</v>
      </c>
      <c r="U288" s="112">
        <v>46132</v>
      </c>
      <c r="V288" s="15" t="str">
        <v>Y</v>
      </c>
      <c r="Y288" s="15" t="str">
        <v>Y</v>
      </c>
    </row>
    <row r="289" spans="1:25">
      <c r="A289" s="45" t="str">
        <v>车控功能</v>
      </c>
      <c r="H289" s="45" t="str">
        <v>switch_keep_temp</v>
      </c>
      <c r="I289" s="45" t="str">
        <v>离车恒温开关</v>
      </c>
      <c r="J289" s="45" t="str">
        <v>enum</v>
      </c>
      <c r="K289" s="58" t="str">
        <v>打开，关闭</v>
      </c>
      <c r="N289" s="15" t="str">
        <v>Y</v>
      </c>
      <c r="O289" s="36" t="str">
        <v>Y</v>
      </c>
      <c r="P289" s="37" t="str">
        <v>Y</v>
      </c>
      <c r="Q289" s="36" t="str">
        <v>int getFridgeLeaveCarStatus(@NonNull IntResult result) 
FridgeCallbackFlag.FRIDGE_LEAVE_CAR_STATUS
onFridgeLeaveCarStatusChanged</v>
      </c>
      <c r="S289" s="32" t="inlineStr">
        <is>
          <r>
            <t>@杨忠谕</t>
          </r>
        </is>
      </c>
      <c r="T289" s="26" t="str">
        <v>Y</v>
      </c>
      <c r="U289" s="112">
        <v>46132</v>
      </c>
      <c r="V289" s="15" t="str">
        <v>Y</v>
      </c>
      <c r="Y289" s="15" t="str">
        <v>Y</v>
      </c>
    </row>
    <row r="290" spans="1:25">
      <c r="A290" s="45" t="str">
        <v>车控功能</v>
      </c>
      <c r="B290" s="45" t="str">
        <v>车载家装家电类</v>
      </c>
      <c r="C290" s="45" t="str">
        <v>vehicle_control_0049</v>
      </c>
      <c r="F290" s="45" t="str">
        <v>遮阳帘状态</v>
      </c>
      <c r="G290" s="45" t="str">
        <v>低频变化</v>
      </c>
      <c r="H290" s="45" t="str">
        <v>position</v>
      </c>
      <c r="I290" s="45" t="str">
        <v>位置</v>
      </c>
      <c r="J290" s="45" t="str">
        <v>enum</v>
      </c>
      <c r="K290" s="58" t="str">
        <v>车顶、车顶前、车顶后、主驾，副驾，二排左，二排右，三排左，三排右</v>
      </c>
      <c r="L290" s="85">
        <v>1</v>
      </c>
      <c r="N290" s="15" t="str">
        <v>Y</v>
      </c>
      <c r="O290" s="36" t="str">
        <v>Y</v>
      </c>
      <c r="P290" s="37" t="str">
        <v>Y</v>
      </c>
      <c r="Q290" s="36" t="str">
        <v>int getSunroofStatus(@WindowFRPosition int pos, @NonNull IntResult result);
WindowCallbackFlag.SUNROOF_STATUS
void onSunroofStatusChanged(@WindowFRPosition int pos, @NonNull IntResult result) </v>
      </c>
      <c r="S290" s="32" t="inlineStr">
        <is>
          <r>
            <t>@尹泽陆</t>
          </r>
        </is>
      </c>
      <c r="T290" s="48" t="str">
        <v>Y</v>
      </c>
      <c r="U290" s="27">
        <v>4.27</v>
      </c>
      <c r="V290" s="75" t="str">
        <v>Y</v>
      </c>
      <c r="Y290" s="15" t="str">
        <v>Y</v>
      </c>
    </row>
    <row r="291" spans="1:25">
      <c r="A291" s="45" t="str">
        <v>车控功能</v>
      </c>
      <c r="H291" s="45" t="str">
        <v>states</v>
      </c>
      <c r="I291" s="45" t="str">
        <v>开度</v>
      </c>
      <c r="J291" s="45" t="str">
        <v>str</v>
      </c>
      <c r="N291" s="15" t="str">
        <v>Y</v>
      </c>
      <c r="O291" s="36" t="str">
        <v>Y</v>
      </c>
      <c r="P291" s="37" t="str">
        <v>Y</v>
      </c>
      <c r="Q291" s="36" t="str">
        <v>int getSunroofPosition(@WindowFRPosition int pos, IntResult result);
WindowCallbackFlag.SUNROOF_POSITION
void onSunroofPositionChanged(@WindowFRPosition int pos, IntResult result)
</v>
      </c>
      <c r="R291" s="114" t="str">
        <v>int getSunroofPosition(@WindowFRPosition int pos, IntResult result);
WindowCallbackFlag.SUNROOF_POSITION
void onSunroofPositionChanged(@WindowFRPosition int pos, IntResult result)
</v>
      </c>
      <c r="S291" s="32" t="inlineStr">
        <is>
          <r>
            <t>@尹泽陆</t>
          </r>
        </is>
      </c>
      <c r="T291" s="48" t="str">
        <v>Y</v>
      </c>
      <c r="U291" s="27">
        <v>4.27</v>
      </c>
      <c r="V291" s="75" t="str">
        <v>Y</v>
      </c>
      <c r="Y291" s="15" t="str">
        <v>Y</v>
      </c>
    </row>
    <row r="292" spans="1:27">
      <c r="A292" s="45" t="str">
        <v>车控功能</v>
      </c>
      <c r="B292" s="45" t="str">
        <v>拍摄类</v>
      </c>
      <c r="C292" s="45" t="str">
        <v>vehicle_control_0050</v>
      </c>
      <c r="F292" s="45" t="str">
        <v>DVR状态</v>
      </c>
      <c r="G292" s="45" t="str">
        <v>低频变化</v>
      </c>
      <c r="H292" s="45" t="str">
        <v>type</v>
      </c>
      <c r="I292" s="45" t="str">
        <v>录制视角</v>
      </c>
      <c r="J292" s="45" t="str">
        <v>enum</v>
      </c>
      <c r="K292" s="58" t="str">
        <v>主视角，全视角</v>
      </c>
      <c r="N292" s="15" t="str">
        <v>Y</v>
      </c>
      <c r="O292" s="36" t="str">
        <v>Y（主视角/全视角）</v>
      </c>
      <c r="P292" s="37" t="str">
        <v>Y</v>
      </c>
      <c r="Q292" s="36" t="str">
        <v>public void onDvrSettingValue(String key, int value)
key：Constants.KEY_DVR_RECORD_VIEW_TYPE
value：0是主视角，1是全视角
注册callback时自动回调，没有主动查询</v>
      </c>
      <c r="S292" s="32" t="inlineStr">
        <is>
          <r>
            <t>@谢一鸣</t>
          </r>
        </is>
      </c>
      <c r="T292" s="26" t="str">
        <v>Y</v>
      </c>
      <c r="U292" s="115">
        <v>46142</v>
      </c>
      <c r="V292" s="15" t="str">
        <v>Y</v>
      </c>
      <c r="Y292" s="15" t="str">
        <v>B</v>
      </c>
      <c r="AA292" s="45" t="str">
        <v>与主线字段不一致，需要转需求</v>
      </c>
    </row>
    <row r="293" spans="1:27">
      <c r="A293" s="45" t="str">
        <v>车控功能</v>
      </c>
      <c r="H293" s="45" t="str">
        <v>switch_audio</v>
      </c>
      <c r="I293" s="45" t="str">
        <v>录音开关</v>
      </c>
      <c r="J293" s="45" t="str">
        <v>enum</v>
      </c>
      <c r="K293" s="58" t="str">
        <v>开启，关闭</v>
      </c>
      <c r="N293" s="15" t="str">
        <v>Y</v>
      </c>
      <c r="O293" s="36" t="str">
        <v>Y</v>
      </c>
      <c r="P293" s="37" t="str">
        <v>Y</v>
      </c>
      <c r="Q293" s="36" t="str">
        <v>public void onAudioRecordSwitchStatus(int status) 
注册callback时自动回调，没有主动查询</v>
      </c>
      <c r="S293" s="32" t="inlineStr">
        <is>
          <r>
            <t>@谢一鸣</t>
          </r>
        </is>
      </c>
      <c r="T293" s="26" t="str">
        <v>Y</v>
      </c>
      <c r="U293" s="115">
        <v>46142</v>
      </c>
      <c r="V293" s="15" t="str">
        <v>Y</v>
      </c>
      <c r="Y293" s="15" t="str">
        <v>B</v>
      </c>
      <c r="AA293" s="45" t="str">
        <v>需要转需求</v>
      </c>
    </row>
    <row r="294" spans="1:27">
      <c r="A294" s="45" t="str">
        <v>车控功能</v>
      </c>
      <c r="H294" s="45" t="str">
        <v>switch_video</v>
      </c>
      <c r="I294" s="45" t="str">
        <v>录制开关</v>
      </c>
      <c r="J294" s="45" t="str">
        <v>enum</v>
      </c>
      <c r="K294" s="58" t="str">
        <v>开启，关闭</v>
      </c>
      <c r="N294" s="15" t="str">
        <v>Y</v>
      </c>
      <c r="O294" s="36" t="str">
        <v>Y</v>
      </c>
      <c r="P294" s="37" t="str">
        <v>Y</v>
      </c>
      <c r="Q294" s="36" t="str">
        <v>public void onNormalRecordSwitchStatus(int status)
注册callback时自动回调，没有主动查询</v>
      </c>
      <c r="S294" s="32" t="inlineStr">
        <is>
          <r>
            <t>@谢一鸣</t>
          </r>
        </is>
      </c>
      <c r="T294" s="26" t="str">
        <v>Y</v>
      </c>
      <c r="U294" s="115">
        <v>46142</v>
      </c>
      <c r="V294" s="15" t="str">
        <v>Y</v>
      </c>
      <c r="Y294" s="15" t="str">
        <v>B</v>
      </c>
      <c r="AA294" s="45" t="str">
        <v>需要转需求</v>
      </c>
    </row>
    <row r="295" spans="1:25">
      <c r="A295" s="45" t="str">
        <v>车控功能</v>
      </c>
      <c r="B295" s="45" t="str">
        <v>拍摄类</v>
      </c>
      <c r="C295" s="45" t="str">
        <v>vehicle_control_0051</v>
      </c>
      <c r="F295" s="45" t="str">
        <v>OMS状态</v>
      </c>
      <c r="G295" s="45" t="str">
        <v>低频变化</v>
      </c>
      <c r="H295" s="45" t="str">
        <v>switch_work</v>
      </c>
      <c r="I295" s="45" t="str">
        <v>摄像头开关</v>
      </c>
      <c r="J295" s="45" t="str">
        <v>enum</v>
      </c>
      <c r="K295" s="58" t="str">
        <v>开启，关闭</v>
      </c>
      <c r="N295" s="15" t="str">
        <v>Y</v>
      </c>
      <c r="O295" s="36" t="str">
        <v>Y</v>
      </c>
      <c r="P295" s="37" t="str">
        <v>Y</v>
      </c>
      <c r="Q295" s="36" t="str">
        <v>OMSManager
public boolean setOMSSwitchStatus(byte type, int enable)
type: OMSSwitchDefine.SW_MAIN
enable: OMSSwitchDefine.State.SW_ON
int getOMSSwitchStatus(byte type)
onSwitchStatusChange(byte type, int enable)</v>
      </c>
      <c r="S295" s="32" t="inlineStr">
        <is>
          <r>
            <t>@谢一鸣</t>
          </r>
        </is>
      </c>
      <c r="T295" s="26" t="str">
        <v>Y</v>
      </c>
      <c r="U295" s="115">
        <v>46142</v>
      </c>
      <c r="V295" s="15" t="str">
        <v>Y</v>
      </c>
      <c r="Y295" s="15" t="str">
        <v>Y</v>
      </c>
    </row>
    <row r="296" spans="1:22">
      <c r="A296" s="45" t="str">
        <v>车控功能</v>
      </c>
      <c r="H296" s="45" t="str">
        <v>switch_rear_view</v>
      </c>
      <c r="I296" s="45" t="str">
        <v>后排查看功能开关</v>
      </c>
      <c r="J296" s="45" t="str">
        <v>enum</v>
      </c>
      <c r="K296" s="58" t="str">
        <v>开启，关闭</v>
      </c>
      <c r="N296" s="49" t="str">
        <v>Y</v>
      </c>
      <c r="O296" s="36" t="str">
        <v>N</v>
      </c>
      <c r="P296" s="37" t="str">
        <v>NA</v>
      </c>
      <c r="S296" s="32" t="inlineStr">
        <is>
          <r>
            <t>@赵明珠</t>
          </r>
        </is>
      </c>
      <c r="T296" s="26" t="str">
        <v>NA</v>
      </c>
      <c r="U296" s="115">
        <v>46142</v>
      </c>
      <c r="V296" s="15" t="str">
        <v>上汽不支持后排查看功能开关的回调监听</v>
      </c>
    </row>
    <row r="297" spans="1:25">
      <c r="A297" s="45" t="str">
        <v>车控功能</v>
      </c>
      <c r="B297" s="45" t="str">
        <v>拍摄类</v>
      </c>
      <c r="C297" s="45" t="str">
        <v>vehicle_control_0052</v>
      </c>
      <c r="F297" s="45" t="str">
        <v>DMS状态</v>
      </c>
      <c r="G297" s="45" t="str">
        <v>低频变化</v>
      </c>
      <c r="H297" s="45" t="str">
        <v>switch_work</v>
      </c>
      <c r="I297" s="45" t="str">
        <v> 驾驶员监测开关</v>
      </c>
      <c r="J297" s="45" t="str">
        <v>enum</v>
      </c>
      <c r="K297" s="58" t="str">
        <v>开启，关闭</v>
      </c>
      <c r="N297" s="15" t="str">
        <v>Y</v>
      </c>
      <c r="O297" s="36" t="str">
        <v>Y</v>
      </c>
      <c r="P297" s="37" t="str">
        <v>Y</v>
      </c>
      <c r="Q297" s="36" t="str">
        <v>DmsManager
//setDms总开关：
public final fun setDmsSwitchSts(type: kotlin.Byte, status: kotlin.Boolean): kotlin.Unit { /* compiled code */ }
type: 
DmsSwitchType.PP01_SW_MAIN
enable: true / false
//getDms总开关状态
public final fun getDmsSwitchStatus(type: kotlin.Byte): kotlin.Boolean { /* compiled code */ }
type: 
DmsSwitchType.PP01_SW_MAIN
//notification：
DmsCommonSwChangedListener.onDmsSwitchStatusChange(type: kotlin.Byte, status: kotlin.Byte)
status = status.toBoolean()
if(type == DmsSwitchType.PP01_SW_MAIN){
 if(status){
 //DMS总开关开
 }else {
 //DMS总开关关
 }
}
</v>
      </c>
      <c r="S297" s="32" t="inlineStr">
        <is>
          <r>
            <t>@谢一鸣</t>
          </r>
        </is>
      </c>
      <c r="T297" s="26" t="str">
        <v>Y</v>
      </c>
      <c r="U297" s="115">
        <v>46142</v>
      </c>
      <c r="V297" s="15" t="str">
        <v>Y</v>
      </c>
      <c r="Y297" s="15" t="str">
        <v>Y</v>
      </c>
    </row>
    <row r="298" spans="1:25">
      <c r="A298" s="45" t="str">
        <v>车控功能</v>
      </c>
      <c r="G298" s="45" t="str">
        <v>低频变化</v>
      </c>
      <c r="H298" s="45" t="str">
        <v>type_fatigue</v>
      </c>
      <c r="I298" s="45" t="str">
        <v>疲劳提醒类型</v>
      </c>
      <c r="J298" s="45" t="str">
        <v>enum</v>
      </c>
      <c r="K298" s="58" t="str">
        <v>辅助驾驶下提醒，始终提醒</v>
      </c>
      <c r="N298" s="15" t="str">
        <v>Y</v>
      </c>
      <c r="O298" s="36" t="str">
        <v>Y</v>
      </c>
      <c r="P298" s="37" t="str">
        <v>Y</v>
      </c>
      <c r="Q298" s="36" t="str">
        <v>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if(status){
 //疲劳提醒-始终提醒
 }else {
 //疲劳提醒-辅助驾驶下提醒
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if(status){
 //分心提醒-始终提醒
 }else {
 //分心提醒-辅助驾驶下提醒
 }
}//疲劳提醒：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       if(status){
                        //疲劳提醒-始终提醒
        }else {
                        //疲劳提醒-辅助驾驶下提醒
       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       if(status){
                        //分心提醒-始终提醒
        }else {
                        //分心提醒-辅助驾驶下提醒
        }
}</v>
      </c>
      <c r="S298" s="32" t="inlineStr">
        <is>
          <r>
            <t>@谢一鸣</t>
          </r>
        </is>
      </c>
      <c r="T298" s="26" t="str">
        <v>Y</v>
      </c>
      <c r="U298" s="115">
        <v>46142</v>
      </c>
      <c r="V298" s="15" t="str">
        <v>Y</v>
      </c>
      <c r="Y298" s="15" t="str">
        <v>Y</v>
      </c>
    </row>
    <row r="299" spans="1:25">
      <c r="A299" s="45" t="str">
        <v>车控功能</v>
      </c>
      <c r="G299" s="45" t="str">
        <v>低频变化</v>
      </c>
      <c r="H299" s="45" t="str">
        <v>type_distraction</v>
      </c>
      <c r="I299" s="45" t="str">
        <v>分心提醒类型</v>
      </c>
      <c r="J299" s="45" t="str">
        <v>enum</v>
      </c>
      <c r="K299" s="58" t="str">
        <v>辅助驾驶下提醒，始终提醒</v>
      </c>
      <c r="N299" s="15" t="str">
        <v>Y</v>
      </c>
      <c r="O299" s="36" t="str">
        <v>Y</v>
      </c>
      <c r="P299" s="37" t="str">
        <v>Y</v>
      </c>
      <c r="S299" s="32" t="inlineStr">
        <is>
          <r>
            <t>@谢一鸣</t>
          </r>
        </is>
      </c>
      <c r="T299" s="15" t="str">
        <v>Y</v>
      </c>
      <c r="V299" s="15" t="str">
        <v>Y</v>
      </c>
      <c r="Y299" s="15" t="str">
        <v>Y</v>
      </c>
    </row>
    <row r="300" spans="1:27">
      <c r="A300" s="45" t="str">
        <v>车控功能</v>
      </c>
      <c r="B300" s="45" t="str">
        <v>拍摄类</v>
      </c>
      <c r="C300" s="45" t="str">
        <v>vehicle_control_0056</v>
      </c>
      <c r="F300" s="45" t="str">
        <v>哨兵模式状态</v>
      </c>
      <c r="G300" s="45" t="str">
        <v>低频变化</v>
      </c>
      <c r="H300" s="45" t="str">
        <v>switch</v>
      </c>
      <c r="I300" s="45" t="str">
        <v>开关</v>
      </c>
      <c r="J300" s="45" t="str">
        <v>enum</v>
      </c>
      <c r="K300" s="58" t="str">
        <v>开启，关闭</v>
      </c>
      <c r="N300" s="15" t="str">
        <v>Y</v>
      </c>
      <c r="O300" s="36" t="str">
        <v>Y</v>
      </c>
      <c r="P300" s="37" t="str">
        <v>Y</v>
      </c>
      <c r="S300" s="32" t="inlineStr">
        <is>
          <r>
            <t>@谢一鸣</t>
          </r>
        </is>
      </c>
      <c r="V300" s="15" t="str">
        <v>Y</v>
      </c>
      <c r="Y300" s="45" t="str">
        <v>B</v>
      </c>
      <c r="AA300" s="45" t="str">
        <v>新增信号，需要转需求</v>
      </c>
    </row>
    <row r="301" spans="1:25">
      <c r="A301" s="45" t="str">
        <v>交互状态</v>
      </c>
      <c r="B301" s="45" t="str">
        <v>播报</v>
      </c>
      <c r="C301" s="45" t="str">
        <v>interaction_0001</v>
      </c>
      <c r="F301" s="45" t="str">
        <v>ASR识别状态</v>
      </c>
      <c r="G301" s="45" t="str">
        <v>高频变化</v>
      </c>
      <c r="H301" s="45" t="str">
        <v>states</v>
      </c>
      <c r="I301" s="45" t="str">
        <v>状态</v>
      </c>
      <c r="J301" s="76" t="str">
        <v>enum</v>
      </c>
      <c r="K301" s="58" t="str">
        <v>用户正在说话，无人说话</v>
      </c>
      <c r="N301" s="15" t="str">
        <v>Y</v>
      </c>
      <c r="O301" s="87" t="str">
        <v>Y</v>
      </c>
      <c r="P301" s="37" t="str">
        <v>Y</v>
      </c>
      <c r="S301" s="32" t="inlineStr">
        <is>
          <r>
            <t>@汪帅</t>
          </r>
        </is>
      </c>
      <c r="T301" s="15" t="str">
        <v>Y</v>
      </c>
      <c r="V301" s="15" t="str">
        <v>Y</v>
      </c>
      <c r="Y301" s="45" t="str">
        <v>Y</v>
      </c>
    </row>
    <row r="302" spans="1:25">
      <c r="A302" s="45" t="str">
        <v>交互状态</v>
      </c>
      <c r="B302" s="45" t="str">
        <v>播报</v>
      </c>
      <c r="C302" s="45" t="str">
        <v>interaction_0002</v>
      </c>
      <c r="F302" s="45" t="str">
        <v>TTS播报状态</v>
      </c>
      <c r="G302" s="45" t="str">
        <v>高频变化</v>
      </c>
      <c r="H302" s="45" t="str">
        <v>states</v>
      </c>
      <c r="I302" s="45" t="str">
        <v>状态</v>
      </c>
      <c r="J302" s="76" t="str">
        <v>enum</v>
      </c>
      <c r="K302" s="58" t="str">
        <v>开始播放，正常结束播放，播放被打断，播放出错</v>
      </c>
      <c r="N302" s="15" t="str">
        <v>Y</v>
      </c>
      <c r="O302" s="87" t="str">
        <v>Y</v>
      </c>
      <c r="P302" s="37" t="str">
        <v>Y</v>
      </c>
      <c r="S302" s="32" t="inlineStr">
        <is>
          <r>
            <t>@汪帅</t>
          </r>
        </is>
      </c>
      <c r="T302" s="15" t="str">
        <v>Y</v>
      </c>
      <c r="V302" s="15" t="str">
        <v>Y</v>
      </c>
      <c r="Y302" s="45" t="str">
        <v>Y</v>
      </c>
    </row>
    <row r="303" spans="1:25">
      <c r="A303" s="15" t="str">
        <v>道路导航</v>
      </c>
      <c r="B303" s="15" t="str">
        <v>状态</v>
      </c>
      <c r="C303" s="15" t="str">
        <v>navigation_0001</v>
      </c>
      <c r="F303" s="15" t="str">
        <v>导航状态</v>
      </c>
      <c r="G303" s="15" t="str">
        <v>用户交互后变化</v>
      </c>
      <c r="H303" s="15" t="str">
        <v>status</v>
      </c>
      <c r="I303" s="15" t="str">
        <v>导航状态</v>
      </c>
      <c r="J303" s="20" t="str">
        <v>enum</v>
      </c>
      <c r="K303" s="18" t="str">
        <v>未发起导航，导航中，巡航中</v>
      </c>
      <c r="M303" s="16">
        <v>1</v>
      </c>
      <c r="N303" s="15" t="str">
        <v>Y</v>
      </c>
      <c r="O303" s="36" t="str">
        <v>Y</v>
      </c>
      <c r="P303" s="37" t="str">
        <v>Y</v>
      </c>
      <c r="Q303" s="116" t="str">
        <v>getCurrentNaviStatus(@MapId int mapId)</v>
      </c>
      <c r="S303" s="32" t="inlineStr">
        <is>
          <r>
            <t>@赵明珠</t>
          </r>
          <r>
            <t xml:space="preserve">
</t>
          </r>
          <r>
            <t>@余明明</t>
          </r>
        </is>
      </c>
      <c r="T303" s="26" t="str">
        <v>Y</v>
      </c>
      <c r="V303" s="15" t="str">
        <v>Y</v>
      </c>
      <c r="X303" s="15" t="str">
        <v>导航中、未发起导航</v>
      </c>
      <c r="Y303" s="15" t="str">
        <v>Y</v>
      </c>
    </row>
    <row r="304" spans="1:25">
      <c r="A304" s="15" t="str">
        <v>道路导航</v>
      </c>
      <c r="B304" s="15" t="str">
        <v>位置</v>
      </c>
      <c r="C304" s="15" t="str">
        <v>navigation_0002</v>
      </c>
      <c r="F304" s="15" t="str">
        <v>当前位置</v>
      </c>
      <c r="G304" s="15" t="str">
        <v>高频变化</v>
      </c>
      <c r="H304" s="15" t="str">
        <v> address</v>
      </c>
      <c r="I304" s="15" t="str">
        <v>地址</v>
      </c>
      <c r="J304" s="15" t="str">
        <v>str</v>
      </c>
      <c r="M304" s="16">
        <v>1</v>
      </c>
      <c r="N304" s="15" t="str">
        <v>Y</v>
      </c>
      <c r="O304" s="36" t="str">
        <v>Y</v>
      </c>
      <c r="P304" s="37" t="str">
        <v>Y</v>
      </c>
      <c r="Q304" s="116" t="str">
        <v>CoordinateInfo getLastLocation()；reverseGeoSearch();
searchResult.mPoiResult.get(0).mName</v>
      </c>
      <c r="S304" s="32" t="inlineStr">
        <is>
          <r>
            <t>@余明明</t>
          </r>
        </is>
      </c>
      <c r="T304" s="26" t="str">
        <v>Y</v>
      </c>
      <c r="V304" s="26" t="str">
        <v>Y</v>
      </c>
      <c r="X304" s="15" t="str">
        <v>当前地址</v>
      </c>
      <c r="Y304" s="15" t="str">
        <v>Y</v>
      </c>
    </row>
    <row r="305" spans="1:25">
      <c r="A305" s="15" t="str">
        <v>道路导航</v>
      </c>
      <c r="B305" s="15" t="str">
        <v>位置</v>
      </c>
      <c r="C305" s="15" t="str">
        <v>navigation_0003</v>
      </c>
      <c r="F305" s="15" t="str">
        <v>收藏地址位置</v>
      </c>
      <c r="G305" s="15" t="str">
        <v>用户交互后变化</v>
      </c>
      <c r="H305" s="15" t="str">
        <v>type</v>
      </c>
      <c r="I305" s="15" t="str">
        <v>类型</v>
      </c>
      <c r="J305" s="15" t="str">
        <v>enum</v>
      </c>
      <c r="K305" s="18" t="str">
        <v>家，公司</v>
      </c>
      <c r="M305" s="16">
        <v>1</v>
      </c>
      <c r="N305" s="15" t="str">
        <v>Y</v>
      </c>
      <c r="O305" s="36" t="str">
        <v>Y</v>
      </c>
      <c r="P305" s="37" t="str">
        <v>Y</v>
      </c>
      <c r="Q305" s="116" t="str">
        <v>List&lt;SearchPoi&gt; getMapFavoriteList()</v>
      </c>
      <c r="S305" s="32" t="inlineStr">
        <is>
          <r>
            <t>@赵明珠</t>
          </r>
          <r>
            <t xml:space="preserve">
</t>
          </r>
          <r>
            <t>@余明明</t>
          </r>
        </is>
      </c>
      <c r="T305" s="26" t="str">
        <v>Y</v>
      </c>
      <c r="V305" s="15" t="str">
        <v>Y</v>
      </c>
      <c r="W305" s="26" t="str">
        <v>接口返回指令返回超时</v>
      </c>
      <c r="X305" s="15" t="str">
        <v>家、公司</v>
      </c>
      <c r="Y305" s="15" t="str">
        <v>Y</v>
      </c>
    </row>
    <row r="306" spans="1:25">
      <c r="A306" s="15" t="str">
        <v>道路导航</v>
      </c>
      <c r="H306" s="15" t="str">
        <v>address</v>
      </c>
      <c r="I306" s="15" t="str">
        <v>地址</v>
      </c>
      <c r="J306" s="15" t="str">
        <v>str</v>
      </c>
      <c r="M306" s="16">
        <v>1</v>
      </c>
      <c r="N306" s="15" t="str">
        <v>Y</v>
      </c>
      <c r="O306" s="36" t="str">
        <v>Y</v>
      </c>
      <c r="P306" s="37" t="str">
        <v>Y</v>
      </c>
      <c r="S306" s="32" t="inlineStr">
        <is>
          <r>
            <t>@赵明珠</t>
          </r>
          <r>
            <t xml:space="preserve">
</t>
          </r>
          <r>
            <t>@余明明</t>
          </r>
        </is>
      </c>
      <c r="T306" s="26" t="str">
        <v>Y</v>
      </c>
      <c r="V306" s="15" t="str">
        <v>Y</v>
      </c>
      <c r="W306" s="26" t="str">
        <v>接口返回指令返回超时</v>
      </c>
      <c r="X306" s="15" t="str">
        <v>家、公司</v>
      </c>
      <c r="Y306" s="15" t="str">
        <v>Y</v>
      </c>
    </row>
    <row r="307" spans="1:25">
      <c r="A307" s="15" t="str">
        <v>道路导航</v>
      </c>
      <c r="B307" s="15" t="str">
        <v>位置</v>
      </c>
      <c r="C307" s="15" t="str">
        <v>navigation_0004</v>
      </c>
      <c r="F307" s="15" t="str">
        <v>目的地位置</v>
      </c>
      <c r="G307" s="15" t="str">
        <v>高频变化</v>
      </c>
      <c r="H307" s="15" t="str">
        <v>address</v>
      </c>
      <c r="I307" s="15" t="str">
        <v>地址</v>
      </c>
      <c r="J307" s="15" t="str">
        <v>str</v>
      </c>
      <c r="M307" s="16">
        <v>1</v>
      </c>
      <c r="N307" s="15" t="str">
        <v>Y</v>
      </c>
      <c r="O307" s="36" t="str">
        <v>Y</v>
      </c>
      <c r="P307" s="37" t="str">
        <v>Y</v>
      </c>
      <c r="Q307" s="117" t="str">
        <v>Result&lt;RoutePoint&gt; getEndPointInfo(int mapId)</v>
      </c>
      <c r="S307" s="32" t="inlineStr">
        <is>
          <r>
            <t>@赵明珠</t>
          </r>
          <r>
            <t xml:space="preserve">
</t>
          </r>
          <r>
            <t>@余明明</t>
          </r>
        </is>
      </c>
      <c r="T307" s="26" t="str">
        <v>Y</v>
      </c>
      <c r="V307" s="15" t="str">
        <v>Y</v>
      </c>
      <c r="Y307" s="15" t="str">
        <v>Y</v>
      </c>
    </row>
    <row r="308" spans="1:25">
      <c r="A308" s="15" t="str">
        <v>道路导航</v>
      </c>
      <c r="H308" s="15" t="str">
        <v>distance</v>
      </c>
      <c r="I308" s="15" t="str">
        <v>剩余距离</v>
      </c>
      <c r="J308" s="15" t="str">
        <v>str</v>
      </c>
      <c r="K308" s="18" t="str">
        <v>m</v>
      </c>
      <c r="M308" s="16">
        <v>1</v>
      </c>
      <c r="N308" s="15" t="str">
        <v>Y</v>
      </c>
      <c r="O308" s="36" t="str">
        <v>Y</v>
      </c>
      <c r="P308" s="37" t="str">
        <v>Y</v>
      </c>
      <c r="S308" s="32" t="inlineStr">
        <is>
          <r>
            <t>@余明明</t>
          </r>
        </is>
      </c>
      <c r="T308" s="26" t="str">
        <v>Y</v>
      </c>
      <c r="U308" s="115">
        <v>46151</v>
      </c>
      <c r="V308" s="26" t="str">
        <v>Y</v>
      </c>
      <c r="Y308" s="15" t="str">
        <v>Y</v>
      </c>
    </row>
    <row r="309" spans="1:25">
      <c r="A309" s="15" t="str">
        <v>道路导航</v>
      </c>
      <c r="H309" s="15" t="str">
        <v>duration</v>
      </c>
      <c r="I309" s="15" t="str">
        <v>剩余时长</v>
      </c>
      <c r="J309" s="15" t="str">
        <v>str</v>
      </c>
      <c r="K309" s="18" t="str">
        <v>s</v>
      </c>
      <c r="M309" s="16">
        <v>1</v>
      </c>
      <c r="N309" s="15" t="str">
        <v>Y</v>
      </c>
      <c r="O309" s="36" t="str">
        <v>Y</v>
      </c>
      <c r="P309" s="37" t="str">
        <v>Y</v>
      </c>
      <c r="S309" s="32" t="inlineStr">
        <is>
          <r>
            <t>@余明明</t>
          </r>
        </is>
      </c>
      <c r="T309" s="26" t="str">
        <v>Y</v>
      </c>
      <c r="U309" s="115">
        <v>46151</v>
      </c>
      <c r="V309" s="26" t="str">
        <v>Y</v>
      </c>
      <c r="Y309" s="15" t="str">
        <v>Y</v>
      </c>
    </row>
    <row r="310" spans="1:23">
      <c r="A310" s="15" t="str">
        <v>道路导航</v>
      </c>
      <c r="H310" s="15" t="str">
        <v>capacity</v>
      </c>
      <c r="I310" s="15" t="str">
        <v>剩余电量</v>
      </c>
      <c r="J310" s="15" t="str">
        <v>str</v>
      </c>
      <c r="K310" s="18" t="str">
        <v>%</v>
      </c>
      <c r="M310" s="16">
        <v>1</v>
      </c>
      <c r="N310" s="15" t="str">
        <v>Y</v>
      </c>
      <c r="O310" s="36" t="str">
        <v>Y（仅纯电车型有）</v>
      </c>
      <c r="P310" s="37" t="str">
        <v>Y</v>
      </c>
      <c r="S310" s="32" t="inlineStr">
        <is>
          <r>
            <t>@余明明</t>
          </r>
        </is>
      </c>
      <c r="T310" s="26" t="str">
        <v>Y</v>
      </c>
      <c r="U310" s="115">
        <v>46151</v>
      </c>
      <c r="V310" s="26" t="str">
        <v>Y</v>
      </c>
      <c r="W310" s="15" t="str">
        <v>0615在地图版本466自测，有电量值返回</v>
      </c>
    </row>
    <row r="311" spans="1:25">
      <c r="A311" s="15" t="str">
        <v>道路导航</v>
      </c>
      <c r="H311" s="15" t="str">
        <v>time</v>
      </c>
      <c r="I311" s="15" t="str">
        <v>到达时间</v>
      </c>
      <c r="J311" s="15" t="str">
        <v>str</v>
      </c>
      <c r="K311" s="18" t="str">
        <v>hh:mm</v>
      </c>
      <c r="M311" s="16">
        <v>1</v>
      </c>
      <c r="N311" s="15" t="str">
        <v>Y</v>
      </c>
      <c r="O311" s="36" t="str">
        <v>Y</v>
      </c>
      <c r="P311" s="37" t="str">
        <v>Y</v>
      </c>
      <c r="S311" s="32" t="inlineStr">
        <is>
          <r>
            <t>@余明明</t>
          </r>
        </is>
      </c>
      <c r="T311" s="26" t="str">
        <v>Y</v>
      </c>
      <c r="U311" s="115">
        <v>46151</v>
      </c>
      <c r="V311" s="26" t="str">
        <v>Y</v>
      </c>
      <c r="Y311" s="15" t="str">
        <v>N</v>
      </c>
    </row>
    <row r="312" spans="1:25">
      <c r="A312" s="15" t="str">
        <v>道路导航</v>
      </c>
      <c r="B312" s="15" t="str">
        <v>位置</v>
      </c>
      <c r="C312" s="15" t="str">
        <v>navigation_0007</v>
      </c>
      <c r="F312" s="15" t="str">
        <v>途经点位置</v>
      </c>
      <c r="G312" s="15" t="str">
        <v>高频变化</v>
      </c>
      <c r="H312" s="15" t="str">
        <v>address</v>
      </c>
      <c r="I312" s="15" t="str">
        <v>地址</v>
      </c>
      <c r="J312" s="15" t="str">
        <v>str</v>
      </c>
      <c r="M312" s="16">
        <v>1</v>
      </c>
      <c r="N312" s="15" t="str">
        <v>Y</v>
      </c>
      <c r="O312" s="36" t="str">
        <v>Y</v>
      </c>
      <c r="P312" s="37" t="str">
        <v>Y</v>
      </c>
      <c r="Q312" s="117" t="str">
        <v>List&lt;RoutePoint&gt; getViaPoi(int mapId)</v>
      </c>
      <c r="S312" s="32" t="inlineStr">
        <is>
          <r>
            <t>@余明明</t>
          </r>
        </is>
      </c>
      <c r="T312" s="26" t="str">
        <v>Y</v>
      </c>
      <c r="U312" s="115">
        <v>46151</v>
      </c>
      <c r="V312" s="26" t="str">
        <v>Y</v>
      </c>
      <c r="Y312" s="15" t="str">
        <v>Y</v>
      </c>
    </row>
    <row r="313" spans="1:25">
      <c r="A313" s="15" t="str">
        <v>道路导航</v>
      </c>
      <c r="H313" s="15" t="str">
        <v>index</v>
      </c>
      <c r="I313" s="15" t="str">
        <v>途经点序号</v>
      </c>
      <c r="J313" s="15" t="str">
        <v>str</v>
      </c>
      <c r="L313" s="16">
        <v>1</v>
      </c>
      <c r="M313" s="16">
        <v>1</v>
      </c>
      <c r="N313" s="15" t="str">
        <v>Y</v>
      </c>
      <c r="O313" s="36" t="str">
        <v>Y</v>
      </c>
      <c r="P313" s="37" t="str">
        <v>Y</v>
      </c>
      <c r="S313" s="32" t="inlineStr">
        <is>
          <r>
            <t>@余明明</t>
          </r>
        </is>
      </c>
      <c r="T313" s="26" t="str">
        <v>Y</v>
      </c>
      <c r="U313" s="115">
        <v>46151</v>
      </c>
      <c r="V313" s="26" t="str">
        <v>Y</v>
      </c>
      <c r="Y313" s="15" t="str">
        <v>Y</v>
      </c>
    </row>
    <row r="314" spans="1:25">
      <c r="A314" s="15" t="str">
        <v>道路导航</v>
      </c>
      <c r="H314" s="15" t="str">
        <v>distance</v>
      </c>
      <c r="I314" s="15" t="str">
        <v>剩余距离</v>
      </c>
      <c r="J314" s="15" t="str">
        <v>str</v>
      </c>
      <c r="K314" s="18" t="str">
        <v>m</v>
      </c>
      <c r="M314" s="16">
        <v>1</v>
      </c>
      <c r="N314" s="15" t="str">
        <v>Y</v>
      </c>
      <c r="O314" s="36" t="str">
        <v>Y</v>
      </c>
      <c r="P314" s="37" t="str">
        <v>Y</v>
      </c>
      <c r="S314" s="32" t="inlineStr">
        <is>
          <r>
            <t>@余明明</t>
          </r>
        </is>
      </c>
      <c r="T314" s="26" t="str">
        <v>Y</v>
      </c>
      <c r="U314" s="115">
        <v>46151</v>
      </c>
      <c r="V314" s="26" t="str">
        <v>Y</v>
      </c>
      <c r="Y314" s="15" t="str">
        <v>N</v>
      </c>
    </row>
    <row r="315" spans="1:25">
      <c r="A315" s="15" t="str">
        <v>道路导航</v>
      </c>
      <c r="H315" s="15" t="str">
        <v>duration</v>
      </c>
      <c r="I315" s="15" t="str">
        <v>剩余时长</v>
      </c>
      <c r="J315" s="15" t="str">
        <v>str</v>
      </c>
      <c r="K315" s="18" t="str">
        <v>s</v>
      </c>
      <c r="M315" s="16">
        <v>1</v>
      </c>
      <c r="N315" s="15" t="str">
        <v>Y</v>
      </c>
      <c r="O315" s="36" t="str">
        <v>Y</v>
      </c>
      <c r="P315" s="37" t="str">
        <v>Y</v>
      </c>
      <c r="S315" s="32" t="inlineStr">
        <is>
          <r>
            <t>@余明明</t>
          </r>
        </is>
      </c>
      <c r="T315" s="26" t="str">
        <v>Y</v>
      </c>
      <c r="U315" s="115">
        <v>46151</v>
      </c>
      <c r="V315" s="26" t="str">
        <v>Y</v>
      </c>
      <c r="Y315" s="15" t="str">
        <v>N</v>
      </c>
    </row>
    <row r="316" spans="1:23">
      <c r="A316" s="15" t="str">
        <v>道路导航</v>
      </c>
      <c r="H316" s="15" t="str">
        <v>capacity</v>
      </c>
      <c r="I316" s="15" t="str">
        <v>剩余电量</v>
      </c>
      <c r="J316" s="15" t="str">
        <v>str</v>
      </c>
      <c r="K316" s="18" t="str">
        <v>%</v>
      </c>
      <c r="M316" s="16">
        <v>1</v>
      </c>
      <c r="N316" s="15" t="str">
        <v>Y</v>
      </c>
      <c r="O316" s="36" t="str">
        <v>Y（仅纯电车型有）</v>
      </c>
      <c r="P316" s="37" t="str">
        <v>Y</v>
      </c>
      <c r="S316" s="32" t="inlineStr">
        <is>
          <r>
            <t>@余明明</t>
          </r>
        </is>
      </c>
      <c r="T316" s="26" t="str">
        <v>Y</v>
      </c>
      <c r="U316" s="115">
        <v>46151</v>
      </c>
      <c r="V316" s="26" t="str">
        <v>Y</v>
      </c>
      <c r="W316" s="15" t="str">
        <v>0615在地图版本466自测，有电量值返回</v>
      </c>
    </row>
    <row r="317" spans="1:25">
      <c r="A317" s="15" t="str">
        <v>道路导航</v>
      </c>
      <c r="H317" s="15" t="str">
        <v>time</v>
      </c>
      <c r="I317" s="15" t="str">
        <v>到达时间</v>
      </c>
      <c r="J317" s="15" t="str">
        <v>str</v>
      </c>
      <c r="K317" s="4" t="str">
        <v>hh:mm</v>
      </c>
      <c r="M317" s="16">
        <v>1</v>
      </c>
      <c r="N317" s="15" t="str">
        <v>Y</v>
      </c>
      <c r="O317" s="36" t="str">
        <v>Y</v>
      </c>
      <c r="P317" s="37" t="str">
        <v>Y</v>
      </c>
      <c r="S317" s="32" t="inlineStr">
        <is>
          <r>
            <t>@余明明</t>
          </r>
        </is>
      </c>
      <c r="T317" s="26" t="str">
        <v>Y</v>
      </c>
      <c r="U317" s="115">
        <v>46151</v>
      </c>
      <c r="V317" s="26" t="str">
        <v>Y</v>
      </c>
      <c r="Y317" s="15" t="str">
        <v>N</v>
      </c>
    </row>
    <row r="318" spans="1:23">
      <c r="A318" s="15" t="str">
        <v>道路导航</v>
      </c>
      <c r="B318" s="15" t="str">
        <v>位置</v>
      </c>
      <c r="C318" s="15" t="str">
        <v>navigation_0008</v>
      </c>
      <c r="F318" s="15" t="str">
        <v>沿途服务区位置</v>
      </c>
      <c r="G318" s="15" t="str">
        <v>高频变化</v>
      </c>
      <c r="H318" s="15" t="str">
        <v>address</v>
      </c>
      <c r="I318" s="15" t="str">
        <v>地址</v>
      </c>
      <c r="J318" s="15" t="str">
        <v>str</v>
      </c>
      <c r="N318" s="15" t="str">
        <v>Y</v>
      </c>
      <c r="O318" s="36" t="str">
        <v>Y</v>
      </c>
      <c r="P318" s="37" t="str">
        <v>Y</v>
      </c>
      <c r="Q318" s="117" t="str">
        <v>List&lt;ServiceInfo&gt; getServiceAreaInfo(int mapId)</v>
      </c>
      <c r="S318" s="32" t="inlineStr">
        <is>
          <r>
            <t>@余明明</t>
          </r>
        </is>
      </c>
      <c r="T318" s="26" t="str">
        <v>N</v>
      </c>
      <c r="U318" s="115">
        <v>46151</v>
      </c>
      <c r="V318" s="26" t="str">
        <v>N</v>
      </c>
      <c r="W318" s="15" t="str">
        <v>0615在地图版本466自测，服务区没回调，主动获取接口返回null</v>
      </c>
    </row>
    <row r="319" spans="1:22">
      <c r="A319" s="15" t="str">
        <v>道路导航</v>
      </c>
      <c r="H319" s="15" t="str">
        <v>index</v>
      </c>
      <c r="I319" s="15" t="str">
        <v>沿途服务区序号</v>
      </c>
      <c r="J319" s="15" t="str">
        <v>str</v>
      </c>
      <c r="N319" s="15" t="str">
        <v>Y</v>
      </c>
      <c r="O319" s="36" t="str">
        <v>Y</v>
      </c>
      <c r="P319" s="37" t="str">
        <v>Y</v>
      </c>
      <c r="S319" s="32" t="inlineStr">
        <is>
          <r>
            <t>@余明明</t>
          </r>
        </is>
      </c>
      <c r="T319" s="26" t="str">
        <v>N</v>
      </c>
      <c r="U319" s="115">
        <v>46151</v>
      </c>
      <c r="V319" s="26" t="str">
        <v>N</v>
      </c>
    </row>
    <row r="320" spans="1:22">
      <c r="A320" s="15" t="str">
        <v>道路导航</v>
      </c>
      <c r="H320" s="15" t="str">
        <v>distance</v>
      </c>
      <c r="I320" s="15" t="str">
        <v>剩余距离</v>
      </c>
      <c r="J320" s="15" t="str">
        <v>str</v>
      </c>
      <c r="K320" s="18" t="str">
        <v>m</v>
      </c>
      <c r="N320" s="15" t="str">
        <v>Y</v>
      </c>
      <c r="O320" s="36" t="str">
        <v>Y</v>
      </c>
      <c r="P320" s="37" t="str">
        <v>Y</v>
      </c>
      <c r="S320" s="32" t="inlineStr">
        <is>
          <r>
            <t>@余明明</t>
          </r>
        </is>
      </c>
      <c r="T320" s="26" t="str">
        <v>N</v>
      </c>
      <c r="U320" s="115">
        <v>46151</v>
      </c>
      <c r="V320" s="26" t="str">
        <v>N</v>
      </c>
    </row>
    <row r="321" spans="1:22">
      <c r="A321" s="15" t="str">
        <v>道路导航</v>
      </c>
      <c r="H321" s="15" t="str">
        <v>duration</v>
      </c>
      <c r="I321" s="15" t="str">
        <v>剩余时长</v>
      </c>
      <c r="J321" s="15" t="str">
        <v>str</v>
      </c>
      <c r="K321" s="18" t="str">
        <v>s</v>
      </c>
      <c r="N321" s="15" t="str">
        <v>Y</v>
      </c>
      <c r="O321" s="36" t="str">
        <v>Y</v>
      </c>
      <c r="P321" s="37" t="str">
        <v>Y</v>
      </c>
      <c r="S321" s="32" t="inlineStr">
        <is>
          <r>
            <t>@余明明</t>
          </r>
        </is>
      </c>
      <c r="T321" s="26" t="str">
        <v>N</v>
      </c>
      <c r="U321" s="115">
        <v>46151</v>
      </c>
      <c r="V321" s="26" t="str">
        <v>y</v>
      </c>
    </row>
    <row r="322" spans="1:22">
      <c r="A322" s="15" t="str">
        <v>道路导航</v>
      </c>
      <c r="H322" s="15" t="str">
        <v>capacity</v>
      </c>
      <c r="I322" s="15" t="str">
        <v>剩余电量</v>
      </c>
      <c r="J322" s="15" t="str">
        <v>str</v>
      </c>
      <c r="K322" s="18" t="str">
        <v>%</v>
      </c>
      <c r="N322" s="15" t="str">
        <v>Y</v>
      </c>
      <c r="O322" s="36" t="str">
        <v>Y（仅纯电车型有）</v>
      </c>
      <c r="P322" s="37" t="str">
        <v>Y</v>
      </c>
      <c r="Q322" s="75" t="str">
        <v>黄林说接口没有这个字段</v>
      </c>
      <c r="S322" s="32" t="inlineStr">
        <is>
          <r>
            <t>@余明明</t>
          </r>
        </is>
      </c>
      <c r="T322" s="26" t="str">
        <v>N</v>
      </c>
      <c r="U322" s="115">
        <v>46151</v>
      </c>
      <c r="V322" s="26" t="str">
        <v>N</v>
      </c>
    </row>
    <row r="323" spans="1:22">
      <c r="A323" s="15" t="str">
        <v>道路导航</v>
      </c>
      <c r="H323" s="15" t="str">
        <v>time</v>
      </c>
      <c r="I323" s="15" t="str">
        <v>到达时间</v>
      </c>
      <c r="J323" s="15" t="str">
        <v>str</v>
      </c>
      <c r="K323" s="4" t="str">
        <v>hh:mm</v>
      </c>
      <c r="N323" s="15" t="str">
        <v>Y</v>
      </c>
      <c r="O323" s="36" t="str">
        <v>Y</v>
      </c>
      <c r="P323" s="37" t="str">
        <v>Y</v>
      </c>
      <c r="S323" s="32" t="inlineStr">
        <is>
          <r>
            <t>@余明明</t>
          </r>
        </is>
      </c>
      <c r="T323" s="26" t="str">
        <v>N</v>
      </c>
      <c r="U323" s="115">
        <v>46151</v>
      </c>
      <c r="V323" s="26" t="str">
        <v>N</v>
      </c>
    </row>
    <row r="324" spans="1:23">
      <c r="A324" s="15" t="str">
        <v>道路导航</v>
      </c>
      <c r="B324" s="15" t="str">
        <v>路况</v>
      </c>
      <c r="C324" s="15" t="str">
        <v>navigation_0005</v>
      </c>
      <c r="F324" s="15" t="str">
        <v>当前拥堵情况</v>
      </c>
      <c r="G324" s="15" t="str">
        <v>高频变化</v>
      </c>
      <c r="H324" s="15" t="str">
        <v>road_condition</v>
      </c>
      <c r="I324" s="15" t="str">
        <v>路况</v>
      </c>
      <c r="J324" s="15" t="str">
        <v>str</v>
      </c>
      <c r="K324" s="18" t="str">
        <v>畅通、缓行、拥堵、严重拥堵、无路况</v>
      </c>
      <c r="N324" s="15" t="str">
        <v>Y</v>
      </c>
      <c r="O324" s="36" t="str">
        <v>Y</v>
      </c>
      <c r="P324" s="37" t="str">
        <v>Y</v>
      </c>
      <c r="Q324" s="117" t="str">
        <v>requestCongestionInfo(OnCongestionInfoListener listener)</v>
      </c>
      <c r="S324" s="32" t="inlineStr">
        <is>
          <r>
            <t>@余明明</t>
          </r>
        </is>
      </c>
      <c r="T324" s="26" t="str">
        <v>N</v>
      </c>
      <c r="U324" s="115">
        <v>46151</v>
      </c>
      <c r="V324" s="26" t="str">
        <v>N</v>
      </c>
      <c r="W324" s="118" t="str">
        <v>0615在地图版本466自测，接口不返回</v>
      </c>
    </row>
    <row r="325" spans="1:20">
      <c r="A325" s="45" t="str">
        <v>道路导航</v>
      </c>
      <c r="H325" s="45" t="str">
        <v>congestion_time</v>
      </c>
      <c r="I325" s="45" t="str">
        <v>剩余拥堵时长</v>
      </c>
      <c r="J325" s="45" t="str">
        <v>str</v>
      </c>
      <c r="K325" s="58" t="str">
        <v>s</v>
      </c>
      <c r="N325" s="45" t="str">
        <v>Y</v>
      </c>
      <c r="O325" s="87" t="str">
        <v>Y</v>
      </c>
      <c r="S325" s="86" t="inlineStr">
        <is>
          <r>
            <t>@余明明</t>
          </r>
        </is>
      </c>
      <c r="T325" s="26" t="str">
        <v>N</v>
      </c>
    </row>
    <row r="326" spans="1:20">
      <c r="A326" s="45" t="str">
        <v>道路导航</v>
      </c>
      <c r="H326" s="45" t="str">
        <v>congestion_dist</v>
      </c>
      <c r="I326" s="45" t="str">
        <v>剩余拥堵长度</v>
      </c>
      <c r="J326" s="45" t="str">
        <v>str</v>
      </c>
      <c r="K326" s="58" t="str">
        <v>m</v>
      </c>
      <c r="N326" s="45" t="str">
        <v>Y</v>
      </c>
      <c r="O326" s="87" t="str">
        <v>Y</v>
      </c>
      <c r="S326" s="86" t="inlineStr">
        <is>
          <r>
            <t>@余明明</t>
          </r>
        </is>
      </c>
      <c r="T326" s="26" t="str">
        <v>N</v>
      </c>
    </row>
    <row r="327" spans="1:23">
      <c r="A327" s="15" t="str">
        <v>道路导航</v>
      </c>
      <c r="B327" s="15" t="str">
        <v>路况</v>
      </c>
      <c r="C327" s="15" t="str">
        <v>navigation_0006</v>
      </c>
      <c r="F327" s="15" t="str">
        <v>前方拥堵状态</v>
      </c>
      <c r="G327" s="15" t="str">
        <v>高频变化</v>
      </c>
      <c r="H327" s="15" t="str">
        <v>road_condition</v>
      </c>
      <c r="I327" s="15" t="str">
        <v>路况</v>
      </c>
      <c r="J327" s="15" t="str">
        <v>str</v>
      </c>
      <c r="K327" s="18" t="str">
        <v>畅通、缓行、拥堵、严重拥堵、无路况</v>
      </c>
      <c r="N327" s="15" t="str">
        <v>Y</v>
      </c>
      <c r="O327" s="36" t="str">
        <v>Y</v>
      </c>
      <c r="P327" s="37" t="str">
        <v>Y</v>
      </c>
      <c r="Q327" s="117" t="str">
        <v>addMapManagerListener(@NonNull MapManagerListener mapManagerListener)
onAheadCongestedRoadInfoUpdated(AheadCongestedRoadInfo info)</v>
      </c>
      <c r="S327" s="32" t="inlineStr">
        <is>
          <r>
            <t>@余明明</t>
          </r>
        </is>
      </c>
      <c r="U327" s="115">
        <v>46151</v>
      </c>
      <c r="V327" s="26" t="str">
        <v>N</v>
      </c>
      <c r="W327" s="4" t="str">
        <v>0615在地图版本466自测，距离拥堵路段距离一直返回0，路段名称是空</v>
      </c>
    </row>
    <row r="328" spans="8:20">
      <c r="H328" s="45" t="str">
        <v>roda_name</v>
      </c>
      <c r="I328" s="45" t="str">
        <v>拥堵路段名称</v>
      </c>
      <c r="J328" s="45" t="str">
        <v>str</v>
      </c>
      <c r="N328" s="57" t="str">
        <v>Y</v>
      </c>
      <c r="O328" s="87" t="str">
        <v>Y</v>
      </c>
      <c r="S328" s="86" t="inlineStr">
        <is>
          <r>
            <t>@余明明</t>
          </r>
        </is>
      </c>
      <c r="T328" s="26" t="str">
        <v>N</v>
      </c>
    </row>
    <row r="329" spans="8:20">
      <c r="H329" s="45" t="str">
        <v>congestion_dist</v>
      </c>
      <c r="I329" s="45" t="str">
        <v>剩余拥堵长度</v>
      </c>
      <c r="J329" s="45" t="str">
        <v>str</v>
      </c>
      <c r="K329" s="45" t="str">
        <v>m</v>
      </c>
      <c r="N329" s="57" t="str">
        <v>Y</v>
      </c>
      <c r="O329" s="87" t="str">
        <v>Y</v>
      </c>
      <c r="S329" s="86" t="inlineStr">
        <is>
          <r>
            <t>@余明明</t>
          </r>
        </is>
      </c>
      <c r="T329" s="26" t="str">
        <v>Y</v>
      </c>
    </row>
    <row r="330" spans="8:20">
      <c r="H330" s="45" t="str">
        <v>congestion_time</v>
      </c>
      <c r="I330" s="45" t="str">
        <v>剩余拥堵时长</v>
      </c>
      <c r="J330" s="45" t="str">
        <v>str</v>
      </c>
      <c r="K330" s="45" t="str">
        <v>s</v>
      </c>
      <c r="N330" s="57" t="str">
        <v>Y</v>
      </c>
      <c r="O330" s="87" t="str">
        <v>Y</v>
      </c>
      <c r="S330" s="86" t="inlineStr">
        <is>
          <r>
            <t>@余明明</t>
          </r>
        </is>
      </c>
      <c r="T330" s="26" t="str">
        <v>Y</v>
      </c>
    </row>
    <row r="331" spans="8:20">
      <c r="H331" s="45" t="str">
        <v>to_congestion_dist</v>
      </c>
      <c r="I331" s="45" t="str">
        <v>当前位置到拥堵路段距离</v>
      </c>
      <c r="J331" s="45" t="str">
        <v>str</v>
      </c>
      <c r="K331" s="45" t="str">
        <v>m</v>
      </c>
      <c r="N331" s="57" t="str">
        <v>Y</v>
      </c>
      <c r="O331" s="87" t="str">
        <v>Y</v>
      </c>
      <c r="S331" s="86" t="inlineStr">
        <is>
          <r>
            <t>@余明明</t>
          </r>
        </is>
      </c>
      <c r="T331" s="26" t="str">
        <v>N</v>
      </c>
    </row>
    <row r="332" spans="1:23">
      <c r="A332" s="15" t="str">
        <v>媒体播放</v>
      </c>
      <c r="B332" s="15" t="str">
        <v>音频</v>
      </c>
      <c r="C332" s="15" t="str">
        <v>media_0001</v>
      </c>
      <c r="F332" s="15" t="str">
        <v>当前播放音频</v>
      </c>
      <c r="G332" s="15" t="str">
        <v>低频变化</v>
      </c>
      <c r="H332" s="15" t="str">
        <v>audio_type</v>
      </c>
      <c r="I332" s="15" t="str">
        <v>音频类型</v>
      </c>
      <c r="J332" s="18" t="str">
        <v>enum</v>
      </c>
      <c r="K332" s="15" t="inlineStr">
        <is>
          <r>
            <rPr>
              <sz val="10"/>
              <color rgb="FF1F2329"/>
              <rFont val="Arial"/>
            </rPr>
            <t>音乐，电台，有声节目</t>
          </r>
          <r>
            <rPr>
              <sz val="10"/>
              <color rgb="FFF54A45"/>
              <rFont val="Arial"/>
            </rPr>
            <t>，播客</t>
          </r>
        </is>
      </c>
      <c r="M332" s="16">
        <v>1</v>
      </c>
      <c r="N332" s="56" t="str">
        <v>Y</v>
      </c>
      <c r="O332" s="36" t="str">
        <v>N</v>
      </c>
      <c r="P332" s="37" t="str">
        <v>NA</v>
      </c>
      <c r="S332" s="32" t="inlineStr">
        <is>
          <r>
            <t>@田高琳</t>
          </r>
        </is>
      </c>
      <c r="T332" s="26" t="str">
        <v>N</v>
      </c>
      <c r="U332" s="16">
        <v>4.23</v>
      </c>
      <c r="V332" s="15" t="str">
        <v>N</v>
      </c>
      <c r="W332" s="15" t="str">
        <v>接口不支持</v>
      </c>
    </row>
    <row r="333" spans="1:25">
      <c r="A333" s="15" t="str">
        <v>媒体播放</v>
      </c>
      <c r="H333" s="15" t="str">
        <v>audio_name</v>
      </c>
      <c r="I333" s="15" t="str">
        <v>音频名称</v>
      </c>
      <c r="J333" s="15" t="str">
        <v>str</v>
      </c>
      <c r="M333" s="16">
        <v>1</v>
      </c>
      <c r="N333" s="15" t="str">
        <v>Y</v>
      </c>
      <c r="O333" s="36" t="str">
        <v>Y</v>
      </c>
      <c r="P333" s="37" t="str">
        <v>Y</v>
      </c>
      <c r="S333" s="102" t="inlineStr">
        <is>
          <r>
            <t>@田高琳</t>
          </r>
        </is>
      </c>
      <c r="T333" s="26" t="str">
        <v>Y</v>
      </c>
      <c r="U333" s="16">
        <v>5.8</v>
      </c>
      <c r="V333" s="40" t="str">
        <v>Y</v>
      </c>
      <c r="Y333" s="15" t="str">
        <v>Y</v>
      </c>
    </row>
    <row r="334" spans="1:25">
      <c r="A334" s="15" t="str">
        <v>媒体播放</v>
      </c>
      <c r="H334" s="15" t="str">
        <v>audio_artist</v>
      </c>
      <c r="I334" s="15" t="str">
        <v>音频作者</v>
      </c>
      <c r="J334" s="15" t="str">
        <v>str</v>
      </c>
      <c r="M334" s="16">
        <v>1</v>
      </c>
      <c r="N334" s="15" t="str">
        <v>Y</v>
      </c>
      <c r="O334" s="36" t="str">
        <v>Y</v>
      </c>
      <c r="P334" s="37" t="str">
        <v>Y</v>
      </c>
      <c r="S334" s="102" t="inlineStr">
        <is>
          <r>
            <t>@田高琳</t>
          </r>
        </is>
      </c>
      <c r="T334" s="26" t="str">
        <v>Y</v>
      </c>
      <c r="U334" s="16">
        <v>5.8</v>
      </c>
      <c r="V334" s="40" t="str">
        <v>Y</v>
      </c>
      <c r="Y334" s="15" t="str">
        <v>Y</v>
      </c>
    </row>
    <row r="335" spans="1:25">
      <c r="A335" s="15" t="str">
        <v>媒体播放</v>
      </c>
      <c r="H335" s="15" t="str">
        <v>app_name</v>
      </c>
      <c r="I335" s="15" t="str">
        <v>应用名称</v>
      </c>
      <c r="J335" s="15" t="str">
        <v>str</v>
      </c>
      <c r="K335" s="18" t="str">
        <v>QQ音乐，汽水音乐，网易云音乐，蓝牙音乐，USB音乐</v>
      </c>
      <c r="M335" s="16">
        <v>1</v>
      </c>
      <c r="N335" s="15" t="str">
        <v>Y</v>
      </c>
      <c r="O335" s="36" t="str">
        <v>Y</v>
      </c>
      <c r="P335" s="37" t="str">
        <v>Y</v>
      </c>
      <c r="S335" s="102" t="inlineStr">
        <is>
          <r>
            <t>@田高琳</t>
          </r>
        </is>
      </c>
      <c r="T335" s="26" t="str">
        <v>Y</v>
      </c>
      <c r="U335" s="16">
        <v>5.8</v>
      </c>
      <c r="V335" s="40" t="str">
        <v>Y</v>
      </c>
      <c r="Y335" s="15" t="str">
        <v>Y</v>
      </c>
    </row>
    <row r="336" spans="1:25">
      <c r="A336" s="15" t="str">
        <v>媒体播放</v>
      </c>
      <c r="H336" s="15" t="str">
        <v>album_name</v>
      </c>
      <c r="I336" s="15" t="str">
        <v>专辑名称</v>
      </c>
      <c r="J336" s="15" t="str">
        <v>str</v>
      </c>
      <c r="M336" s="16">
        <v>1</v>
      </c>
      <c r="N336" s="15" t="str">
        <v>Y</v>
      </c>
      <c r="O336" s="36" t="str">
        <v>Y（网易云、QQ音乐、酷我）</v>
      </c>
      <c r="P336" s="37" t="str">
        <v>Y</v>
      </c>
      <c r="S336" s="102" t="inlineStr">
        <is>
          <r>
            <t>@田高琳</t>
          </r>
        </is>
      </c>
      <c r="T336" s="26" t="str">
        <v>Y</v>
      </c>
      <c r="U336" s="16">
        <v>5.8</v>
      </c>
      <c r="V336" s="40" t="str">
        <v>Y</v>
      </c>
      <c r="Y336" s="15" t="str">
        <v>Y</v>
      </c>
    </row>
    <row r="337" spans="1:23">
      <c r="A337" s="15" t="str">
        <v>媒体播放</v>
      </c>
      <c r="H337" s="15" t="str">
        <v>sound_effect</v>
      </c>
      <c r="I337" s="15" t="str">
        <v>音效选择</v>
      </c>
      <c r="J337" s="15" t="str">
        <v>str</v>
      </c>
      <c r="N337" s="56" t="str">
        <v>Y</v>
      </c>
      <c r="O337" s="36" t="str">
        <v>N</v>
      </c>
      <c r="P337" s="37" t="str">
        <v>NA</v>
      </c>
      <c r="S337" s="32" t="inlineStr">
        <is>
          <r>
            <t>@田高琳</t>
          </r>
        </is>
      </c>
      <c r="T337" s="26" t="str">
        <v>N</v>
      </c>
      <c r="U337" s="16">
        <v>4.23</v>
      </c>
      <c r="V337" s="15" t="str">
        <v>N</v>
      </c>
      <c r="W337" s="15" t="str">
        <v>接口不支持</v>
      </c>
    </row>
    <row r="338" spans="1:25">
      <c r="A338" s="15" t="str">
        <v>媒体播放</v>
      </c>
      <c r="H338" s="15" t="str">
        <v>song_duration</v>
      </c>
      <c r="I338" s="17" t="str">
        <v>歌曲时长</v>
      </c>
      <c r="J338" s="15" t="str">
        <v>str</v>
      </c>
      <c r="N338" s="56" t="str">
        <v>Y</v>
      </c>
      <c r="O338" s="106" t="str">
        <v>Y(本地媒体中心都有，比如QQ音乐、网易云、酷我、喜马拉雅，三方不支持)</v>
      </c>
      <c r="P338" s="37" t="str">
        <v>Y</v>
      </c>
      <c r="S338" s="32" t="inlineStr">
        <is>
          <r>
            <t>@田高琳</t>
          </r>
        </is>
      </c>
      <c r="T338" s="37" t="str">
        <v>Y</v>
      </c>
      <c r="U338" s="16">
        <v>5.8</v>
      </c>
      <c r="V338" s="40" t="str">
        <v>Y</v>
      </c>
      <c r="Y338" s="15" t="str">
        <v>Y</v>
      </c>
    </row>
    <row r="339" spans="1:23">
      <c r="A339" s="15" t="str">
        <v>媒体播放</v>
      </c>
      <c r="H339" s="45" t="str">
        <v>playlist</v>
      </c>
      <c r="I339" s="45" t="str">
        <v>播放列表</v>
      </c>
      <c r="J339" s="45" t="str">
        <v>str</v>
      </c>
      <c r="N339" s="15" t="str">
        <v>Y</v>
      </c>
      <c r="O339" s="15" t="str">
        <v>N</v>
      </c>
      <c r="S339" s="32" t="inlineStr">
        <is>
          <r>
            <t>@田高琳</t>
          </r>
        </is>
      </c>
      <c r="T339" s="26" t="str">
        <v>N</v>
      </c>
      <c r="V339" s="15" t="str">
        <v>N</v>
      </c>
      <c r="W339" s="15" t="str">
        <v>接口不支持</v>
      </c>
    </row>
    <row r="340" spans="1:23">
      <c r="A340" s="15" t="str">
        <v>媒体播放</v>
      </c>
      <c r="H340" s="18" t="str">
        <v>playlist_name</v>
      </c>
      <c r="I340" s="15" t="str">
        <v>所属歌单名称</v>
      </c>
      <c r="J340" s="26" t="str">
        <v>str</v>
      </c>
      <c r="N340" s="56" t="str">
        <v>Y</v>
      </c>
      <c r="O340" s="36" t="str">
        <v>N</v>
      </c>
      <c r="P340" s="37" t="str">
        <v>NA</v>
      </c>
      <c r="S340" s="32" t="inlineStr">
        <is>
          <r>
            <t>@田高琳</t>
          </r>
        </is>
      </c>
      <c r="T340" s="26" t="str">
        <v>N</v>
      </c>
      <c r="U340" s="16">
        <v>4.23</v>
      </c>
      <c r="V340" s="15" t="str">
        <v>N</v>
      </c>
      <c r="W340" s="15" t="str">
        <v>接口不支持</v>
      </c>
    </row>
    <row r="341" spans="1:23">
      <c r="A341" s="15" t="str">
        <v>媒体播放</v>
      </c>
      <c r="H341" s="18" t="str">
        <v>playlist_position</v>
      </c>
      <c r="I341" s="15" t="str">
        <v>所属歌单位置</v>
      </c>
      <c r="J341" s="26" t="str">
        <v>str</v>
      </c>
      <c r="N341" s="56" t="str">
        <v>Y</v>
      </c>
      <c r="O341" s="36" t="str">
        <v>N</v>
      </c>
      <c r="P341" s="37" t="str">
        <v>NA</v>
      </c>
      <c r="S341" s="32" t="inlineStr">
        <is>
          <r>
            <t>@田高琳</t>
          </r>
        </is>
      </c>
      <c r="T341" s="26" t="str">
        <v>N</v>
      </c>
      <c r="U341" s="16">
        <v>4.23</v>
      </c>
      <c r="V341" s="15" t="str">
        <v>N</v>
      </c>
      <c r="W341" s="15" t="str">
        <v>接口不支持</v>
      </c>
    </row>
    <row r="342" spans="1:27">
      <c r="A342" s="15" t="str">
        <v>媒体播放</v>
      </c>
      <c r="H342" s="18" t="str">
        <v>play_progress</v>
      </c>
      <c r="I342" s="15" t="str">
        <v>播放进度时间</v>
      </c>
      <c r="J342" s="26" t="str">
        <v>str</v>
      </c>
      <c r="N342" s="56" t="str">
        <v>Y</v>
      </c>
      <c r="O342" s="36" t="str">
        <v>Y</v>
      </c>
      <c r="P342" s="37" t="str">
        <v>Y</v>
      </c>
      <c r="S342" s="32" t="inlineStr">
        <is>
          <r>
            <t>@田高琳</t>
          </r>
        </is>
      </c>
      <c r="T342" s="26" t="str">
        <v>Y</v>
      </c>
      <c r="U342" s="16">
        <v>5.8</v>
      </c>
      <c r="V342" s="40" t="str">
        <v>Y</v>
      </c>
      <c r="Y342" s="15" t="str">
        <v>Y</v>
      </c>
      <c r="AA342" s="45" t="str">
        <v>经产品商议后删除该上报</v>
      </c>
    </row>
    <row r="343" spans="1:23">
      <c r="A343" s="15" t="str">
        <v>媒体播放</v>
      </c>
      <c r="H343" s="18" t="str">
        <v>previous_song</v>
      </c>
      <c r="I343" s="15" t="str">
        <v>上一首歌曲名</v>
      </c>
      <c r="N343" s="56" t="str">
        <v>Y</v>
      </c>
      <c r="O343" s="36" t="str">
        <v>N</v>
      </c>
      <c r="P343" s="37" t="str">
        <v>NA</v>
      </c>
      <c r="S343" s="32" t="inlineStr">
        <is>
          <r>
            <t>@田高琳</t>
          </r>
        </is>
      </c>
      <c r="T343" s="26" t="str">
        <v>N</v>
      </c>
      <c r="U343" s="16">
        <v>4.23</v>
      </c>
      <c r="V343" s="15" t="str">
        <v>N</v>
      </c>
      <c r="W343" s="15" t="str">
        <v>接口不支持</v>
      </c>
    </row>
    <row r="344" spans="1:23">
      <c r="A344" s="15" t="str">
        <v>媒体播放</v>
      </c>
      <c r="H344" s="46" t="str">
        <v>next_song</v>
      </c>
      <c r="I344" s="17" t="str">
        <v>下一首歌曲名</v>
      </c>
      <c r="N344" s="56" t="str">
        <v>Y</v>
      </c>
      <c r="O344" s="36" t="str">
        <v>N</v>
      </c>
      <c r="P344" s="37" t="str">
        <v>NA</v>
      </c>
      <c r="S344" s="32" t="inlineStr">
        <is>
          <r>
            <t>@田高琳</t>
          </r>
        </is>
      </c>
      <c r="T344" s="26" t="str">
        <v>N</v>
      </c>
      <c r="U344" s="16">
        <v>4.23</v>
      </c>
      <c r="V344" s="15" t="str">
        <v>N</v>
      </c>
      <c r="W344" s="15" t="str">
        <v>接口不支持</v>
      </c>
    </row>
    <row r="345" spans="1:23">
      <c r="A345" s="15" t="str">
        <v>媒体播放</v>
      </c>
      <c r="H345" s="45" t="str">
        <v>genre</v>
      </c>
      <c r="I345" s="45" t="str">
        <v>流派信息</v>
      </c>
      <c r="J345" s="45" t="str">
        <v>str</v>
      </c>
      <c r="N345" s="57" t="str">
        <v>Y</v>
      </c>
      <c r="S345" s="32" t="inlineStr">
        <is>
          <r>
            <t>@田高琳</t>
          </r>
        </is>
      </c>
      <c r="T345" s="26" t="str">
        <v>N</v>
      </c>
      <c r="V345" s="15" t="str">
        <v>N</v>
      </c>
      <c r="W345" s="15" t="str">
        <v>接口不支持</v>
      </c>
    </row>
    <row r="346" spans="1:23">
      <c r="A346" s="15" t="str">
        <v>媒体播放</v>
      </c>
      <c r="H346" s="45" t="str">
        <v>collection_status</v>
      </c>
      <c r="I346" s="45" t="str">
        <v>收藏状态</v>
      </c>
      <c r="J346" s="45" t="str">
        <v>str</v>
      </c>
      <c r="N346" s="57" t="str">
        <v>Y</v>
      </c>
      <c r="S346" s="32" t="inlineStr">
        <is>
          <r>
            <t>@田高琳</t>
          </r>
        </is>
      </c>
      <c r="T346" s="26" t="str">
        <v>N</v>
      </c>
      <c r="V346" s="15" t="str">
        <v>N</v>
      </c>
      <c r="W346" s="15" t="str">
        <v>接口不支持</v>
      </c>
    </row>
    <row r="347" spans="1:25">
      <c r="A347" s="15" t="str">
        <v>媒体播放</v>
      </c>
      <c r="B347" s="15" t="str">
        <v>视频</v>
      </c>
      <c r="C347" s="15" t="str">
        <v>media_0002</v>
      </c>
      <c r="F347" s="15" t="str">
        <v>当前播放视频</v>
      </c>
      <c r="G347" s="15" t="str">
        <v>低频变化</v>
      </c>
      <c r="H347" s="20" t="str">
        <v>video_name</v>
      </c>
      <c r="I347" s="20" t="str">
        <v>视频名称</v>
      </c>
      <c r="J347" s="25" t="str">
        <v>str</v>
      </c>
      <c r="M347" s="16">
        <v>1</v>
      </c>
      <c r="N347" s="15" t="str">
        <v>Y</v>
      </c>
      <c r="O347" s="36" t="str">
        <v>Y</v>
      </c>
      <c r="P347" s="37" t="str">
        <v>Y</v>
      </c>
      <c r="S347" s="32" t="inlineStr">
        <is>
          <r>
            <t>@田高琳</t>
          </r>
        </is>
      </c>
      <c r="T347" s="26" t="str">
        <v>Y</v>
      </c>
      <c r="U347" s="16">
        <v>5.8</v>
      </c>
      <c r="V347" s="40" t="str">
        <v>Y</v>
      </c>
      <c r="Y347" s="15" t="str">
        <v>Y</v>
      </c>
    </row>
    <row r="348" spans="1:23">
      <c r="A348" s="15" t="str">
        <v>媒体播放</v>
      </c>
      <c r="H348" s="15" t="str">
        <v>video_type</v>
      </c>
      <c r="I348" s="26" t="str">
        <v>视频类型</v>
      </c>
      <c r="J348" s="15" t="str">
        <v>enum</v>
      </c>
      <c r="K348" s="48" t="str">
        <v>电视剧，电影，综艺，动画片，动漫，纪录片，其他，空</v>
      </c>
      <c r="M348" s="16">
        <v>1</v>
      </c>
      <c r="N348" s="56" t="str">
        <v>Y</v>
      </c>
      <c r="O348" s="36" t="str">
        <v>N</v>
      </c>
      <c r="P348" s="37" t="str">
        <v>NA</v>
      </c>
      <c r="S348" s="32" t="inlineStr">
        <is>
          <r>
            <t>@田高琳</t>
          </r>
        </is>
      </c>
      <c r="T348" s="26" t="str">
        <v>N</v>
      </c>
      <c r="U348" s="16">
        <v>4.23</v>
      </c>
      <c r="V348" s="15" t="str">
        <v>N</v>
      </c>
      <c r="W348" s="15" t="str">
        <v>接口不支持</v>
      </c>
    </row>
    <row r="349" spans="1:23">
      <c r="A349" s="15" t="str">
        <v>媒体播放</v>
      </c>
      <c r="H349" s="15" t="str">
        <v>video_tag</v>
      </c>
      <c r="I349" s="26" t="str">
        <v>视频标签</v>
      </c>
      <c r="J349" s="15" t="str">
        <v>str</v>
      </c>
      <c r="M349" s="16">
        <v>1</v>
      </c>
      <c r="N349" s="56" t="str">
        <v>Y</v>
      </c>
      <c r="O349" s="36" t="str">
        <v>N</v>
      </c>
      <c r="P349" s="37" t="str">
        <v>NA</v>
      </c>
      <c r="S349" s="32" t="inlineStr">
        <is>
          <r>
            <t>@田高琳</t>
          </r>
        </is>
      </c>
      <c r="T349" s="26" t="str">
        <v>N</v>
      </c>
      <c r="U349" s="16">
        <v>4.23</v>
      </c>
      <c r="V349" s="15" t="str">
        <v>N</v>
      </c>
      <c r="W349" s="15" t="str">
        <v>接口不支持</v>
      </c>
    </row>
    <row r="350" spans="1:25">
      <c r="A350" s="15" t="str">
        <v>媒体播放</v>
      </c>
      <c r="H350" s="15" t="str">
        <v>artist</v>
      </c>
      <c r="I350" s="26" t="str">
        <v>演员名字</v>
      </c>
      <c r="J350" s="15" t="str">
        <v>str</v>
      </c>
      <c r="M350" s="16">
        <v>1</v>
      </c>
      <c r="N350" s="56" t="str">
        <v>Y</v>
      </c>
      <c r="O350" s="36" t="str">
        <v>Y</v>
      </c>
      <c r="P350" s="37" t="str">
        <v>Y</v>
      </c>
      <c r="S350" s="32" t="inlineStr">
        <is>
          <r>
            <t>@田高琳</t>
          </r>
        </is>
      </c>
      <c r="T350" s="26" t="str">
        <v>N</v>
      </c>
      <c r="U350" s="16">
        <v>5.8</v>
      </c>
      <c r="V350" s="40" t="str">
        <v>Y</v>
      </c>
      <c r="W350" s="15" t="str">
        <v>接口不支持</v>
      </c>
      <c r="Y350" s="15" t="str">
        <v>N</v>
      </c>
    </row>
    <row r="351" spans="1:25">
      <c r="A351" s="15" t="str">
        <v>媒体播放</v>
      </c>
      <c r="H351" s="15" t="str">
        <v>director</v>
      </c>
      <c r="I351" s="26" t="str">
        <v>导演名字</v>
      </c>
      <c r="J351" s="15" t="str">
        <v>str</v>
      </c>
      <c r="M351" s="16">
        <v>1</v>
      </c>
      <c r="N351" s="56" t="str">
        <v>Y</v>
      </c>
      <c r="O351" s="36" t="str">
        <v>Y</v>
      </c>
      <c r="P351" s="37" t="str">
        <v>Y</v>
      </c>
      <c r="S351" s="32" t="inlineStr">
        <is>
          <r>
            <t>@田高琳</t>
          </r>
        </is>
      </c>
      <c r="T351" s="26" t="str">
        <v>N</v>
      </c>
      <c r="U351" s="16">
        <v>5.8</v>
      </c>
      <c r="V351" s="40" t="str">
        <v>Y</v>
      </c>
      <c r="W351" s="15" t="str">
        <v>接口不支持</v>
      </c>
      <c r="Y351" s="15" t="str">
        <v>N</v>
      </c>
    </row>
    <row r="352" spans="1:25">
      <c r="A352" s="15" t="str">
        <v>媒体播放</v>
      </c>
      <c r="H352" s="15" t="str">
        <v>media_source</v>
      </c>
      <c r="I352" s="26" t="str">
        <v>媒体源</v>
      </c>
      <c r="J352" s="15" t="str">
        <v>enum</v>
      </c>
      <c r="K352" s="48" t="str">
        <v>爱奇艺，优酷视频，哔哩哔哩，腾讯视频，芒果视频，华为视频，咪咕视频，小米视频，其他，空</v>
      </c>
      <c r="M352" s="16">
        <v>1</v>
      </c>
      <c r="N352" s="56" t="str">
        <v>Y</v>
      </c>
      <c r="O352" s="36" t="str">
        <v>Y</v>
      </c>
      <c r="P352" s="37" t="str">
        <v>Y</v>
      </c>
      <c r="S352" s="32" t="inlineStr">
        <is>
          <r>
            <t>@田高琳</t>
          </r>
        </is>
      </c>
      <c r="T352" s="26" t="str">
        <v>Y</v>
      </c>
      <c r="U352" s="16">
        <v>5.8</v>
      </c>
      <c r="V352" s="40" t="str">
        <v>Y</v>
      </c>
      <c r="Y352" s="15" t="str">
        <v>N</v>
      </c>
    </row>
    <row r="353" spans="1:23">
      <c r="A353" s="15" t="str">
        <v>媒体播放</v>
      </c>
      <c r="H353" s="15" t="str">
        <v>episode</v>
      </c>
      <c r="I353" s="26" t="str">
        <v>视频集数</v>
      </c>
      <c r="J353" s="15" t="str">
        <v>str</v>
      </c>
      <c r="M353" s="16">
        <v>1</v>
      </c>
      <c r="N353" s="56" t="str">
        <v>Y</v>
      </c>
      <c r="O353" s="36" t="str">
        <v>N</v>
      </c>
      <c r="P353" s="37" t="str">
        <v>NA</v>
      </c>
      <c r="S353" s="32" t="inlineStr">
        <is>
          <r>
            <t>@田高琳</t>
          </r>
        </is>
      </c>
      <c r="T353" s="26" t="str">
        <v>N</v>
      </c>
      <c r="U353" s="16">
        <v>4.23</v>
      </c>
      <c r="V353" s="15" t="str">
        <v>N</v>
      </c>
      <c r="W353" s="15" t="str">
        <v>接口不支持</v>
      </c>
    </row>
    <row r="354" spans="1:23">
      <c r="A354" s="15" t="str">
        <v>媒体播放</v>
      </c>
      <c r="H354" s="15" t="str">
        <v>season</v>
      </c>
      <c r="I354" s="26" t="str">
        <v>视频季数</v>
      </c>
      <c r="J354" s="15" t="str">
        <v>str</v>
      </c>
      <c r="M354" s="16">
        <v>1</v>
      </c>
      <c r="N354" s="56" t="str">
        <v>Y</v>
      </c>
      <c r="O354" s="36" t="str">
        <v>N</v>
      </c>
      <c r="P354" s="37" t="str">
        <v>NA</v>
      </c>
      <c r="S354" s="32" t="inlineStr">
        <is>
          <r>
            <t>@田高琳</t>
          </r>
        </is>
      </c>
      <c r="T354" s="26" t="str">
        <v>N</v>
      </c>
      <c r="U354" s="16">
        <v>4.23</v>
      </c>
      <c r="V354" s="15" t="str">
        <v>N</v>
      </c>
      <c r="W354" s="15" t="str">
        <v>接口不支持</v>
      </c>
    </row>
    <row r="355" spans="1:25">
      <c r="A355" s="15" t="str">
        <v>媒体播放</v>
      </c>
      <c r="H355" s="45" t="str">
        <v>screen</v>
      </c>
      <c r="I355" s="45" t="str">
        <v>显示屏幕</v>
      </c>
      <c r="J355" s="45" t="str">
        <v>str</v>
      </c>
      <c r="K355" s="58" t="str">
        <v>中控屏、副驾屏、仪表、后排屏、左后屏、右后屏、前排屏、全部屏、PAD、语音屏、后排吸顶屏、其他</v>
      </c>
      <c r="L355" s="16">
        <v>1</v>
      </c>
      <c r="N355" s="56" t="str">
        <v>Y</v>
      </c>
      <c r="O355" s="36" t="str">
        <v>Y</v>
      </c>
      <c r="P355" s="37" t="str">
        <v>Y</v>
      </c>
      <c r="S355" s="32" t="inlineStr">
        <is>
          <r>
            <t>@田高琳</t>
          </r>
        </is>
      </c>
      <c r="T355" s="26" t="str">
        <v>Y</v>
      </c>
      <c r="U355" s="16">
        <v>5.8</v>
      </c>
      <c r="V355" s="40" t="str">
        <v>Y</v>
      </c>
      <c r="Y355" s="15" t="str">
        <v>Y</v>
      </c>
    </row>
    <row r="356" spans="1:25">
      <c r="A356" s="15" t="str">
        <v>媒体播放</v>
      </c>
      <c r="B356" s="15" t="str">
        <v>播放模式</v>
      </c>
      <c r="C356" s="15" t="str">
        <v>media_0003</v>
      </c>
      <c r="F356" s="15" t="str">
        <v>播放模式和状态</v>
      </c>
      <c r="G356" s="15" t="str">
        <v>低频变化</v>
      </c>
      <c r="H356" s="15" t="str">
        <v>object</v>
      </c>
      <c r="I356" s="25" t="str">
        <v>播放对象</v>
      </c>
      <c r="J356" s="15" t="str">
        <v>enum</v>
      </c>
      <c r="K356" s="25" t="str">
        <v>音频，视频</v>
      </c>
      <c r="L356" s="16">
        <v>1</v>
      </c>
      <c r="M356" s="16">
        <v>1</v>
      </c>
      <c r="N356" s="56" t="str">
        <v>Y</v>
      </c>
      <c r="O356" s="36" t="str">
        <v>N</v>
      </c>
      <c r="P356" s="37" t="str">
        <v>NA</v>
      </c>
      <c r="S356" s="32" t="inlineStr">
        <is>
          <r>
            <t>@田高琳</t>
          </r>
        </is>
      </c>
      <c r="T356" s="26" t="str">
        <v>Y</v>
      </c>
      <c r="U356" s="16">
        <v>4.23</v>
      </c>
      <c r="V356" s="40" t="str">
        <v>Y</v>
      </c>
      <c r="Y356" s="15" t="str">
        <v>Y</v>
      </c>
    </row>
    <row r="357" spans="1:25">
      <c r="A357" s="15" t="str">
        <v>媒体播放</v>
      </c>
      <c r="H357" s="15" t="str">
        <v>mode</v>
      </c>
      <c r="I357" s="15" t="str">
        <v>播放模式</v>
      </c>
      <c r="J357" s="15" t="str">
        <v>enum</v>
      </c>
      <c r="K357" s="18" t="str">
        <v>列表播放，单曲循环，随机播放，列表循环</v>
      </c>
      <c r="M357" s="16">
        <v>1</v>
      </c>
      <c r="N357" s="15" t="str">
        <v>Y</v>
      </c>
      <c r="O357" s="36" t="str">
        <v>Y</v>
      </c>
      <c r="P357" s="37" t="str">
        <v>Y</v>
      </c>
      <c r="S357" s="32" t="inlineStr">
        <is>
          <r>
            <t>@田高琳</t>
          </r>
        </is>
      </c>
      <c r="T357" s="26" t="str">
        <v>Y</v>
      </c>
      <c r="U357" s="16">
        <v>5.8</v>
      </c>
      <c r="V357" s="40" t="str">
        <v>Y</v>
      </c>
      <c r="W357" s="15" t="str">
        <v>只有三种模式[单曲循环，随机播放，列表循环]  
无列表播放模式</v>
      </c>
      <c r="Y357" s="15" t="str">
        <v>Y</v>
      </c>
    </row>
    <row r="358" spans="1:25">
      <c r="A358" s="15" t="str">
        <v>媒体播放</v>
      </c>
      <c r="H358" s="15" t="str">
        <v>states</v>
      </c>
      <c r="I358" s="15" t="str">
        <v>播放状态</v>
      </c>
      <c r="J358" s="15" t="str">
        <v>enum</v>
      </c>
      <c r="K358" s="18" t="str">
        <v>暂停，播放，停止</v>
      </c>
      <c r="M358" s="16">
        <v>1</v>
      </c>
      <c r="N358" s="15" t="str">
        <v>Y</v>
      </c>
      <c r="O358" s="36" t="str">
        <v>Y</v>
      </c>
      <c r="P358" s="37" t="str">
        <v>Y</v>
      </c>
      <c r="S358" s="32" t="inlineStr">
        <is>
          <r>
            <t>@田高琳</t>
          </r>
        </is>
      </c>
      <c r="T358" s="26" t="str">
        <v>Y</v>
      </c>
      <c r="U358" s="16">
        <v>5.8</v>
      </c>
      <c r="V358" s="40" t="str">
        <v>Y</v>
      </c>
      <c r="W358" s="15" t="str">
        <v>只有开始  暂停/停止两种状态</v>
      </c>
      <c r="Y358" s="15" t="str">
        <v>Y</v>
      </c>
    </row>
    <row r="359" spans="1:22">
      <c r="A359" s="15" t="str">
        <v>系统和设置</v>
      </c>
      <c r="B359" s="15" t="str">
        <v>保养类</v>
      </c>
      <c r="C359" s="15" t="str">
        <v>system_control_0001</v>
      </c>
      <c r="F359" s="15" t="str">
        <v>剩余保养时间和里程</v>
      </c>
      <c r="H359" s="20" t="str">
        <v>day</v>
      </c>
      <c r="I359" s="15" t="str">
        <v>天数</v>
      </c>
      <c r="J359" s="20" t="str">
        <v>str</v>
      </c>
      <c r="M359" s="16">
        <v>1</v>
      </c>
      <c r="N359" s="56" t="str">
        <v>Y</v>
      </c>
      <c r="O359" s="36" t="str">
        <v>N（如需要从云端主动查询，贺代贵）</v>
      </c>
      <c r="P359" s="37" t="str">
        <v>NA</v>
      </c>
      <c r="S359" s="32" t="inlineStr">
        <is>
          <r>
            <t>@尹泽陆</t>
          </r>
        </is>
      </c>
      <c r="T359" s="26" t="str">
        <v>N</v>
      </c>
      <c r="V359" s="75" t="str">
        <v>无接口</v>
      </c>
    </row>
    <row r="360" spans="1:22">
      <c r="A360" s="15" t="str">
        <v>系统和设置</v>
      </c>
      <c r="H360" s="20" t="str">
        <v>distance</v>
      </c>
      <c r="I360" s="15" t="str">
        <v>里程</v>
      </c>
      <c r="J360" s="20" t="str">
        <v>str</v>
      </c>
      <c r="M360" s="16">
        <v>1</v>
      </c>
      <c r="N360" s="56" t="str">
        <v>Y</v>
      </c>
      <c r="O360" s="36" t="str">
        <v>N（如需要从云端主动查询，贺代贵）</v>
      </c>
      <c r="P360" s="37" t="str">
        <v>NA</v>
      </c>
      <c r="S360" s="32" t="inlineStr">
        <is>
          <r>
            <t>@尹泽陆</t>
          </r>
        </is>
      </c>
      <c r="T360" s="26" t="str">
        <v>N</v>
      </c>
      <c r="V360" s="75" t="str">
        <v>无接口</v>
      </c>
    </row>
    <row r="361" spans="1:22">
      <c r="A361" s="15" t="str">
        <v>系统和设置</v>
      </c>
      <c r="G361" s="15" t="str">
        <v>低频变化</v>
      </c>
      <c r="H361" s="20" t="str">
        <v>date</v>
      </c>
      <c r="I361" s="15" t="str">
        <v>日期</v>
      </c>
      <c r="J361" s="20" t="str">
        <v>str</v>
      </c>
      <c r="M361" s="16">
        <v>1</v>
      </c>
      <c r="N361" s="56" t="str">
        <v>Y</v>
      </c>
      <c r="O361" s="36" t="str">
        <v>N（如需要从云端主动查询，贺代贵）</v>
      </c>
      <c r="P361" s="37" t="str">
        <v>NA</v>
      </c>
      <c r="S361" s="32" t="inlineStr">
        <is>
          <r>
            <t>@尹泽陆</t>
          </r>
        </is>
      </c>
      <c r="T361" s="26" t="str">
        <v>N</v>
      </c>
      <c r="V361" s="75" t="str">
        <v>无接口</v>
      </c>
    </row>
    <row r="362" spans="1:19">
      <c r="A362" s="15" t="str">
        <v>系统和设置</v>
      </c>
      <c r="G362" s="15" t="str">
        <v>低频变化</v>
      </c>
      <c r="H362" s="15" t="str">
        <v>Last_maintenance_date</v>
      </c>
      <c r="I362" s="15" t="str">
        <v>日期</v>
      </c>
      <c r="J362" s="15" t="str">
        <v>str</v>
      </c>
      <c r="M362" s="16">
        <v>1</v>
      </c>
      <c r="N362" s="15" t="str">
        <v>Y</v>
      </c>
      <c r="S362" s="32" t="inlineStr">
        <is>
          <r>
            <t>@杨忠谕</t>
          </r>
        </is>
      </c>
    </row>
    <row r="363" spans="1:16">
      <c r="A363" s="15" t="str">
        <v>系统和设置</v>
      </c>
      <c r="B363" s="15" t="str">
        <v>语音播报设置</v>
      </c>
      <c r="C363" s="15" t="str">
        <v>system_control_0002</v>
      </c>
      <c r="F363" s="15" t="str">
        <v>语音播报设置</v>
      </c>
      <c r="H363" s="15" t="str">
        <v>switch</v>
      </c>
      <c r="I363" s="15" t="str">
        <v>模式选项</v>
      </c>
      <c r="J363" s="15" t="str">
        <v>enum</v>
      </c>
      <c r="K363" s="18" t="str">
        <v>仅提示音，简洁，详细，极简</v>
      </c>
      <c r="N363" s="15" t="str">
        <v>N</v>
      </c>
      <c r="O363" s="36" t="str">
        <v>N （待字节锁定PRD）</v>
      </c>
      <c r="P363" s="37" t="str">
        <v>NA</v>
      </c>
    </row>
    <row r="364" spans="1:16">
      <c r="A364" s="15" t="str">
        <v>系统和设置</v>
      </c>
      <c r="H364" s="15" t="str">
        <v>abnormal_cause</v>
      </c>
      <c r="I364" s="15" t="str">
        <v>异常原因</v>
      </c>
      <c r="J364" s="15" t="str">
        <v>str</v>
      </c>
      <c r="N364" s="15" t="str">
        <v>N</v>
      </c>
      <c r="O364" s="36" t="str">
        <v>N（待字节锁定PRD）</v>
      </c>
      <c r="P364" s="37" t="str">
        <v>NA</v>
      </c>
    </row>
    <row r="365" spans="1:22">
      <c r="A365" s="15" t="str">
        <v>系统和设置</v>
      </c>
      <c r="B365" s="15" t="str">
        <v>身份信息</v>
      </c>
      <c r="C365" s="15" t="str">
        <v>system_control_0003</v>
      </c>
      <c r="F365" s="15" t="str">
        <v>乘客身份信息</v>
      </c>
      <c r="G365" s="15" t="str">
        <v>低频变化</v>
      </c>
      <c r="H365" s="15" t="str">
        <v>position</v>
      </c>
      <c r="I365" s="15" t="str">
        <v>位置</v>
      </c>
      <c r="J365" s="15" t="str">
        <v>enum</v>
      </c>
      <c r="K365" s="18" t="str">
        <v>主驾，副驾，二排左，二排中，二排右，三排左，三排中，三排右</v>
      </c>
      <c r="L365" s="16">
        <v>1</v>
      </c>
      <c r="M365" s="16">
        <v>1</v>
      </c>
      <c r="N365" s="15" t="str">
        <v>Y</v>
      </c>
      <c r="O365" s="36" t="str">
        <v>Y（OMS可识别身份，主驾，副驾，二排左，二排中，二排右）</v>
      </c>
      <c r="P365" s="37" t="str">
        <v>Y</v>
      </c>
      <c r="Q365" s="119" t="str">
        <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v>
      </c>
      <c r="R365" s="39" t="str">
        <v>face id需求在讨论和排期
如果最终正式上无感face id功能，端状态能力在功能交付后+2周
如果正式不上无感face id功能，端状态去除face id相关，5/30提供</v>
      </c>
      <c r="S365" s="32" t="inlineStr">
        <is>
          <r>
            <t>@尹泽陆</t>
          </r>
        </is>
      </c>
      <c r="T365" s="26" t="str">
        <v>N</v>
      </c>
      <c r="V365" s="75" t="str">
        <v>无接口</v>
      </c>
    </row>
    <row r="366" spans="1:22">
      <c r="A366" s="15" t="str">
        <v>系统和设置</v>
      </c>
      <c r="H366" s="45" t="str">
        <v>gender</v>
      </c>
      <c r="I366" s="45" t="str">
        <v>性别</v>
      </c>
      <c r="J366" s="45" t="str">
        <v>enum</v>
      </c>
      <c r="K366" s="58" t="str">
        <v>男，女</v>
      </c>
      <c r="N366" s="15" t="str">
        <v>N</v>
      </c>
      <c r="O366" s="36" t="str">
        <v>Y 支持男、女性别</v>
      </c>
      <c r="P366" s="37" t="str">
        <v>Y</v>
      </c>
      <c r="Q366" s="119" t="str">
        <v>implementation ('com.zone.api.omssdk:omssdk:1.2.5-SNAPSHOT')
OMSManager::getInstance(Context ctx)
public List&lt;OMSOccupantAttrBean&gt; getOMSOccupantAttr(int pos)
* @param gender 位置成员性别属性
 * &lt;pre&gt;
 * &lt;code&gt;OccupantAttrDefine.Gender.FEMALE&lt;/code&gt; 女性
 * &lt;code&gt;OccupantAttrDefine.Gender.MALE&lt;/code&gt; 男性
 * &lt;code&gt;OccupantAttrDefine.Gender.UNKNOWN&lt;/code&gt; 未知</v>
      </c>
      <c r="S366" s="32" t="inlineStr">
        <is>
          <r>
            <t>@尹泽陆</t>
          </r>
        </is>
      </c>
      <c r="T366" s="26" t="str">
        <v>N</v>
      </c>
      <c r="V366" s="75" t="str">
        <v>无接口</v>
      </c>
    </row>
    <row r="367" spans="1:22">
      <c r="A367" s="15" t="str">
        <v>系统和设置</v>
      </c>
      <c r="H367" s="45" t="str">
        <v>age</v>
      </c>
      <c r="I367" s="45" t="str">
        <v>年龄</v>
      </c>
      <c r="J367" s="45" t="str">
        <v>enum</v>
      </c>
      <c r="K367" s="58" t="str">
        <v>儿童，中青年，老年，未知</v>
      </c>
      <c r="N367" s="15" t="str">
        <v>N</v>
      </c>
      <c r="O367" s="36" t="str">
        <v>Y 支持儿童，中青年，老年，未知</v>
      </c>
      <c r="P367" s="37" t="str">
        <v>Y</v>
      </c>
      <c r="Q367" s="119" t="str">
        <v>implementation ('com.zone.api.omssdk:omssdk:1.2.5-SNAPSHOT')
OMSManager::getInstance(Context ctx)
public List&lt;OMSOccupantAttrBean&gt; getOMSOccupantAttr(int pos)
* @param age 位置成员年龄属性
 * &lt;pre&gt;
 * &lt;code&gt;OccupantAttrDefine.Age.CHILD&lt;/code&gt; 儿童
 * &lt;code&gt;OccupantAttrDefine.Age.TEENAGER&lt;/code&gt; 少年
 * &lt;code&gt;OccupantAttrDefine.Age.YOUTH&lt;/code&gt; 青年
 * &lt;code&gt;OccupantAttrDefine.Age.MIDDLE_AGE&lt;/code&gt; 中年
 * &lt;code&gt;OccupantAttrDefine.Age.AGED&lt;/code&gt; 老年
 * &lt;code&gt;OccupantAttrDefine.Age.UNKNOWN&lt;/code&gt; 未知</v>
      </c>
      <c r="S367" s="32" t="inlineStr">
        <is>
          <r>
            <t>@尹泽陆</t>
          </r>
        </is>
      </c>
      <c r="T367" s="26" t="str">
        <v>N</v>
      </c>
      <c r="V367" s="75" t="str">
        <v>无接口</v>
      </c>
    </row>
    <row r="368" spans="1:22">
      <c r="A368" s="15" t="str">
        <v>系统和设置</v>
      </c>
      <c r="H368" s="45" t="str">
        <v>action</v>
      </c>
      <c r="I368" s="45" t="str">
        <v>动作</v>
      </c>
      <c r="J368" s="45" t="str">
        <v>str</v>
      </c>
      <c r="N368" s="15" t="str">
        <v>N</v>
      </c>
      <c r="O368" s="36" t="str">
        <v>Y 支持部分手势动作</v>
      </c>
      <c r="P368" s="37" t="str">
        <v>Y</v>
      </c>
      <c r="Q368" s="119" t="str">
        <v>implementation ('com.zone.api.omssdk:omssdk:1.2.5-SNAPSHOT')
OMSManager::getInstance(Context ctx)
public void registerOMSAlgoRunningStatListener(OMSAlgoRunningStatListener listener)
回调接口val algoRetListener = object: OMSAlgorithmRetListener() {
 override fun notifyGestureRet(gestureRet: OMSGestureRetBean)</v>
      </c>
      <c r="S368" s="32" t="inlineStr">
        <is>
          <r>
            <t>@尹泽陆</t>
          </r>
        </is>
      </c>
      <c r="T368" s="26" t="str">
        <v>N</v>
      </c>
      <c r="V368" s="75" t="str">
        <v>无接口</v>
      </c>
    </row>
    <row r="369" spans="1:22">
      <c r="A369" s="15" t="str">
        <v>系统和设置</v>
      </c>
      <c r="H369" s="15" t="str">
        <v>face_id</v>
      </c>
      <c r="I369" s="15" t="str">
        <v>用户身份标识</v>
      </c>
      <c r="J369" s="15" t="str">
        <v>str</v>
      </c>
      <c r="K369" s="18" t="inlineStr">
        <is>
          <r>
            <rPr>
              <sz val="10"/>
              <color rgb="FF1F2329"/>
              <rFont val="Arial"/>
            </rPr>
            <t xml:space="preserve">识别成功：faceid值（纯数字）
无人：NO_PERSON
有人但位置未授权无感采集：NO_COLLECT_PERMISSION
有人但未能成功识别faceid：
  ERRORCODE_1：CAMERA_COVERED, (待确认)
  ERRORCODE_2：FACE_COVERED,
</t>
          </r>
          <r>
            <rPr>
              <strike/>
              <sz val="10"/>
              <color rgb="FF1F2329"/>
              <rFont val="Arial"/>
            </rPr>
            <t xml:space="preserve">  ERRORCODE_3：FACE_MULTI,
</t>
          </r>
          <r>
            <rPr>
              <sz val="10"/>
              <color rgb="FF1F2329"/>
              <rFont val="Arial"/>
            </rPr>
            <t xml:space="preserve">  ERRORCODE_4：FACE_PITCH_UP,
  ERRORCODE_5：FACE_PITCH_DOWN,
  ERRORCODE_6：FACE_YAW_LEFT,
  ERRORCODE_7：FACE_YAW_RIGHT,
  ERRORCODE_8：FACE_BLUR,
  ERRORCODE_9：FACE_TOO_SMALL,
  ERRORCODE_10：FACE_NOT_RECOGNIZED（待确认）
未知：
OMS_SWITCH_OFF</t>
          </r>
        </is>
      </c>
      <c r="M369" s="16">
        <v>1</v>
      </c>
      <c r="N369" s="15" t="str">
        <v>Y</v>
      </c>
      <c r="O369" s="36" t="str">
        <v>Y OMS功能支持）</v>
      </c>
      <c r="P369" s="37" t="str">
        <v>Y</v>
      </c>
      <c r="Q369" s="119" t="str">
        <v>implementation ('com.zone.api.omssdk:omssdk:1.2.5-SNAPSHOT')
OMSManager::getInstance(Context ctx)
public void registerFaceIdListener(OMSFaceIdListener listener)
void onRecognizeFaceIdsNotify(Map&lt;String, String&gt; recognizeFaceIds);
/** {@value}: SEAT_POS_FRONT_LEFT: 前排左侧位置 */
 public static final String SEAT_POS_FRONT_LEFT = "FrontLeft";
 /** {@value}: SEAT_POS_FRONT_RIGHT: 前排右侧位置 */
 public static final String SEAT_POS_FRONT_RIGHT = "FrontRight";
 /** {@value}: SEAT_POS_REAR_LEFT: 后排左侧位置 */
 public static final String SEAT_POS_REAR_LEFT = "RearLeft";
 /** {@value}: SEAT_POS_REAR_MID: 后排中间位置 */
 public static final String SEAT_POS_REAR_MID = "RearMid";
 /** {@value}: SEAT_POS_REAR_RIGHT: 后排右侧位置 */
 public static final String SEAT_POS_REAR_RIGHT = "RearRight";</v>
      </c>
      <c r="S369" s="32" t="inlineStr">
        <is>
          <r>
            <t>@尹泽陆</t>
          </r>
        </is>
      </c>
      <c r="T369" s="26" t="str">
        <v>N</v>
      </c>
      <c r="V369" s="75" t="str">
        <v>无接口</v>
      </c>
    </row>
    <row r="370" spans="8:11">
      <c r="H370" s="56" t="str">
        <v>failed_msg</v>
      </c>
      <c r="I370" s="56" t="str">
        <v>识别失败原因</v>
      </c>
      <c r="J370" s="56" t="str">
        <v>str</v>
      </c>
      <c r="K370" s="120" t="str">
        <v>NO_PERSON：未识别到人
NO_USER_PERMISSION：无用户授权
NO_CAMERA_PERMISSION：无摄像头权限
FACE_UNRECOGNIZED：识别到人，但人脸识别失败
DEVICE_FAILURE：设备故障
UNKNOWN_ERROR：未知错误
SUCCESS：识别成功</v>
      </c>
    </row>
    <row r="371" spans="1:22">
      <c r="A371" s="15" t="str">
        <v>系统和设置</v>
      </c>
      <c r="G371" s="15" t="str">
        <v>低频变化</v>
      </c>
      <c r="H371" s="15" t="str">
        <v>name</v>
      </c>
      <c r="I371" s="15" t="str">
        <v>名称</v>
      </c>
      <c r="J371" s="15" t="str">
        <v>str</v>
      </c>
      <c r="M371" s="16">
        <v>1</v>
      </c>
      <c r="N371" s="15" t="str">
        <v>Y</v>
      </c>
      <c r="O371" s="36" t="str">
        <v>Y 支持用户自定义名称或默认名称）</v>
      </c>
      <c r="P371" s="37" t="str">
        <v>N</v>
      </c>
      <c r="Q371" s="119" t="str">
        <v>不记录人名</v>
      </c>
      <c r="S371" s="32" t="inlineStr">
        <is>
          <r>
            <t>@尹泽陆</t>
          </r>
        </is>
      </c>
      <c r="T371" s="26" t="str">
        <v>N</v>
      </c>
      <c r="V371" s="75" t="str">
        <v>无接口</v>
      </c>
    </row>
    <row r="372" spans="1:27">
      <c r="A372" s="15" t="str">
        <v>系统和设置</v>
      </c>
      <c r="B372" s="15" t="str">
        <v>身份信息</v>
      </c>
      <c r="C372" s="15" t="str">
        <v>system_control_0004</v>
      </c>
      <c r="F372" s="15" t="str">
        <v>座位占座信息</v>
      </c>
      <c r="H372" s="15" t="str">
        <v>position</v>
      </c>
      <c r="I372" s="15" t="str">
        <v>位置</v>
      </c>
      <c r="J372" s="15" t="str">
        <v>enum</v>
      </c>
      <c r="K372" s="18" t="str">
        <v>主驾，副驾，二排左，二排中，二排右，三排左，三排中，三排右</v>
      </c>
      <c r="L372" s="16">
        <v>1</v>
      </c>
      <c r="M372" s="16">
        <v>1</v>
      </c>
      <c r="N372" s="15" t="str">
        <v>Y（主副驾）</v>
      </c>
      <c r="O372" s="36" t="str">
        <v>Y（硬件上只有前排占位传感器； OMS支持识别各座位是否有人）</v>
      </c>
      <c r="P372" s="37" t="str">
        <v>Y</v>
      </c>
      <c r="Q372" s="119" t="str">
        <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v>
      </c>
      <c r="S372" s="32" t="inlineStr">
        <is>
          <r>
            <t>@尹泽陆</t>
          </r>
        </is>
      </c>
      <c r="T372" s="26" t="str">
        <v>N</v>
      </c>
      <c r="V372" s="15" t="str">
        <v>Y</v>
      </c>
      <c r="Y372" s="15" t="str">
        <v>Y</v>
      </c>
      <c r="AA372" s="15" t="inlineStr">
        <is>
          <r>
            <rPr>
              <sz val="10"/>
              <color rgb="FF1F2329"/>
              <rFont val="Arial"/>
            </rPr>
            <t>目前只有前排的信息，无后排的，但是这个信号预计会和人脸合并使用，对服务端是个问题，结论：</t>
          </r>
          <r>
            <rPr>
              <sz val="10"/>
              <color rgb="FFF54A45"/>
              <rFont val="Arial"/>
            </rPr>
            <t>如果没有后排删除后排上报，仅上报前排</t>
          </r>
        </is>
      </c>
    </row>
    <row r="373" spans="1:27">
      <c r="A373" s="15" t="str">
        <v>系统和设置</v>
      </c>
      <c r="H373" s="15" t="str">
        <v>states</v>
      </c>
      <c r="I373" s="15" t="str">
        <v>状态</v>
      </c>
      <c r="J373" s="15" t="str">
        <v>enum</v>
      </c>
      <c r="K373" s="18" t="str">
        <v>已占用，未占用</v>
      </c>
      <c r="M373" s="16">
        <v>1</v>
      </c>
      <c r="N373" s="15" t="str">
        <v>Y</v>
      </c>
      <c r="O373" s="36" t="str">
        <v>Y</v>
      </c>
      <c r="P373" s="37" t="str">
        <v>Y</v>
      </c>
      <c r="Q373" s="119" t="str">
        <v>implementation ('com.zone.api.omssdk:omssdk:1.2.5-SNAPSHOT')
OMSManager::getInstance(Context ctx)
public List&lt;OMSOccupantAttrBean&gt; getOMSOccupantAttr(int pos)
* @param occupy 位置成员占位属性
 * &lt;pre&gt;
 * &lt;code&gt;OccupantAttrDefine.OccupantStatus.OCCUPIED&lt;/code&gt; 有人
 * &lt;code&gt;OccupantAttrDefine.OccupantStatus.UNOCCUPIED&lt;/code&gt; 无人
 * &lt;code&gt;OccupantAttrDefine.OccupantStatus.UNKNOWN&lt;/code&gt; 未知</v>
      </c>
      <c r="S373" s="32" t="inlineStr">
        <is>
          <r>
            <t>@尹泽陆</t>
          </r>
        </is>
      </c>
      <c r="T373" s="26" t="str">
        <v>N</v>
      </c>
      <c r="V373" s="15" t="str">
        <v>Y</v>
      </c>
      <c r="Y373" s="15" t="str">
        <v>Y</v>
      </c>
      <c r="AA373" s="15" t="inlineStr">
        <is>
          <r>
            <rPr>
              <sz val="10"/>
              <color rgb="FF1F2329"/>
              <rFont val="Arial"/>
            </rPr>
            <t>目前只有前排的信息，无后排的，但是这个信号预计会和人脸合并使用，对服务端是个问题，结论：</t>
          </r>
          <r>
            <rPr>
              <sz val="10"/>
              <color rgb="FFF54A45"/>
              <rFont val="Arial"/>
            </rPr>
            <t>如果没有后排删除后排上报，仅上报前排</t>
          </r>
        </is>
      </c>
    </row>
    <row r="374" spans="1:21">
      <c r="A374" s="121" t="str">
        <v>新增</v>
      </c>
      <c r="S374" s="29" t="inlineStr">
        <is>
          <r>
            <t>@谢一鸣</t>
          </r>
        </is>
      </c>
      <c r="U374" s="29" t="str">
        <v>05.14：上汽内部需要讨论才能给出排期</v>
      </c>
    </row>
    <row r="375" spans="1:23">
      <c r="A375" s="93" t="str">
        <v>智驾</v>
      </c>
      <c r="B375" s="93" t="str">
        <v>导航驾驶辅助</v>
      </c>
      <c r="C375" s="93" t="str">
        <v>adsd_0041</v>
      </c>
      <c r="F375" s="93" t="str">
        <v>ETC车道优先开关</v>
      </c>
      <c r="G375" s="93" t="str">
        <v>低频变化</v>
      </c>
      <c r="H375" s="93" t="str">
        <v>switch</v>
      </c>
      <c r="I375" s="93" t="str">
        <v>开关</v>
      </c>
      <c r="J375" s="93" t="str">
        <v>enum</v>
      </c>
      <c r="K375" s="93" t="str">
        <v>关闭，打开</v>
      </c>
      <c r="N375" s="15" t="str">
        <v>Y</v>
      </c>
      <c r="O375" s="74" t="str">
        <v>Y</v>
      </c>
      <c r="P375" s="74" t="str">
        <v>Y</v>
      </c>
      <c r="Q375" s="75" t="str">
        <v>IAdsInterface:
获取接口：
int getToolBooth(@NonNull IntResult result)
注册&amp;解除接口：
void addCallback(I callback, ArrayList&lt;F&gt; flags)
void removeCallback(I callback, ArrayList&lt;F&gt; flags)
第二个参数：
AdsCallbackFlag.TOOL_BOOTH
通知接口：
IAdsCallback
void onToolBoothChanged(IntResult result)
返回值值含义：
0：车辆未配置ETC
1：车辆已配置ETC</v>
      </c>
      <c r="S375" s="15" t="inlineStr">
        <is>
          <r>
            <t>@谢一鸣</t>
          </r>
        </is>
      </c>
      <c r="T375" s="15" t="str">
        <v>Y</v>
      </c>
      <c r="V375" s="15" t="str">
        <v>Y</v>
      </c>
      <c r="W375" s="96" t="str">
        <v>06.14:未找到这个开关 =》上汽工程师反馈可能这个车型没有</v>
      </c>
    </row>
    <row r="376" spans="1:22">
      <c r="A376" s="93" t="str">
        <v>智驾</v>
      </c>
      <c r="B376" s="93" t="str">
        <v>自动紧急转向避让</v>
      </c>
      <c r="C376" s="93" t="str">
        <v>adsd_0042</v>
      </c>
      <c r="F376" s="93" t="str">
        <v>紧急转向避让</v>
      </c>
      <c r="G376" s="93" t="str">
        <v>低频变化</v>
      </c>
      <c r="H376" s="93" t="str">
        <v>switch</v>
      </c>
      <c r="I376" s="93" t="str">
        <v>开关</v>
      </c>
      <c r="J376" s="93" t="str">
        <v>enum</v>
      </c>
      <c r="K376" s="93" t="str">
        <v>关闭，辅助，自动</v>
      </c>
      <c r="N376" s="15" t="str">
        <v>Y</v>
      </c>
      <c r="O376" s="74" t="str">
        <v>Y</v>
      </c>
      <c r="P376" s="74" t="str">
        <v>Y</v>
      </c>
      <c r="Q376" s="75" t="str">
        <v>IAdsInterface:
获取接口：
int getAESSwSet(@NonNull IntResult result)
注册&amp;解除接口：
void addCallback(I callback, ArrayList&lt;F&gt; flags)
void removeCallback(I callback, ArrayList&lt;F&gt; flags)
第二个参数：
AdsCallbackFlag.AES_SW_SET
通知接口：
IAdsCallback
void onAESSwSetChanged(IntResult result)
返回值值含义：
0：Off
1：ESS_On
2：AES_On</v>
      </c>
      <c r="S376" s="15" t="inlineStr">
        <is>
          <r>
            <t>@谢一鸣</t>
          </r>
        </is>
      </c>
      <c r="T376" s="15" t="str">
        <v>Y</v>
      </c>
      <c r="V376" s="15" t="str">
        <v>Y</v>
      </c>
    </row>
    <row r="377" spans="1:23">
      <c r="A377" s="93" t="str">
        <v>智驾</v>
      </c>
      <c r="B377" s="93" t="str">
        <v>方向盘离手提醒</v>
      </c>
      <c r="C377" s="93" t="str">
        <v>adsd_0043</v>
      </c>
      <c r="F377" s="93" t="str">
        <v>方向盘离手提醒开关</v>
      </c>
      <c r="G377" s="93" t="str">
        <v>低频变化</v>
      </c>
      <c r="H377" s="93" t="str">
        <v>switch</v>
      </c>
      <c r="I377" s="93" t="str">
        <v>开关</v>
      </c>
      <c r="J377" s="93" t="str">
        <v>enum</v>
      </c>
      <c r="K377" s="93" t="str">
        <v>关闭, 声音，声音+震动</v>
      </c>
      <c r="N377" s="15" t="str">
        <v>Y</v>
      </c>
      <c r="O377" s="15" t="str">
        <v>N</v>
      </c>
      <c r="P377" s="116" t="str">
        <v>NA</v>
      </c>
      <c r="Q377" s="122" t="str">
        <v>无此需求</v>
      </c>
      <c r="S377" s="15" t="inlineStr">
        <is>
          <r>
            <t>@谢一鸣</t>
          </r>
        </is>
      </c>
      <c r="T377" s="15" t="str">
        <v>N</v>
      </c>
      <c r="V377" s="15" t="str">
        <v>已开发，待验证</v>
      </c>
      <c r="W377" s="45" t="str">
        <v>05.26:没有接口 =》06.14：上汽工程师反馈没有这个功能</v>
      </c>
    </row>
    <row r="378" spans="1:23">
      <c r="A378" s="45" t="str">
        <v>智驾</v>
      </c>
      <c r="B378" s="45" t="str">
        <v>播报风格</v>
      </c>
      <c r="C378" s="45" t="str">
        <v>adsd_0044</v>
      </c>
      <c r="F378" s="45" t="str">
        <v>播报风格</v>
      </c>
      <c r="G378" s="93" t="str">
        <v>低频变化</v>
      </c>
      <c r="H378" s="45" t="str">
        <v>switch</v>
      </c>
      <c r="I378" s="45" t="str">
        <v>模式选项</v>
      </c>
      <c r="J378" s="45" t="str">
        <v>enum</v>
      </c>
      <c r="K378" s="45" t="str">
        <v>简洁，标准，详细</v>
      </c>
      <c r="N378" s="15" t="str">
        <v>Y</v>
      </c>
      <c r="O378" s="74" t="str">
        <v>Y</v>
      </c>
      <c r="P378" s="74" t="str">
        <v>Y</v>
      </c>
      <c r="Q378" s="75" t="str">
        <v>IAdsInterface:
获取接口：
int getNoaReportStatus(@NonNull IntResult result)
注册&amp;解除接口：
void addCallback(I callback, ArrayList&lt;F&gt; flags)
void removeCallback(I callback, ArrayList&lt;F&gt; flags)
第二个参数：
AdsCallbackFlag.INOAREPORT
通知接口：
IAdsCallback
void onNoaReportStatusChanged(@NonNull IntResult result) 
返回值值含义：
1：详细
2：标准
3：简洁</v>
      </c>
      <c r="S378" s="15" t="inlineStr">
        <is>
          <r>
            <t>@谢一鸣</t>
          </r>
        </is>
      </c>
      <c r="T378" s="15" t="str">
        <v>N</v>
      </c>
      <c r="V378" s="15" t="str">
        <v>已开发，待验证</v>
      </c>
      <c r="W378" s="45" t="str">
        <v>05.26:未收到回调 =》 06.14:依然未收到回调</v>
      </c>
    </row>
    <row r="379" spans="1:23">
      <c r="A379" s="45" t="str">
        <v>智驾</v>
      </c>
      <c r="B379" s="45" t="str">
        <v>车位到车位</v>
      </c>
      <c r="C379" s="45" t="str">
        <v>adsd_0045</v>
      </c>
      <c r="F379" s="45" t="str">
        <v>车位到车位</v>
      </c>
      <c r="G379" s="93" t="str">
        <v>低频变化</v>
      </c>
      <c r="H379" s="45" t="str">
        <v>switch</v>
      </c>
      <c r="I379" s="45" t="str">
        <v>开关</v>
      </c>
      <c r="J379" s="45" t="str">
        <v>enum</v>
      </c>
      <c r="K379" s="45" t="str">
        <v>关闭，开启</v>
      </c>
      <c r="N379" s="15" t="str">
        <v>Y</v>
      </c>
      <c r="O379" s="74" t="str">
        <v>Y</v>
      </c>
      <c r="P379" s="74" t="str">
        <v>Y</v>
      </c>
      <c r="Q379" s="75" t="str">
        <v>IAdsInterface:
获取接口：
int getD2dSwSet(@NonNull IntResult result)
注册&amp;解除接口：
void addCallback(I callback, ArrayList&lt;F&gt; flags)
void removeCallback(I callback, ArrayList&lt;F&gt; flags)
第二个参数：
AdsCallbackFlag.D2D_SW_SET
通知接口：
IAdsCallback
void onD2dSwSetChanged(IntResult result)
返回值值含义：
0：OFF
1：ON
3：功能不可用</v>
      </c>
      <c r="S379" s="15" t="inlineStr">
        <is>
          <r>
            <t>@谢一鸣</t>
          </r>
        </is>
      </c>
      <c r="T379" s="15" t="str">
        <v>N</v>
      </c>
      <c r="V379" s="15" t="str">
        <v>已开发，待验证</v>
      </c>
      <c r="W379" s="45" t="str">
        <v>05.26:未在实车上发现该开关 =&gt; 上汽开发说该功能已取消</v>
      </c>
    </row>
    <row r="380" spans="1:23">
      <c r="A380" s="45" t="str">
        <v>智驾</v>
      </c>
      <c r="B380" s="93" t="str">
        <v>自动紧急转向避让</v>
      </c>
      <c r="C380" s="45" t="str">
        <v>adsd_0046</v>
      </c>
      <c r="F380" s="45" t="str">
        <v>报警音</v>
      </c>
      <c r="G380" s="93" t="str">
        <v>低频变化</v>
      </c>
      <c r="H380" s="45" t="str">
        <v>switch</v>
      </c>
      <c r="I380" s="45" t="str">
        <v>开关</v>
      </c>
      <c r="J380" s="45" t="str">
        <v>enum</v>
      </c>
      <c r="K380" s="45" t="str">
        <v>关闭，开启</v>
      </c>
      <c r="N380" s="15" t="str">
        <v>Y</v>
      </c>
      <c r="O380" s="74" t="str">
        <v>Y</v>
      </c>
      <c r="P380" s="74" t="str">
        <v>Y</v>
      </c>
      <c r="Q380" s="75" t="str">
        <v>IAdsInterface:
获取接口：
int getEssAdoWarningSet(@NonNull IntResult result)
注册&amp;解除接口：
void addCallback(I callback, ArrayList&lt;F&gt; flags)
void removeCallback(I callback, ArrayList&lt;F&gt; flags)
第二个参数：
AdsCallbackFlag.ESS_ADO_WARNING_SET
通知接口：
IAdsCallback
void onEssAdoWarningSetChanged(IntResult result)
返回值值含义：
0：OFF
1：ON
3：功能不可用</v>
      </c>
      <c r="S380" s="15" t="inlineStr">
        <is>
          <r>
            <t>@谢一鸣</t>
          </r>
        </is>
      </c>
      <c r="T380" s="15" t="str">
        <v>Y</v>
      </c>
      <c r="V380" s="15" t="str">
        <v>Y</v>
      </c>
      <c r="W380" s="96" t="str">
        <v>05.26：未收到状态回调 =》06.14：依然未收到回调</v>
      </c>
    </row>
    <row r="381" spans="1:22">
      <c r="A381" s="45" t="str">
        <v>智驾</v>
      </c>
      <c r="B381" s="93" t="str">
        <v>低速碰撞辅助</v>
      </c>
      <c r="C381" s="45" t="str">
        <v>adsd_0047</v>
      </c>
      <c r="F381" s="45" t="str">
        <v>低速碰撞辅助</v>
      </c>
      <c r="G381" s="93" t="str">
        <v>低频变化</v>
      </c>
      <c r="H381" s="45" t="str">
        <v>switch</v>
      </c>
      <c r="I381" s="45" t="str">
        <v>开关</v>
      </c>
      <c r="J381" s="45" t="str">
        <v>enum</v>
      </c>
      <c r="K381" s="45" t="str">
        <v>关闭，开启</v>
      </c>
      <c r="N381" s="15" t="str">
        <v>Y</v>
      </c>
      <c r="O381" s="74" t="str">
        <v>Y</v>
      </c>
      <c r="P381" s="74" t="str">
        <v>Y</v>
      </c>
      <c r="Q381" s="75" t="str">
        <v>IAdsInterface:
获取接口：
int getAIParkingRBFSwitch(@NonNull IntResult result)
注册&amp;解除接口：
void addCallback(I callback, ArrayList&lt;F&gt; flags)
void removeCallback(I callback, ArrayList&lt;F&gt; flags)
第二个参数：
AdsCallbackFlag.AI_PRKG_RBF_SWT
通知接口：
IAdsCallback
void onAIParkingRBFSwitchChanged(IntResult result)
返回值值含义：
0：OFF
1：ON
</v>
      </c>
      <c r="S381" s="15" t="inlineStr">
        <is>
          <r>
            <t>@谢一鸣</t>
          </r>
        </is>
      </c>
      <c r="T381" s="15" t="str">
        <v>Y</v>
      </c>
      <c r="V381" s="15" t="str">
        <v>Y</v>
      </c>
    </row>
    <row r="382" spans="1:23">
      <c r="A382" s="45" t="str">
        <v>智驾</v>
      </c>
      <c r="B382" s="45" t="str">
        <v>行程报告</v>
      </c>
      <c r="C382" s="45" t="str">
        <v>adsd_0048</v>
      </c>
      <c r="F382" s="45" t="str">
        <v>行程报告开关</v>
      </c>
      <c r="G382" s="93" t="str">
        <v>低频变化</v>
      </c>
      <c r="H382" s="45" t="str">
        <v>switch</v>
      </c>
      <c r="I382" s="45" t="str">
        <v>开关</v>
      </c>
      <c r="J382" s="45" t="str">
        <v>enum</v>
      </c>
      <c r="K382" s="45" t="str">
        <v>关闭，开启</v>
      </c>
      <c r="N382" s="15" t="str">
        <v>Y</v>
      </c>
      <c r="O382" s="74" t="str">
        <v>Y</v>
      </c>
      <c r="P382" s="74" t="str">
        <v>Y</v>
      </c>
      <c r="Q382" s="75" t="str">
        <v>Settings.Global.putInt(contentResolver, "AI_PILOT_TRAVEL_REPORT", 1/0)</v>
      </c>
      <c r="S382" s="15" t="inlineStr">
        <is>
          <r>
            <t>@谢一鸣</t>
          </r>
        </is>
      </c>
      <c r="T382" s="15" t="str">
        <v>Y</v>
      </c>
      <c r="V382" s="15" t="str">
        <v>Y</v>
      </c>
      <c r="W382" s="96" t="str">
        <v>05.26：上汽是否可以提供回调的接口</v>
      </c>
    </row>
    <row r="383" spans="1:22">
      <c r="A383" s="45" t="str">
        <v>智驾</v>
      </c>
      <c r="B383" s="45" t="str">
        <v>行程报告</v>
      </c>
      <c r="C383" s="45" t="str">
        <v>adsd_0049</v>
      </c>
      <c r="F383" s="45" t="str">
        <v>数据自动同步到APP开关</v>
      </c>
      <c r="G383" s="93" t="str">
        <v>低频变化</v>
      </c>
      <c r="H383" s="45" t="str">
        <v>switch</v>
      </c>
      <c r="I383" s="45" t="str">
        <v>开关</v>
      </c>
      <c r="J383" s="45" t="str">
        <v>enum</v>
      </c>
      <c r="K383" s="45" t="str">
        <v>关闭，开启</v>
      </c>
      <c r="N383" s="15" t="str">
        <v>Y</v>
      </c>
      <c r="O383" s="74" t="str">
        <v>Y</v>
      </c>
      <c r="P383" s="74" t="str">
        <v>Y</v>
      </c>
      <c r="Q383" s="75" t="str">
        <v>Settings.Global.putInt(contentResolver, "AI_PILOT_SYNC_DATA_TO_APP", 1/0)</v>
      </c>
      <c r="S383" s="15" t="inlineStr">
        <is>
          <r>
            <t>@谢一鸣</t>
          </r>
        </is>
      </c>
      <c r="T383" s="15" t="str">
        <v>Y</v>
      </c>
      <c r="V383" s="15" t="str">
        <v>Y</v>
      </c>
    </row>
    <row r="384" spans="1:22">
      <c r="A384" s="45" t="str">
        <v>智驾</v>
      </c>
      <c r="B384" s="45" t="str">
        <v>前方安全辅助</v>
      </c>
      <c r="C384" s="45" t="str">
        <v>adsd_0050</v>
      </c>
      <c r="F384" s="45" t="str">
        <v>前方横穿危险预警和制动</v>
      </c>
      <c r="G384" s="93" t="str">
        <v>低频变化</v>
      </c>
      <c r="H384" s="45" t="str">
        <v>switch</v>
      </c>
      <c r="I384" s="45" t="str">
        <v>开关</v>
      </c>
      <c r="J384" s="45" t="str">
        <v>enum</v>
      </c>
      <c r="K384" s="45" t="str">
        <v>关闭，预警，预警+制动</v>
      </c>
      <c r="N384" s="15" t="str">
        <v>Y</v>
      </c>
      <c r="O384" s="74" t="str">
        <v>Y</v>
      </c>
      <c r="P384" s="74" t="str">
        <v>Y</v>
      </c>
      <c r="Q384" s="75" t="str">
        <v>IAdsInterface:
获取接口：
int getFctSysSel(@NonNull IntResult result) 
注册&amp;解除接口：
void addCallback(I callback, ArrayList&lt;F&gt; flags)
void removeCallback(I callback, ArrayList&lt;F&gt; flags)
第二个参数：
AdsCallbackFlag.FCT_SYS_SEL
通知接口：
IAdsCallback
void onFctSysSelChanged(IntResult result)
返回值值含义：
0：关闭
1：预警
2：预警和紧急制动
</v>
      </c>
      <c r="S384" s="15" t="inlineStr">
        <is>
          <r>
            <t>@谢一鸣</t>
          </r>
        </is>
      </c>
      <c r="T384" s="15" t="str">
        <v>Y</v>
      </c>
      <c r="V384" s="15" t="str">
        <v>Y</v>
      </c>
    </row>
    <row r="385" spans="1:25">
      <c r="A385" s="45" t="str">
        <v>车控功能</v>
      </c>
      <c r="B385" s="45" t="str">
        <v>驾驶类</v>
      </c>
      <c r="C385" s="45" t="str">
        <v>vehicle_control_0053</v>
      </c>
      <c r="F385" s="45" t="str">
        <v>动力源状态</v>
      </c>
      <c r="G385" s="45" t="str">
        <v>低频变化</v>
      </c>
      <c r="H385" s="45" t="str">
        <v>states</v>
      </c>
      <c r="I385" s="45" t="str">
        <v>动力源状态</v>
      </c>
      <c r="J385" s="45" t="str">
        <v>enum</v>
      </c>
      <c r="K385" s="45" t="str">
        <v>纯电，混动</v>
      </c>
      <c r="N385" s="15" t="str">
        <v>Y</v>
      </c>
      <c r="O385" s="74" t="str">
        <v>Y</v>
      </c>
      <c r="P385" s="74" t="str">
        <v>Y</v>
      </c>
      <c r="Q385" s="75" t="str">
        <v>获取当前动力源模式
int getEptPwrMd(IntResult result)
void onEptPwrMdChanged(@NonNull IntResult result)
注册Flag：
AdsCallbackFlag.EPTPWRMD
含义参照：
public @interface EptPwrMd { /** PURE_EV_EXTREM_ON = 0 ： 纯电模式，极致纯电开*/ int PURE_EV_EXTREM_ON = 0; /** PURE_EV_EXTREM_OFF = 1 ：纯电模式，极致纯电关*/ int PURE_EV_EXTREM_OFF = 1; /** HYBRID_EV_SAVE_ELEC_OFF = 2 ： 混动模式，保电关*/ int HYBRID_EV_SAVE_ELEC_OFF = 2; /** HYBRID_EV_SAVE_ELEC_ON = 3 ： 混动模式，保电开*/ int HYBRID_EV_SAVE_ELEC_ON = 3; }</v>
      </c>
      <c r="S385" s="32" t="inlineStr">
        <is>
          <r>
            <t>@谢一鸣</t>
          </r>
        </is>
      </c>
      <c r="T385" s="15" t="str">
        <v>Y</v>
      </c>
      <c r="U385" s="115">
        <v>46140</v>
      </c>
      <c r="V385" s="15" t="str">
        <v>Y</v>
      </c>
      <c r="Y385" s="15" t="str">
        <v>Y</v>
      </c>
    </row>
    <row r="386" spans="1:25">
      <c r="A386" s="45" t="str">
        <v>车控功能</v>
      </c>
      <c r="B386" s="45" t="str">
        <v>驾驶类</v>
      </c>
      <c r="C386" s="45" t="str">
        <v>vehicle_control_0054</v>
      </c>
      <c r="F386" s="45" t="str">
        <v>上下电状态</v>
      </c>
      <c r="G386" s="45" t="str">
        <v>低频变化</v>
      </c>
      <c r="H386" s="45" t="str">
        <v>states</v>
      </c>
      <c r="I386" s="45" t="str">
        <v>上下电状态</v>
      </c>
      <c r="J386" s="45" t="str">
        <v>enum</v>
      </c>
      <c r="K386" s="45" t="str">
        <v>上电，下电</v>
      </c>
      <c r="N386" s="15" t="str">
        <v>Y</v>
      </c>
      <c r="O386" s="74" t="str">
        <v>Y</v>
      </c>
      <c r="P386" s="74" t="str">
        <v>Y</v>
      </c>
      <c r="Q386" s="75" t="str">
        <v>IVehicleCommonInterface:
获取接口：
int getEPTSts(@NonNull IntResult result)
注册&amp;解除接口：
void addCallback(I callback, ArrayList&lt;F&gt; flags)
void removeCallback(I callback, ArrayList&lt;F&gt; flags)
第二个参数：
VehicleCommonCallbackFlag.EPT_STATUS
通知接口：
IVehicleCommonCallback
void onEPTStsChanged(IntResult result)
返回值值含义：
0：Not Ready
1：Ready
</v>
      </c>
      <c r="S386" s="32" t="inlineStr">
        <is>
          <r>
            <t>@谢一鸣</t>
          </r>
        </is>
      </c>
      <c r="T386" s="15" t="str">
        <v>Y</v>
      </c>
      <c r="U386" s="15" t="str">
        <v>5 月 12 日</v>
      </c>
      <c r="V386" s="15" t="str">
        <v>Y</v>
      </c>
      <c r="Y386" s="15" t="str">
        <v>Y</v>
      </c>
    </row>
    <row r="387" spans="1:26">
      <c r="A387" s="45" t="str">
        <v>车灯</v>
      </c>
      <c r="B387" s="45" t="str">
        <v>故障灯</v>
      </c>
      <c r="C387" s="45" t="str">
        <v>signal_light_0103</v>
      </c>
      <c r="D387" s="85">
        <v>1</v>
      </c>
      <c r="F387" s="45" t="str">
        <v>ELK/LDW/LDP系统故障灯</v>
      </c>
      <c r="G387" s="45" t="str">
        <v>低频变化</v>
      </c>
      <c r="H387" s="45" t="str">
        <v>states</v>
      </c>
      <c r="I387" s="45" t="str">
        <v>状态</v>
      </c>
      <c r="J387" s="45" t="str">
        <v>enum</v>
      </c>
      <c r="K387" s="45" t="str">
        <v>关闭，显示黄色</v>
      </c>
      <c r="N387" s="45" t="str">
        <v>Y</v>
      </c>
      <c r="O387" s="74" t="str">
        <v>Y</v>
      </c>
      <c r="P387" s="74" t="str">
        <v>Y</v>
      </c>
      <c r="Q387" s="122" t="str">
        <v>ELK：249
LDW：53
LDP：51</v>
      </c>
      <c r="S387" s="15" t="inlineStr">
        <is>
          <r>
            <t>@尹泽陆</t>
          </r>
        </is>
      </c>
      <c r="T387" s="15" t="str">
        <v>Y</v>
      </c>
      <c r="V387" s="15" t="str">
        <v>Y</v>
      </c>
      <c r="Y387" s="15" t="str">
        <v>Y</v>
      </c>
      <c r="Z387" s="15" t="str">
        <v>手动发信号验证</v>
      </c>
    </row>
    <row r="388" spans="1:25">
      <c r="A388" s="45" t="str">
        <v>车灯</v>
      </c>
      <c r="B388" s="45" t="str">
        <v>故障灯</v>
      </c>
      <c r="C388" s="45" t="str">
        <v>signal_light_0104</v>
      </c>
      <c r="D388" s="85">
        <v>1</v>
      </c>
      <c r="F388" s="45" t="str">
        <v>ELK/LDW/LDP状态指示灯</v>
      </c>
      <c r="G388" s="45" t="str">
        <v>低频变化</v>
      </c>
      <c r="H388" s="45" t="str">
        <v>states</v>
      </c>
      <c r="I388" s="45" t="str">
        <v>状态</v>
      </c>
      <c r="J388" s="45" t="str">
        <v>enum</v>
      </c>
      <c r="K388" s="45" t="str">
        <v>关闭，显示绿色</v>
      </c>
      <c r="N388" s="45" t="str">
        <v>Y</v>
      </c>
      <c r="O388" s="74" t="str">
        <v>Y</v>
      </c>
      <c r="P388" s="74" t="str">
        <v>Y</v>
      </c>
      <c r="Q388" s="122" t="str">
        <v>ELK：250
LDW：63
LDP：120</v>
      </c>
      <c r="S388" s="15" t="inlineStr">
        <is>
          <r>
            <t>@尹泽陆</t>
          </r>
        </is>
      </c>
      <c r="T388" s="15" t="str">
        <v>Y</v>
      </c>
      <c r="V388" s="15" t="str">
        <v>Y</v>
      </c>
      <c r="Y388" s="15" t="str">
        <v>Y</v>
      </c>
    </row>
    <row r="389" spans="1:26">
      <c r="A389" s="45" t="str">
        <v>车灯</v>
      </c>
      <c r="B389" s="45" t="str">
        <v>故障灯</v>
      </c>
      <c r="C389" s="45" t="str">
        <v>signal_light_0111</v>
      </c>
      <c r="D389" s="85">
        <v>1</v>
      </c>
      <c r="F389" s="45" t="str">
        <v>ICA故障灯</v>
      </c>
      <c r="G389" s="45" t="str">
        <v>低频变化</v>
      </c>
      <c r="H389" s="45" t="str">
        <v>states</v>
      </c>
      <c r="I389" s="45" t="str">
        <v>状态</v>
      </c>
      <c r="J389" s="45" t="str">
        <v>enum</v>
      </c>
      <c r="K389" s="45" t="str">
        <v>关闭，显示黄色，黄色闪烁</v>
      </c>
      <c r="N389" s="45" t="str">
        <v>Y</v>
      </c>
      <c r="O389" s="74" t="str">
        <v>Y</v>
      </c>
      <c r="P389" s="74" t="str">
        <v>Y</v>
      </c>
      <c r="Q389" s="75" t="str">
        <v>黄色：226
黄色闪烁：NA</v>
      </c>
      <c r="S389" s="15" t="inlineStr">
        <is>
          <r>
            <t>@尹泽陆</t>
          </r>
        </is>
      </c>
      <c r="T389" s="15" t="str">
        <v>Y</v>
      </c>
      <c r="V389" s="15" t="str">
        <v>Y</v>
      </c>
      <c r="Y389" s="15" t="str">
        <v>Y</v>
      </c>
      <c r="Z389" s="15" t="str">
        <v>手动发信号验证</v>
      </c>
    </row>
    <row r="390" spans="1:26">
      <c r="A390" s="45" t="str">
        <v>车灯</v>
      </c>
      <c r="B390" s="45" t="str">
        <v>故障灯</v>
      </c>
      <c r="C390" s="45" t="str">
        <v>signal_light_0112</v>
      </c>
      <c r="D390" s="85">
        <v>1</v>
      </c>
      <c r="F390" s="45" t="str">
        <v>ALC变道功能故障</v>
      </c>
      <c r="G390" s="45" t="str">
        <v>低频变化</v>
      </c>
      <c r="H390" s="45" t="str">
        <v>states</v>
      </c>
      <c r="I390" s="45" t="str">
        <v>状态</v>
      </c>
      <c r="J390" s="45" t="str">
        <v>enum</v>
      </c>
      <c r="K390" s="45" t="str">
        <v>关闭，显示黄色</v>
      </c>
      <c r="N390" s="45" t="str">
        <v>Y</v>
      </c>
      <c r="O390" s="74" t="str">
        <v>Y</v>
      </c>
      <c r="P390" s="74" t="str">
        <v>Y</v>
      </c>
      <c r="Q390" s="123">
        <v>172</v>
      </c>
      <c r="S390" s="15" t="inlineStr">
        <is>
          <r>
            <t>@尹泽陆</t>
          </r>
        </is>
      </c>
      <c r="T390" s="15" t="str">
        <v>Y</v>
      </c>
      <c r="V390" s="15" t="str">
        <v>Y</v>
      </c>
      <c r="Y390" s="15" t="str">
        <v>Y</v>
      </c>
      <c r="Z390" s="15" t="str">
        <v>手动发信号验证</v>
      </c>
    </row>
    <row r="391" spans="1:22">
      <c r="A391" s="45" t="str">
        <v>车灯</v>
      </c>
      <c r="B391" s="45" t="str">
        <v>故障灯</v>
      </c>
      <c r="C391" s="45" t="str">
        <v>signal_light_0113</v>
      </c>
      <c r="D391" s="85">
        <v>1</v>
      </c>
      <c r="F391" s="45" t="str">
        <v>PDC系统故障指示灯</v>
      </c>
      <c r="G391" s="45" t="str">
        <v>低频变化</v>
      </c>
      <c r="H391" s="45" t="str">
        <v>states</v>
      </c>
      <c r="I391" s="45" t="str">
        <v>状态</v>
      </c>
      <c r="J391" s="45" t="str">
        <v>enum</v>
      </c>
      <c r="K391" s="45" t="str">
        <v>关闭，显示黄色</v>
      </c>
      <c r="N391" s="45" t="str">
        <v>Y</v>
      </c>
      <c r="O391" s="15" t="str">
        <v>N</v>
      </c>
      <c r="P391" s="122" t="str">
        <v>NA</v>
      </c>
      <c r="Q391" s="122" t="str">
        <v>NA</v>
      </c>
      <c r="S391" s="15" t="inlineStr">
        <is>
          <r>
            <t>@尹泽陆</t>
          </r>
        </is>
      </c>
      <c r="T391" s="15" t="str">
        <v>N</v>
      </c>
      <c r="V391" s="15" t="str">
        <v>N</v>
      </c>
    </row>
    <row r="392" spans="1:26">
      <c r="A392" s="45" t="str">
        <v>车灯</v>
      </c>
      <c r="B392" s="45" t="str">
        <v>故障灯</v>
      </c>
      <c r="C392" s="45" t="str">
        <v>signal_light_0114</v>
      </c>
      <c r="D392" s="85">
        <v>1</v>
      </c>
      <c r="F392" s="45" t="str">
        <v>智能领航辅助功能故障时状态灯</v>
      </c>
      <c r="G392" s="45" t="str">
        <v>低频变化</v>
      </c>
      <c r="H392" s="45" t="str">
        <v>states</v>
      </c>
      <c r="I392" s="45" t="str">
        <v>状态</v>
      </c>
      <c r="J392" s="45" t="str">
        <v>enum</v>
      </c>
      <c r="K392" s="45" t="str">
        <v>关闭，显示黄色</v>
      </c>
      <c r="N392" s="45" t="str">
        <v>Y</v>
      </c>
      <c r="O392" s="74" t="str">
        <v>Y</v>
      </c>
      <c r="P392" s="74" t="str">
        <v>Y</v>
      </c>
      <c r="Q392" s="123">
        <v>175</v>
      </c>
      <c r="S392" s="15" t="inlineStr">
        <is>
          <r>
            <t>@尹泽陆</t>
          </r>
        </is>
      </c>
      <c r="T392" s="15" t="str">
        <v>Y</v>
      </c>
      <c r="V392" s="15" t="str">
        <v>Y</v>
      </c>
      <c r="Y392" s="15" t="str">
        <v>Y</v>
      </c>
      <c r="Z392" s="15" t="str">
        <v>手动发信号验证</v>
      </c>
    </row>
    <row r="393" spans="1:25">
      <c r="A393" s="45" t="str">
        <v>车灯</v>
      </c>
      <c r="B393" s="45" t="str">
        <v>故障灯</v>
      </c>
      <c r="C393" s="45" t="str">
        <v>signal_light_0115</v>
      </c>
      <c r="D393" s="85">
        <v>1</v>
      </c>
      <c r="F393" s="45" t="str">
        <v>FCTA/FCTB前方横向碰撞辅助</v>
      </c>
      <c r="G393" s="45" t="str">
        <v>低频变化</v>
      </c>
      <c r="H393" s="45" t="str">
        <v>states</v>
      </c>
      <c r="I393" s="45" t="str">
        <v>状态</v>
      </c>
      <c r="J393" s="45" t="str">
        <v>enum</v>
      </c>
      <c r="K393" s="45" t="str">
        <v>关闭，显示黄色</v>
      </c>
      <c r="N393" s="45" t="str">
        <v>Y</v>
      </c>
      <c r="O393" s="74" t="str">
        <v>Y</v>
      </c>
      <c r="P393" s="74" t="str">
        <v>Y</v>
      </c>
      <c r="Q393" s="123">
        <v>162</v>
      </c>
      <c r="S393" s="15" t="inlineStr">
        <is>
          <r>
            <t>@尹泽陆</t>
          </r>
        </is>
      </c>
      <c r="T393" s="15" t="str">
        <v>Y</v>
      </c>
      <c r="V393" s="15" t="str">
        <v>Y</v>
      </c>
      <c r="Y393" s="15" t="str">
        <v>Y</v>
      </c>
    </row>
    <row r="394" spans="1:25">
      <c r="A394" s="45" t="str">
        <v>车灯</v>
      </c>
      <c r="B394" s="45" t="str">
        <v>故障灯</v>
      </c>
      <c r="C394" s="45" t="str">
        <v>signal_light_0116</v>
      </c>
      <c r="D394" s="85">
        <v>1</v>
      </c>
      <c r="F394" s="45" t="str">
        <v>LAEB低速碰撞辅助系统</v>
      </c>
      <c r="G394" s="45" t="str">
        <v>低频变化</v>
      </c>
      <c r="H394" s="45" t="str">
        <v>states</v>
      </c>
      <c r="I394" s="45" t="str">
        <v>状态</v>
      </c>
      <c r="J394" s="45" t="str">
        <v>enum</v>
      </c>
      <c r="K394" s="45" t="str">
        <v>关闭，显示黄色</v>
      </c>
      <c r="N394" s="45" t="str">
        <v>Y</v>
      </c>
      <c r="O394" s="74" t="str">
        <v>Y</v>
      </c>
      <c r="P394" s="74" t="str">
        <v>Y</v>
      </c>
      <c r="Q394" s="123">
        <v>161</v>
      </c>
      <c r="S394" s="15" t="inlineStr">
        <is>
          <r>
            <t>@尹泽陆</t>
          </r>
        </is>
      </c>
      <c r="T394" s="15" t="str">
        <v>Y</v>
      </c>
      <c r="V394" s="15" t="str">
        <v>Y</v>
      </c>
      <c r="Y394" s="15" t="str">
        <v>Y</v>
      </c>
    </row>
    <row r="395" spans="1:26">
      <c r="A395" s="45" t="str">
        <v>车灯</v>
      </c>
      <c r="B395" s="45" t="str">
        <v>状态灯</v>
      </c>
      <c r="C395" s="45" t="str">
        <v>signal_light_0117</v>
      </c>
      <c r="D395" s="85">
        <v>1</v>
      </c>
      <c r="F395" s="45" t="str">
        <v>全车安全带未系及座位分布提醒</v>
      </c>
      <c r="G395" s="45" t="str">
        <v>低频变化</v>
      </c>
      <c r="H395" s="45" t="str">
        <v>states</v>
      </c>
      <c r="I395" s="45" t="str">
        <v>状态</v>
      </c>
      <c r="J395" s="45" t="str">
        <v>enum</v>
      </c>
      <c r="K395" s="45" t="str">
        <v>关闭，显示红色，红色闪烁</v>
      </c>
      <c r="N395" s="86" t="str">
        <v>Y</v>
      </c>
      <c r="O395" s="74" t="str">
        <v>Y</v>
      </c>
      <c r="P395" s="74" t="str">
        <v>Y</v>
      </c>
      <c r="Q395" s="124" t="str">
        <v>位置不包括：68</v>
      </c>
      <c r="S395" s="15" t="inlineStr">
        <is>
          <r>
            <t>@尹泽陆</t>
          </r>
        </is>
      </c>
      <c r="T395" s="15" t="str">
        <v>Y</v>
      </c>
      <c r="V395" s="15" t="str">
        <v>Y</v>
      </c>
      <c r="Y395" s="32" t="str">
        <v>N</v>
      </c>
      <c r="Z395" s="32" t="str">
        <v>上报信息不对</v>
      </c>
    </row>
    <row r="396" spans="1:25">
      <c r="A396" s="45" t="str">
        <v>车灯</v>
      </c>
      <c r="H396" s="45" t="str">
        <v>position</v>
      </c>
      <c r="I396" s="45" t="str">
        <v>位置</v>
      </c>
      <c r="J396" s="45" t="str">
        <v>enum</v>
      </c>
      <c r="K396" s="45" t="str">
        <v>主驾，副驾，二排左，二排中，二排右</v>
      </c>
      <c r="N396" s="86" t="str">
        <v>Y</v>
      </c>
      <c r="O396" s="74" t="str">
        <v>Y</v>
      </c>
      <c r="P396" s="74" t="str">
        <v>Y</v>
      </c>
      <c r="Q396" s="116" t="str">
        <v>/**
 * 安全带状态获取
 * PermissionRequest(permissions = { zone.permission.vehicle.DEVICE_GET })
 * @param seatType {@link SeatType}
 * @param result {@link IntResult#getResult}: {@link SwitchStatus}
 *
 * @return resultCode 返回结果码 {@link ResultCode}
 */
 int getSeatSbltAtc(@SeatType int seatType, @NonNull IntResult result);
 /**
 * 安全带状态通知
 *
 * @param seatType {@link SeatType}
 * @param result {@link IntResult#getResult}: {@link SwitchStatus}
 *
 * {@link IntResult#getCode()} {@link ResultCode}
 */
 default void onSeatSbltAtcChanged(int seatType, @NonNull IntResult result)
 /** onSeatSbltAtcChanged 回调注册Flag */
 SEAT_SEATBELT_ATTACHED,</v>
      </c>
      <c r="S396" s="15" t="inlineStr">
        <is>
          <r>
            <t>@尹泽陆</t>
          </r>
        </is>
      </c>
      <c r="T396" s="15" t="str">
        <v>Y</v>
      </c>
      <c r="V396" s="15" t="str">
        <v>Y</v>
      </c>
      <c r="Y396" s="32" t="str">
        <v>N</v>
      </c>
    </row>
    <row r="397" spans="1:27">
      <c r="A397" s="45" t="str">
        <v>车控功能</v>
      </c>
      <c r="B397" s="45" t="str">
        <v>门窗类</v>
      </c>
      <c r="C397" s="15" t="str">
        <v>vehicle_control_0055</v>
      </c>
      <c r="F397" s="15" t="str">
        <v>车窗锁状态</v>
      </c>
      <c r="H397" s="15" t="str">
        <v>switch</v>
      </c>
      <c r="I397" s="15" t="str">
        <v>开关</v>
      </c>
      <c r="J397" s="15" t="str">
        <v>enum</v>
      </c>
      <c r="K397" s="18" t="str">
        <v>on，off</v>
      </c>
      <c r="M397" s="16">
        <v>1</v>
      </c>
      <c r="N397" s="15" t="str">
        <v>Y</v>
      </c>
      <c r="O397" s="36" t="str">
        <v>Y</v>
      </c>
      <c r="P397" s="37" t="str">
        <v>Y</v>
      </c>
      <c r="Q397" s="36" t="str">
        <v>onWindowRearLockChanged</v>
      </c>
      <c r="S397" s="32" t="inlineStr">
        <is>
          <r>
            <t>@余明明</t>
          </r>
        </is>
      </c>
      <c r="T397" s="37" t="str">
        <v>Y</v>
      </c>
      <c r="V397" s="37" t="str">
        <v>Y</v>
      </c>
      <c r="W397" s="37" t="str">
        <v>等服务端更新</v>
      </c>
      <c r="Y397" s="26" t="str">
        <v>B</v>
      </c>
      <c r="AA397" s="45" t="str">
        <v>车端上传数据正常，转需求</v>
      </c>
    </row>
    <row r="398" spans="1:27">
      <c r="A398" s="45" t="str">
        <v>车控功能</v>
      </c>
      <c r="H398" s="15" t="str">
        <v>position</v>
      </c>
      <c r="I398" s="15" t="str">
        <v>位置</v>
      </c>
      <c r="J398" s="15" t="str">
        <v>enum</v>
      </c>
      <c r="K398" s="18" t="str">
        <v>主驾，副驾，左后，右后，整车</v>
      </c>
      <c r="L398" s="16">
        <v>1</v>
      </c>
      <c r="M398" s="16">
        <v>1</v>
      </c>
      <c r="N398" s="56" t="str">
        <v>Y（默认整车）</v>
      </c>
      <c r="O398" s="36" t="str">
        <v>Y</v>
      </c>
      <c r="P398" s="37" t="str">
        <v>Y</v>
      </c>
      <c r="Q398" s="36" t="str">
        <v>getWindowRearLock</v>
      </c>
      <c r="S398" s="32" t="inlineStr">
        <is>
          <r>
            <t>@余明明</t>
          </r>
        </is>
      </c>
      <c r="T398" s="37" t="str">
        <v>Y</v>
      </c>
      <c r="V398" s="37" t="str">
        <v>Y</v>
      </c>
      <c r="W398" s="37" t="str">
        <v>等服务端更新</v>
      </c>
      <c r="Y398" s="26" t="str">
        <v>B</v>
      </c>
      <c r="AA398" s="45" t="str">
        <v>车端上传数据正常，转需求</v>
      </c>
    </row>
    <row r="399" spans="1:14">
      <c r="A399" s="45" t="str">
        <v>蓝牙</v>
      </c>
      <c r="B399" s="45" t="str">
        <v>蓝牙通讯录</v>
      </c>
      <c r="C399" s="45" t="str">
        <v>blue_tooth_contact_name</v>
      </c>
      <c r="F399" s="45" t="str">
        <v>通讯录名称信息描述</v>
      </c>
      <c r="G399" s="45" t="str">
        <v>低频变化</v>
      </c>
      <c r="H399" s="45" t="str">
        <v>contact_name</v>
      </c>
      <c r="I399" s="45" t="str">
        <v>通讯录名称</v>
      </c>
      <c r="J399" s="45" t="str">
        <v>str</v>
      </c>
      <c r="N399" s="86" t="str">
        <v>Y</v>
      </c>
    </row>
    <row r="400" spans="1:19">
      <c r="A400" s="45" t="str">
        <v>道路导航</v>
      </c>
      <c r="B400" s="45" t="str">
        <v>速度</v>
      </c>
      <c r="C400" s="45" t="str">
        <v>navigation_0009</v>
      </c>
      <c r="F400" s="45" t="str">
        <v>当前限速</v>
      </c>
      <c r="G400" s="45" t="str">
        <v>高频变化</v>
      </c>
      <c r="H400" s="45" t="str">
        <v>speed_limit</v>
      </c>
      <c r="I400" s="45" t="str">
        <v>限制速度</v>
      </c>
      <c r="J400" s="45" t="str">
        <v>str</v>
      </c>
      <c r="N400" s="86" t="str">
        <v>Y</v>
      </c>
      <c r="O400" s="32" t="str">
        <v>Y</v>
      </c>
      <c r="S400" s="32" t="inlineStr">
        <is>
          <r>
            <t>@余明明</t>
          </r>
        </is>
      </c>
    </row>
  </sheetData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3.714285714285714" style="1" customWidth="1"/>
    <col min="2" max="2" width="22.74850755468408" style="1" customWidth="1"/>
    <col min="3" max="3" width="23.714285714285715" style="1" customWidth="1"/>
    <col min="4" max="4" width="9.857142857142858" style="1" customWidth="1"/>
    <col min="5" max="5" width="25.571428571428573" style="1" customWidth="1"/>
    <col min="6" max="6" width="24.142857142857142" style="1" customWidth="1"/>
    <col min="7" max="7" width="21.428571428571427" style="1" customWidth="1"/>
    <col min="8" max="8" width="28.714285714285715" style="1" customWidth="1"/>
    <col min="9" max="9" width="21.567240049685" style="1" customWidth="1"/>
    <col min="10" max="10" width="8.428571428571429" style="1" customWidth="1"/>
    <col min="11" max="11" width="41.285714285714285" style="1" customWidth="1"/>
    <col min="12" max="12" width="25.571428571428573" style="1" customWidth="1"/>
    <col min="13" max="14" width="15" style="1" customWidth="1"/>
    <col min="15" max="15" width="19.285714285714285" style="1" customWidth="1"/>
    <col min="16" max="16" width="16.142857142857142" style="1" customWidth="1"/>
    <col min="17" max="17" width="51.714285714285715" style="1" customWidth="1"/>
    <col min="18" max="18" width="25.428571428571427" style="1" customWidth="1"/>
    <col min="19" max="19" width="19.285714285714285" style="1" customWidth="1"/>
    <col min="20" max="20" width="25.428571428571427" style="1" customWidth="1"/>
    <col min="21" max="21" width="16.714285714285715" style="1" customWidth="1"/>
    <col min="22" max="22" width="26.571428571428573" style="1" customWidth="1"/>
    <col min="23" max="23" width="53" style="1" customWidth="1"/>
    <col min="24" max="24" width="34" style="1" customWidth="1"/>
    <col min="25" max="25" width="20.285714285714285" style="1" customWidth="1"/>
    <col min="26" max="26" width="31.285714285714285" style="1" customWidth="1"/>
    <col min="27" max="27" width="57.57142857142857" style="1" customWidth="1"/>
    <col min="28" max="28" width="24.142857142857142" style="1" customWidth="1"/>
    <col min="29" max="29" width="23.857142857142858" style="1" customWidth="1"/>
    <col min="30" max="30" width="16.714285714285715" style="1" customWidth="1"/>
    <col min="31" max="31" width="24.142857142857142" style="1" customWidth="1"/>
    <col min="32" max="32" width="41" style="1" customWidth="1"/>
    <col min="33" max="33" width="15" style="1" customWidth="1"/>
  </cols>
  <sheetData>
    <row r="1" spans="1:32">
      <c r="A1" s="11" t="str">
        <v>一级分类</v>
      </c>
      <c r="B1" s="11" t="str">
        <v>二级分类</v>
      </c>
      <c r="C1" s="11" t="str">
        <v>信号ID</v>
      </c>
      <c r="D1" s="11" t="str">
        <v>信号图案数量</v>
      </c>
      <c r="F1" s="11" t="str">
        <v>信号名称</v>
      </c>
      <c r="G1" s="11" t="str">
        <v>信号变化频率
低频：1次/分钟
高频：1次/30秒</v>
      </c>
      <c r="H1" s="11" t="str">
        <v>信号状态参数</v>
      </c>
      <c r="I1" s="11" t="str">
        <v>信号状态参数（中文）</v>
      </c>
      <c r="J1" s="12" t="str">
        <v>类型</v>
      </c>
      <c r="K1" s="11" t="str">
        <v>取值范围（上报参数）</v>
      </c>
      <c r="L1" s="13" t="str">
        <v>多主key</v>
      </c>
      <c r="M1" s="14" t="str">
        <v>常用状态范围 </v>
      </c>
      <c r="N1" s="28" t="str">
        <v>字节是否需要</v>
      </c>
      <c r="O1" s="29" t="str">
        <v>上汽侧产品&amp;SRS共同评估断状态信号是否需要</v>
      </c>
      <c r="P1" s="30" t="inlineStr">
        <is>
          <r>
            <t>上汽侧评估API就绪状态</t>
          </r>
          <r>
            <t>@周怀君</t>
          </r>
        </is>
      </c>
      <c r="Q1" s="29" t="str">
        <v>上汽侧API接口说明或排期</v>
      </c>
      <c r="R1" s="7" t="str">
        <v>上汽侧API接口说明或排期</v>
      </c>
      <c r="S1" s="125" t="inlineStr">
        <is>
          <r>
            <t>研发进展</t>
          </r>
          <r>
            <t>@汪帅</t>
          </r>
        </is>
      </c>
      <c r="T1" s="33" t="str">
        <v>字节识别接口可用状态@汪帅</v>
      </c>
      <c r="U1" s="4" t="inlineStr">
        <is>
          <r>
            <t>研发排期</t>
          </r>
          <r>
            <t>@汪帅</t>
          </r>
        </is>
      </c>
      <c r="V1" s="34" t="inlineStr">
        <is>
          <r>
            <t>研发实际接入状态</t>
          </r>
          <r>
            <t>@汪帅</t>
          </r>
        </is>
      </c>
      <c r="W1" s="33" t="str">
        <v>接口问题跟踪</v>
      </c>
      <c r="X1" s="35" t="str">
        <v>上报参数取值（没法枚举的可示例）</v>
      </c>
      <c r="Y1" s="35" t="str">
        <v>QA测试验证状态</v>
      </c>
      <c r="Z1" s="35" t="inlineStr">
        <is>
          <r>
            <t>QA验证接口人</t>
          </r>
          <r>
            <t>@郑永超</t>
          </r>
        </is>
      </c>
      <c r="AA1" s="35" t="str">
        <v>QA验证不通过原因</v>
      </c>
      <c r="AD1" s="35" t="str">
        <v>QA测试验证状态二轮</v>
      </c>
      <c r="AE1" s="18" t="str">
        <v>二轮测试备注</v>
      </c>
      <c r="AF1" s="125" t="str">
        <v>meego连接</v>
      </c>
    </row>
    <row r="2" ht="132" customHeight="1" spans="1:30">
      <c r="A2" s="15" t="str">
        <v>车灯</v>
      </c>
      <c r="B2" s="15" t="str">
        <v>状态灯</v>
      </c>
      <c r="C2" s="15" t="str">
        <v>signal_light_0001</v>
      </c>
      <c r="D2" s="16">
        <v>1</v>
      </c>
      <c r="E2" s="15"/>
      <c r="F2" s="15" t="str">
        <v>近光灯</v>
      </c>
      <c r="G2" s="15" t="str">
        <v>用户交互后变化</v>
      </c>
      <c r="H2" s="15" t="str">
        <v>states</v>
      </c>
      <c r="I2" s="15" t="str">
        <v>状态</v>
      </c>
      <c r="J2" s="18" t="str">
        <v>enum</v>
      </c>
      <c r="K2" s="15" t="str">
        <v>关闭，显示绿色</v>
      </c>
      <c r="M2" s="16">
        <v>1</v>
      </c>
      <c r="N2" s="15" t="str">
        <v>Y</v>
      </c>
      <c r="O2" s="36" t="str">
        <v>Y</v>
      </c>
      <c r="P2" s="37" t="str">
        <v>Y</v>
      </c>
      <c r="Q2" s="38" t="str">
        <v>TTID： 2  </v>
      </c>
      <c r="R2" s="39" t="str">
        <v>multidisplay，id 9001</v>
      </c>
      <c r="S2" s="125" t="inlineStr">
        <is>
          <r>
            <t>@陈果果</t>
          </r>
        </is>
      </c>
      <c r="T2" s="26" t="str">
        <v>Y</v>
      </c>
      <c r="U2" s="27">
        <v>4.21</v>
      </c>
      <c r="V2" s="126" t="str">
        <v>Y</v>
      </c>
      <c r="Y2" s="15" t="str">
        <v>Y</v>
      </c>
      <c r="AD2" s="15" t="str">
        <v>Pass</v>
      </c>
    </row>
    <row r="3" ht="132" customHeight="1" spans="1:30">
      <c r="A3" s="15" t="str">
        <v>车灯</v>
      </c>
      <c r="B3" s="15" t="str">
        <v>状态灯</v>
      </c>
      <c r="C3" s="15" t="str">
        <v>signal_light_0002</v>
      </c>
      <c r="D3" s="16">
        <v>1</v>
      </c>
      <c r="E3" s="15"/>
      <c r="F3" s="15" t="str">
        <v>远光灯</v>
      </c>
      <c r="G3" s="15" t="str">
        <v>用户交互后变化</v>
      </c>
      <c r="H3" s="15" t="str">
        <v>states</v>
      </c>
      <c r="I3" s="15" t="str">
        <v>状态</v>
      </c>
      <c r="J3" s="18" t="str">
        <v>enum</v>
      </c>
      <c r="K3" s="15" t="str">
        <v>关闭，显示蓝色</v>
      </c>
      <c r="M3" s="16">
        <v>1</v>
      </c>
      <c r="N3" s="15" t="str">
        <v>Y</v>
      </c>
      <c r="O3" s="36" t="str">
        <v>Y</v>
      </c>
      <c r="P3" s="37" t="str">
        <v>Y</v>
      </c>
      <c r="Q3" s="41">
        <v>3</v>
      </c>
      <c r="R3" s="39" t="str">
        <v>multidisplay，id 9001</v>
      </c>
      <c r="S3" s="125" t="inlineStr">
        <is>
          <r>
            <t>@陈果果</t>
          </r>
        </is>
      </c>
      <c r="T3" s="26" t="str">
        <v>Y</v>
      </c>
      <c r="U3" s="16">
        <v>4.21</v>
      </c>
      <c r="V3" s="127" t="str">
        <v>Y</v>
      </c>
      <c r="Y3" s="15" t="str">
        <v>Y</v>
      </c>
      <c r="AD3" s="15" t="str">
        <v>Pass</v>
      </c>
    </row>
    <row r="4" ht="168" customHeight="1" spans="1:30">
      <c r="A4" s="15" t="str">
        <v>车灯</v>
      </c>
      <c r="B4" s="15" t="str">
        <v>状态灯</v>
      </c>
      <c r="C4" s="15" t="str">
        <v>signal_light_0004</v>
      </c>
      <c r="D4" s="16">
        <v>1</v>
      </c>
      <c r="E4" s="15"/>
      <c r="F4" s="15" t="str">
        <v>后雾灯</v>
      </c>
      <c r="G4" s="15" t="str">
        <v>用户交互后变化</v>
      </c>
      <c r="H4" s="15" t="str">
        <v>states</v>
      </c>
      <c r="I4" s="15" t="str">
        <v>状态</v>
      </c>
      <c r="J4" s="18" t="str">
        <v>enum</v>
      </c>
      <c r="K4" s="15" t="str">
        <v>关闭，显示黄色</v>
      </c>
      <c r="M4" s="16">
        <v>1</v>
      </c>
      <c r="N4" s="15" t="str">
        <v>Y</v>
      </c>
      <c r="O4" s="36" t="str">
        <v>Y</v>
      </c>
      <c r="P4" s="37" t="str">
        <v>Y</v>
      </c>
      <c r="Q4" s="43">
        <v>5</v>
      </c>
      <c r="R4" s="39" t="str">
        <v>multidisplay，id 9001</v>
      </c>
      <c r="S4" s="125" t="inlineStr">
        <is>
          <r>
            <t>@陈果果</t>
          </r>
        </is>
      </c>
      <c r="T4" s="26" t="str">
        <v>Y</v>
      </c>
      <c r="U4" s="27">
        <v>4.21</v>
      </c>
      <c r="V4" s="126" t="str">
        <v>Y</v>
      </c>
      <c r="Y4" s="15" t="str">
        <v>Y</v>
      </c>
      <c r="AD4" s="15" t="str">
        <v>Pass</v>
      </c>
    </row>
    <row r="5" ht="114" customHeight="1" spans="1:30">
      <c r="A5" s="15" t="str">
        <v>车灯</v>
      </c>
      <c r="B5" s="15" t="str">
        <v>状态灯</v>
      </c>
      <c r="C5" s="15" t="str">
        <v>signal_light_0005</v>
      </c>
      <c r="D5" s="16">
        <v>1</v>
      </c>
      <c r="E5" s="15"/>
      <c r="F5" s="4" t="str">
        <v>位置灯</v>
      </c>
      <c r="G5" s="15" t="str">
        <v>用户交互后变化</v>
      </c>
      <c r="H5" s="15" t="str">
        <v>states</v>
      </c>
      <c r="I5" s="15" t="str">
        <v>状态</v>
      </c>
      <c r="J5" s="18" t="str">
        <v>enum</v>
      </c>
      <c r="K5" s="15" t="str">
        <v>关闭，显示绿色</v>
      </c>
      <c r="N5" s="15" t="str">
        <v>Y</v>
      </c>
      <c r="O5" s="36" t="str">
        <v>Y</v>
      </c>
      <c r="P5" s="37" t="str">
        <v>Y</v>
      </c>
      <c r="Q5" s="43">
        <v>6</v>
      </c>
      <c r="R5" s="39" t="str">
        <v>multidisplay，id 9001</v>
      </c>
      <c r="S5" s="125" t="inlineStr">
        <is>
          <r>
            <t>@陈果果</t>
          </r>
        </is>
      </c>
      <c r="T5" s="26" t="str">
        <v>Y</v>
      </c>
      <c r="U5" s="27">
        <v>4.21</v>
      </c>
      <c r="V5" s="126" t="str">
        <v>Y</v>
      </c>
      <c r="Y5" s="15" t="str">
        <v>Y</v>
      </c>
      <c r="AD5" s="15" t="str">
        <v>Pass</v>
      </c>
    </row>
    <row r="6" ht="142" customHeight="1" spans="1:32">
      <c r="A6" s="15" t="str">
        <v>车灯</v>
      </c>
      <c r="B6" s="15" t="str">
        <v>状态灯</v>
      </c>
      <c r="C6" s="15" t="str">
        <v>signal_light_0006</v>
      </c>
      <c r="D6" s="16">
        <v>1</v>
      </c>
      <c r="E6" s="15"/>
      <c r="F6" s="4" t="str">
        <v>左转向灯</v>
      </c>
      <c r="G6" s="15" t="str">
        <v>用户交互后变化</v>
      </c>
      <c r="H6" s="15" t="str">
        <v>states</v>
      </c>
      <c r="I6" s="15" t="str">
        <v>状态</v>
      </c>
      <c r="J6" s="18" t="str">
        <v>enum</v>
      </c>
      <c r="K6" s="15" t="str">
        <v>关闭，显示绿色</v>
      </c>
      <c r="M6" s="16">
        <v>1</v>
      </c>
      <c r="N6" s="15" t="str">
        <v>Y</v>
      </c>
      <c r="O6" s="36" t="str">
        <v>Y</v>
      </c>
      <c r="P6" s="37" t="str">
        <v>Y</v>
      </c>
      <c r="Q6" s="43">
        <v>7</v>
      </c>
      <c r="R6" s="39" t="str">
        <v>multidisplay，id 9001</v>
      </c>
      <c r="S6" s="125" t="inlineStr">
        <is>
          <r>
            <t>@陈果果</t>
          </r>
        </is>
      </c>
      <c r="T6" s="26" t="str">
        <v>Y</v>
      </c>
      <c r="U6" s="27">
        <v>4.21</v>
      </c>
      <c r="V6" s="126" t="str">
        <v>Y</v>
      </c>
      <c r="Y6" s="15" t="str">
        <v>Y</v>
      </c>
      <c r="AD6" s="15" t="str">
        <v>Fail</v>
      </c>
      <c r="AE6" s="18" t="str">
        <v>一帧关闭，一帧绿色</v>
      </c>
      <c r="AF6" s="128" t="str">
        <v>https://meego.larkoffice.com/telematics/issue/detail/7356066653</v>
      </c>
    </row>
    <row r="7" ht="142" customHeight="1" spans="1:32">
      <c r="A7" s="15" t="str">
        <v>车灯</v>
      </c>
      <c r="B7" s="15" t="str">
        <v>状态灯</v>
      </c>
      <c r="C7" s="15" t="str">
        <v>signal_light_0007</v>
      </c>
      <c r="D7" s="16">
        <v>1</v>
      </c>
      <c r="E7" s="15"/>
      <c r="F7" s="15" t="str">
        <v>右转向灯</v>
      </c>
      <c r="G7" s="15" t="str">
        <v>用户交互后变化</v>
      </c>
      <c r="H7" s="15" t="str">
        <v>states</v>
      </c>
      <c r="I7" s="15" t="str">
        <v>状态</v>
      </c>
      <c r="J7" s="18" t="str">
        <v>enum</v>
      </c>
      <c r="K7" s="15" t="str">
        <v>关闭，显示绿色</v>
      </c>
      <c r="M7" s="16">
        <v>1</v>
      </c>
      <c r="N7" s="15" t="str">
        <v>Y</v>
      </c>
      <c r="O7" s="36" t="str">
        <v>Y</v>
      </c>
      <c r="P7" s="37" t="str">
        <v>Y</v>
      </c>
      <c r="Q7" s="43">
        <v>8</v>
      </c>
      <c r="R7" s="39" t="str">
        <v>multidisplay，id 9001</v>
      </c>
      <c r="S7" s="125" t="inlineStr">
        <is>
          <r>
            <t>@陈果果</t>
          </r>
        </is>
      </c>
      <c r="T7" s="26" t="str">
        <v>Y</v>
      </c>
      <c r="U7" s="27">
        <v>4.21</v>
      </c>
      <c r="V7" s="126" t="str">
        <v>Y</v>
      </c>
      <c r="Y7" s="15" t="str">
        <v>Y</v>
      </c>
      <c r="AD7" s="15" t="str">
        <v>Fail</v>
      </c>
      <c r="AE7" s="18" t="str">
        <v>一帧关闭，一帧绿色</v>
      </c>
      <c r="AF7" s="128" t="str">
        <v>https://meego.larkoffice.com/telematics/issue/detail/7356045695</v>
      </c>
    </row>
    <row r="8" ht="132" customHeight="1" spans="1:31">
      <c r="A8" s="15" t="str">
        <v>车灯</v>
      </c>
      <c r="B8" s="15" t="str">
        <v>状态灯</v>
      </c>
      <c r="C8" s="15" t="str">
        <v>signal_light_0008</v>
      </c>
      <c r="D8" s="16">
        <v>1</v>
      </c>
      <c r="E8" s="15"/>
      <c r="F8" s="15" t="str">
        <v>智能大灯控制系统开启提示灯（自动远近光切换）</v>
      </c>
      <c r="G8" s="15" t="str">
        <v>用户交互后变化</v>
      </c>
      <c r="H8" s="15" t="str">
        <v>states</v>
      </c>
      <c r="I8" s="15" t="str">
        <v>状态</v>
      </c>
      <c r="J8" s="18" t="str">
        <v>enum</v>
      </c>
      <c r="K8" s="108" t="inlineStr">
        <is>
          <r>
            <rPr>
              <sz val="10"/>
              <color rgb="FFF54A45"/>
              <rFont val="Arial"/>
            </rPr>
            <t xml:space="preserve">关闭，显示绿色，显示蓝色，显示白色
</t>
          </r>
          <r>
            <rPr>
              <sz val="10"/>
              <color rgb="FF4E83FD"/>
              <rFont val="Arial"/>
            </rPr>
            <t>只有（关闭，显示蓝色，显示白色）</t>
          </r>
        </is>
      </c>
      <c r="N8" s="15" t="str">
        <v>Y</v>
      </c>
      <c r="O8" s="36" t="str">
        <v>Y</v>
      </c>
      <c r="P8" s="37" t="str">
        <v>Y</v>
      </c>
      <c r="Q8" s="36" t="str">
        <v>白色（251）和蓝色（252）</v>
      </c>
      <c r="R8" s="39" t="str">
        <v>multidisplay，id 9001</v>
      </c>
      <c r="S8" s="125" t="inlineStr">
        <is>
          <r>
            <t>@陈果果</t>
          </r>
        </is>
      </c>
      <c r="T8" s="26" t="str">
        <v>Y</v>
      </c>
      <c r="U8" s="16">
        <v>4.21</v>
      </c>
      <c r="V8" s="126" t="str">
        <v>Y</v>
      </c>
      <c r="Y8" s="15" t="str">
        <v>Y</v>
      </c>
      <c r="AD8" s="15" t="str">
        <v>Pass</v>
      </c>
      <c r="AE8" s="18" t="str">
        <v>手动发信号验证</v>
      </c>
    </row>
    <row r="9" ht="144" customHeight="1" spans="1:31">
      <c r="A9" s="29" t="str">
        <v>车灯</v>
      </c>
      <c r="B9" s="15" t="str">
        <v>故障灯</v>
      </c>
      <c r="C9" s="15" t="str">
        <v>signal_light_0010</v>
      </c>
      <c r="D9" s="16">
        <v>1</v>
      </c>
      <c r="E9" s="15"/>
      <c r="F9" s="15" t="str">
        <v>ABS故障灯</v>
      </c>
      <c r="G9" s="15" t="str">
        <v>用户交互后变化</v>
      </c>
      <c r="H9" s="15" t="str">
        <v>states</v>
      </c>
      <c r="I9" s="15" t="str">
        <v>状态</v>
      </c>
      <c r="J9" s="18" t="str">
        <v>enum</v>
      </c>
      <c r="K9" s="15" t="str">
        <v>关闭，显示黄色</v>
      </c>
      <c r="N9" s="15" t="str">
        <v>Y</v>
      </c>
      <c r="O9" s="36" t="str">
        <v>Y</v>
      </c>
      <c r="P9" s="37" t="str">
        <v>Y</v>
      </c>
      <c r="Q9" s="36" t="str">
        <v>TTID ：19</v>
      </c>
      <c r="R9" s="39" t="str">
        <v>multidisplay，id 9001</v>
      </c>
      <c r="S9" s="125" t="inlineStr">
        <is>
          <r>
            <t>@尹泽陆</t>
          </r>
        </is>
      </c>
      <c r="T9" s="26" t="str">
        <v>Y</v>
      </c>
      <c r="U9" s="27">
        <v>4.27</v>
      </c>
      <c r="V9" s="126" t="str">
        <v>Y</v>
      </c>
      <c r="Y9" s="15" t="str">
        <v>Y</v>
      </c>
      <c r="Z9" s="15" t="str">
        <v>手动发信号验证</v>
      </c>
      <c r="AD9" s="15" t="str">
        <v>Pass</v>
      </c>
      <c r="AE9" s="18" t="str">
        <v>手动发信号验证</v>
      </c>
    </row>
    <row r="10" ht="144" customHeight="1" spans="1:31">
      <c r="A10" s="15" t="str">
        <v>车灯</v>
      </c>
      <c r="B10" s="15" t="str">
        <v>状态灯</v>
      </c>
      <c r="C10" s="15" t="str">
        <v>signal_light_0011</v>
      </c>
      <c r="D10" s="16">
        <v>1</v>
      </c>
      <c r="E10" s="15"/>
      <c r="F10" s="17" t="str">
        <v>制动故障灯</v>
      </c>
      <c r="G10" s="15" t="str">
        <v>用户交互后变化</v>
      </c>
      <c r="H10" s="15" t="str">
        <v>states</v>
      </c>
      <c r="I10" s="15" t="str">
        <v>状态</v>
      </c>
      <c r="J10" s="18" t="str">
        <v>enum</v>
      </c>
      <c r="K10" s="15" t="str">
        <v>关闭，显示红色</v>
      </c>
      <c r="N10" s="15" t="str">
        <v>Y</v>
      </c>
      <c r="O10" s="36" t="str">
        <v>Y</v>
      </c>
      <c r="P10" s="37" t="str">
        <v>Y</v>
      </c>
      <c r="Q10" s="43">
        <v>32</v>
      </c>
      <c r="R10" s="39" t="str">
        <v>multidisplay，id 9001</v>
      </c>
      <c r="S10" s="125" t="inlineStr">
        <is>
          <r>
            <t>@陈果果</t>
          </r>
        </is>
      </c>
      <c r="T10" s="26" t="str">
        <v>Y</v>
      </c>
      <c r="U10" s="16">
        <v>4.21</v>
      </c>
      <c r="V10" s="126" t="str">
        <v>Y</v>
      </c>
      <c r="Y10" s="15" t="str">
        <v>Y</v>
      </c>
      <c r="Z10" s="15" t="str">
        <v>手动发信号验证</v>
      </c>
      <c r="AD10" s="15" t="str">
        <v>Pass</v>
      </c>
      <c r="AE10" s="18" t="str">
        <v>手动发信号验证</v>
      </c>
    </row>
    <row r="11" ht="226" customHeight="1" spans="1:31">
      <c r="A11" s="29" t="str">
        <v>车灯</v>
      </c>
      <c r="B11" s="15" t="str">
        <v>故障灯</v>
      </c>
      <c r="C11" s="15" t="str">
        <v>signal_light_0012</v>
      </c>
      <c r="D11" s="16">
        <v>1</v>
      </c>
      <c r="E11" s="18"/>
      <c r="F11" s="15" t="str">
        <v> ESP/SCS故障提示灯</v>
      </c>
      <c r="G11" s="15" t="str">
        <v>用户交互后变化</v>
      </c>
      <c r="H11" s="15" t="str">
        <v>states</v>
      </c>
      <c r="I11" s="15" t="str">
        <v>状态</v>
      </c>
      <c r="J11" s="18" t="str">
        <v>enum</v>
      </c>
      <c r="K11" s="15" t="str">
        <v>关闭，黄灯常亮，黄色闪烁</v>
      </c>
      <c r="N11" s="15" t="str">
        <v>Y</v>
      </c>
      <c r="O11" s="36" t="str">
        <v>Y</v>
      </c>
      <c r="P11" s="37" t="str">
        <v>Y</v>
      </c>
      <c r="Q11" s="43">
        <v>21</v>
      </c>
      <c r="R11" s="39" t="str">
        <v>multidisplay，id 9001</v>
      </c>
      <c r="S11" s="125" t="inlineStr">
        <is>
          <r>
            <t>@尹泽陆</t>
          </r>
        </is>
      </c>
      <c r="T11" s="26" t="str">
        <v>Y</v>
      </c>
      <c r="U11" s="27">
        <v>4.27</v>
      </c>
      <c r="V11" s="126" t="str">
        <v>Y</v>
      </c>
      <c r="Y11" s="15" t="str">
        <v>Y</v>
      </c>
      <c r="Z11" s="15" t="str">
        <v>手动发信号验证</v>
      </c>
      <c r="AD11" s="15" t="str">
        <v>Pass</v>
      </c>
      <c r="AE11" s="18" t="str">
        <v>手动发信号验证</v>
      </c>
    </row>
    <row r="12" ht="288" customHeight="1" spans="1:31">
      <c r="A12" s="15" t="str">
        <v>车灯</v>
      </c>
      <c r="B12" s="15" t="str">
        <v>状态灯</v>
      </c>
      <c r="C12" s="15" t="str">
        <v>signal_light_0013</v>
      </c>
      <c r="D12" s="16">
        <v>1</v>
      </c>
      <c r="E12" s="18"/>
      <c r="F12" s="15" t="str">
        <v> ESP/SCS工作状态指示灯</v>
      </c>
      <c r="G12" s="15" t="str">
        <v>用户交互后变化</v>
      </c>
      <c r="H12" s="15" t="str">
        <v>states</v>
      </c>
      <c r="I12" s="15" t="str">
        <v>状态</v>
      </c>
      <c r="J12" s="18" t="str">
        <v>enum</v>
      </c>
      <c r="K12" s="15" t="str">
        <v>关闭，黄灯常亮，黄色闪烁
</v>
      </c>
      <c r="N12" s="15" t="str">
        <v>Y</v>
      </c>
      <c r="O12" s="36" t="str">
        <v>Y</v>
      </c>
      <c r="P12" s="37" t="str">
        <v>Y</v>
      </c>
      <c r="Q12" s="43">
        <v>22</v>
      </c>
      <c r="R12" s="39" t="str">
        <v>multidisplay，id 9001</v>
      </c>
      <c r="S12" s="125" t="inlineStr">
        <is>
          <r>
            <t>@陈果果</t>
          </r>
        </is>
      </c>
      <c r="T12" s="26" t="str">
        <v>Y</v>
      </c>
      <c r="U12" s="16">
        <v>4.21</v>
      </c>
      <c r="V12" s="126" t="str">
        <v>Y</v>
      </c>
      <c r="Y12" s="15" t="str">
        <v>Y</v>
      </c>
      <c r="Z12" s="15" t="str">
        <v>手动发信号验证</v>
      </c>
      <c r="AD12" s="15" t="str">
        <v>Pass</v>
      </c>
      <c r="AE12" s="18" t="str">
        <v>手动发信号验证</v>
      </c>
    </row>
    <row r="13" ht="226" customHeight="1" spans="1:31">
      <c r="A13" s="29" t="str">
        <v>车灯</v>
      </c>
      <c r="B13" s="15" t="str">
        <v>故障灯</v>
      </c>
      <c r="C13" s="15" t="str">
        <v>signal_light_0014</v>
      </c>
      <c r="D13" s="16">
        <v>1</v>
      </c>
      <c r="E13" s="15"/>
      <c r="F13" s="15" t="str">
        <v>TCS故障提示灯</v>
      </c>
      <c r="G13" s="15" t="str">
        <v>用户交互后变化</v>
      </c>
      <c r="H13" s="15" t="str">
        <v>states</v>
      </c>
      <c r="I13" s="15" t="str">
        <v>状态</v>
      </c>
      <c r="J13" s="18" t="str">
        <v>enum</v>
      </c>
      <c r="K13" s="15" t="str">
        <v>关闭，黄色闪烁，显示黄色</v>
      </c>
      <c r="N13" s="15" t="str">
        <v>Y</v>
      </c>
      <c r="O13" s="36" t="str">
        <v>Y</v>
      </c>
      <c r="P13" s="37" t="str">
        <v>Y</v>
      </c>
      <c r="Q13" s="43">
        <v>24</v>
      </c>
      <c r="R13" s="39" t="str">
        <v>multidisplay，id 9001</v>
      </c>
      <c r="S13" s="125" t="inlineStr">
        <is>
          <r>
            <t>@尹泽陆</t>
          </r>
        </is>
      </c>
      <c r="T13" s="26" t="str">
        <v>Y</v>
      </c>
      <c r="U13" s="27">
        <v>4.27</v>
      </c>
      <c r="V13" s="126" t="str">
        <v>Y</v>
      </c>
      <c r="Y13" s="15" t="str">
        <v>Y</v>
      </c>
      <c r="Z13" s="15" t="str">
        <v>手动发信号验证</v>
      </c>
      <c r="AD13" s="15" t="str">
        <v>Pass</v>
      </c>
      <c r="AE13" s="18" t="str">
        <v>手动发信号验证</v>
      </c>
    </row>
    <row r="14" ht="126" customHeight="1" spans="1:31">
      <c r="A14" s="15" t="str">
        <v>车灯</v>
      </c>
      <c r="B14" s="15" t="str">
        <v>状态灯</v>
      </c>
      <c r="C14" s="15" t="str">
        <v>signal_light_0015</v>
      </c>
      <c r="D14" s="16">
        <v>1</v>
      </c>
      <c r="E14" s="15"/>
      <c r="F14" s="15" t="str">
        <v>Autohold激活灯</v>
      </c>
      <c r="G14" s="15" t="str">
        <v>用户交互后变化</v>
      </c>
      <c r="H14" s="15" t="str">
        <v>states</v>
      </c>
      <c r="I14" s="15" t="str">
        <v>状态</v>
      </c>
      <c r="J14" s="18" t="str">
        <v>enum</v>
      </c>
      <c r="K14" s="15" t="str">
        <v>关闭，显示绿色</v>
      </c>
      <c r="N14" s="15" t="str">
        <v>Y</v>
      </c>
      <c r="O14" s="36" t="str">
        <v>Y</v>
      </c>
      <c r="P14" s="37" t="str">
        <v>Y</v>
      </c>
      <c r="Q14" s="43">
        <v>31</v>
      </c>
      <c r="R14" s="39" t="str">
        <v>multidisplay，id 9001</v>
      </c>
      <c r="S14" s="125" t="inlineStr">
        <is>
          <r>
            <t>@陈果果</t>
          </r>
        </is>
      </c>
      <c r="T14" s="26" t="str">
        <v>Y</v>
      </c>
      <c r="U14" s="16">
        <v>4.21</v>
      </c>
      <c r="V14" s="126" t="str">
        <v>Y</v>
      </c>
      <c r="Y14" s="15" t="str">
        <v>Y</v>
      </c>
      <c r="Z14" s="15" t="str">
        <v>手动发信号验证</v>
      </c>
      <c r="AD14" s="15" t="str">
        <v>Pass</v>
      </c>
      <c r="AE14" s="18" t="str">
        <v>手动发信号验证</v>
      </c>
    </row>
    <row r="15" ht="126" customHeight="1" spans="1:31">
      <c r="A15" s="15" t="str">
        <v>车灯</v>
      </c>
      <c r="B15" s="15" t="str">
        <v>状态灯</v>
      </c>
      <c r="C15" s="15" t="str">
        <v>signal_light_0016</v>
      </c>
      <c r="D15" s="16">
        <v>1</v>
      </c>
      <c r="E15" s="15"/>
      <c r="F15" s="15" t="str">
        <v>Autohold待命灯</v>
      </c>
      <c r="G15" s="15" t="str">
        <v>用户交互后变化</v>
      </c>
      <c r="H15" s="15" t="str">
        <v>states</v>
      </c>
      <c r="I15" s="15" t="str">
        <v>状态</v>
      </c>
      <c r="J15" s="18" t="str">
        <v>enum</v>
      </c>
      <c r="K15" s="15" t="str">
        <v>关闭，显示灰色</v>
      </c>
      <c r="N15" s="15" t="str">
        <v>Y</v>
      </c>
      <c r="O15" s="36" t="str">
        <v>Y</v>
      </c>
      <c r="P15" s="37" t="str">
        <v>Y</v>
      </c>
      <c r="Q15" s="43">
        <v>157</v>
      </c>
      <c r="R15" s="39" t="str">
        <v>multidisplay，id 9001</v>
      </c>
      <c r="S15" s="125" t="inlineStr">
        <is>
          <r>
            <t>@陈果果</t>
          </r>
        </is>
      </c>
      <c r="T15" s="26" t="str">
        <v>Y</v>
      </c>
      <c r="U15" s="16">
        <v>4.21</v>
      </c>
      <c r="V15" s="126" t="str">
        <v>Y</v>
      </c>
      <c r="Y15" s="15" t="str">
        <v>Y</v>
      </c>
      <c r="Z15" s="15" t="str">
        <v>手动发信号验证</v>
      </c>
      <c r="AD15" s="15" t="str">
        <v>Pass</v>
      </c>
      <c r="AE15" s="18" t="str">
        <v>手动发信号验证</v>
      </c>
    </row>
    <row r="16" ht="139" customHeight="1" spans="1:31">
      <c r="A16" s="29" t="str">
        <v>车灯</v>
      </c>
      <c r="B16" s="15" t="str">
        <v>故障灯</v>
      </c>
      <c r="C16" s="15" t="str">
        <v>signal_light_0017</v>
      </c>
      <c r="D16" s="16">
        <v>1</v>
      </c>
      <c r="E16" s="15"/>
      <c r="F16" s="15" t="str">
        <v>Autohold故障灯</v>
      </c>
      <c r="G16" s="15" t="str">
        <v>用户交互后变化</v>
      </c>
      <c r="H16" s="15" t="str">
        <v>states</v>
      </c>
      <c r="I16" s="15" t="str">
        <v>状态</v>
      </c>
      <c r="J16" s="18" t="str">
        <v>enum</v>
      </c>
      <c r="K16" s="15" t="str">
        <v>关闭，显示黄色</v>
      </c>
      <c r="N16" s="15" t="str">
        <v>Y</v>
      </c>
      <c r="O16" s="43">
        <v>29</v>
      </c>
      <c r="P16" s="37" t="str">
        <v>Y</v>
      </c>
      <c r="Q16" s="43">
        <v>30</v>
      </c>
      <c r="R16" s="39" t="str">
        <v>multidisplay，id 9001</v>
      </c>
      <c r="S16" s="125" t="inlineStr">
        <is>
          <r>
            <t>@尹泽陆</t>
          </r>
        </is>
      </c>
      <c r="T16" s="26" t="str">
        <v>Y</v>
      </c>
      <c r="U16" s="27">
        <v>4.27</v>
      </c>
      <c r="V16" s="126" t="str">
        <v>Y</v>
      </c>
      <c r="Y16" s="15" t="str">
        <v>Y</v>
      </c>
      <c r="Z16" s="15" t="str">
        <v>手动发信号验证</v>
      </c>
      <c r="AD16" s="15" t="str">
        <v>Pass</v>
      </c>
      <c r="AE16" s="18" t="str">
        <v>手动发信号验证</v>
      </c>
    </row>
    <row r="17" ht="174" customHeight="1" spans="1:31">
      <c r="A17" s="29" t="str">
        <v>车灯</v>
      </c>
      <c r="B17" s="17" t="str">
        <v>故障灯</v>
      </c>
      <c r="C17" s="17" t="str">
        <v>signal_light_0020</v>
      </c>
      <c r="D17" s="19">
        <v>1</v>
      </c>
      <c r="E17" s="17"/>
      <c r="F17" s="17" t="str">
        <v>胎压系统故障灯</v>
      </c>
      <c r="G17" s="15" t="str">
        <v>用户交互后变化</v>
      </c>
      <c r="H17" s="17" t="str">
        <v>states</v>
      </c>
      <c r="I17" s="17" t="str">
        <v>状态</v>
      </c>
      <c r="J17" s="46" t="str">
        <v>enum</v>
      </c>
      <c r="K17" s="15" t="str">
        <v>关闭，显示黄色</v>
      </c>
      <c r="N17" s="15" t="str">
        <v>Y</v>
      </c>
      <c r="O17" s="36" t="str">
        <v>Y</v>
      </c>
      <c r="P17" s="37" t="str">
        <v>Y</v>
      </c>
      <c r="Q17" s="43">
        <v>77</v>
      </c>
      <c r="R17" s="39" t="str">
        <v>multidisplay，id 9001</v>
      </c>
      <c r="S17" s="125" t="inlineStr">
        <is>
          <r>
            <t>@尹泽陆</t>
          </r>
        </is>
      </c>
      <c r="T17" s="26" t="str">
        <v>Y</v>
      </c>
      <c r="V17" s="126" t="str">
        <v>Y</v>
      </c>
      <c r="Y17" s="15" t="str">
        <v>Y</v>
      </c>
      <c r="Z17" s="15" t="str">
        <v>手动发信号验证</v>
      </c>
      <c r="AA17" s="4" t="str">
        <v>这个是和0019一样的，取的值都是一样的</v>
      </c>
      <c r="AD17" s="15" t="str">
        <v>Pass</v>
      </c>
      <c r="AE17" s="18" t="str">
        <v>手动发信号验证</v>
      </c>
    </row>
    <row r="18" ht="144" customHeight="1" spans="1:31">
      <c r="A18" s="20" t="str">
        <v>车灯</v>
      </c>
      <c r="B18" s="20" t="str">
        <v>故障灯</v>
      </c>
      <c r="C18" s="20" t="str">
        <v>signal_light_0021</v>
      </c>
      <c r="D18" s="21">
        <v>1</v>
      </c>
      <c r="E18" s="20"/>
      <c r="F18" s="20" t="str">
        <v>充电系统故障灯</v>
      </c>
      <c r="G18" s="15" t="str">
        <v>用户交互后变化</v>
      </c>
      <c r="H18" s="20" t="str">
        <v>states</v>
      </c>
      <c r="I18" s="20" t="str">
        <v>状态</v>
      </c>
      <c r="J18" s="47" t="str">
        <v>enum</v>
      </c>
      <c r="K18" s="15" t="str">
        <v>关闭，显示红色，红色闪烁</v>
      </c>
      <c r="N18" s="15" t="str">
        <v>Y</v>
      </c>
      <c r="O18" s="36" t="str">
        <v>Y</v>
      </c>
      <c r="P18" s="37" t="str">
        <v>Y</v>
      </c>
      <c r="Q18" s="43">
        <v>52</v>
      </c>
      <c r="R18" s="39" t="str">
        <v>multidisplay，id 9001</v>
      </c>
      <c r="S18" s="125" t="inlineStr">
        <is>
          <r>
            <t>@尹泽陆</t>
          </r>
        </is>
      </c>
      <c r="T18" s="48" t="str">
        <v>Y</v>
      </c>
      <c r="U18" s="112">
        <v>4.27</v>
      </c>
      <c r="V18" s="126" t="str">
        <v>Y</v>
      </c>
      <c r="Y18" s="15" t="str">
        <v>B</v>
      </c>
      <c r="AA18" s="26" t="inlineStr">
        <is>
          <r>
            <rPr>
              <sz val="10"/>
              <color rgb="FF1F2329"/>
              <rFont val="Arial"/>
            </rPr>
            <t>但是未获取到闪烁的的状态，经和开发确认无闪烁状态，是否删除闪烁状态，</t>
          </r>
          <r>
            <rPr>
              <sz val="10"/>
              <color rgb="FFF54A45"/>
              <rFont val="Arial"/>
            </rPr>
            <t>需要和上汽确认@韩天亮</t>
          </r>
        </is>
      </c>
      <c r="AC18" s="15" t="str">
        <v>文档是52是辅助系统故障灯</v>
      </c>
      <c r="AD18" s="15" t="str">
        <v>Pass</v>
      </c>
      <c r="AE18" s="18" t="str">
        <v>手动发信号验证</v>
      </c>
    </row>
    <row r="19" ht="144" customHeight="1" spans="1:31">
      <c r="A19" s="15" t="str">
        <v>车灯</v>
      </c>
      <c r="B19" s="15" t="str">
        <v>状态灯</v>
      </c>
      <c r="C19" s="15" t="str">
        <v>signal_light_0022</v>
      </c>
      <c r="D19" s="16">
        <v>1</v>
      </c>
      <c r="E19" s="15"/>
      <c r="F19" s="15" t="str">
        <v>辅助系统供电故障指示灯</v>
      </c>
      <c r="G19" s="15" t="str">
        <v>用户交互后变化</v>
      </c>
      <c r="H19" s="15" t="str">
        <v>states</v>
      </c>
      <c r="I19" s="15" t="str">
        <v>状态</v>
      </c>
      <c r="J19" s="18" t="str">
        <v>enum</v>
      </c>
      <c r="K19" s="15" t="str">
        <v>关闭，显示红色，红色闪烁</v>
      </c>
      <c r="N19" s="15" t="str">
        <v>Y</v>
      </c>
      <c r="O19" s="36" t="str">
        <v>Y</v>
      </c>
      <c r="P19" s="37" t="str">
        <v>Y</v>
      </c>
      <c r="Q19" s="43">
        <v>103</v>
      </c>
      <c r="R19" s="39" t="str">
        <v>multidisplay，id 9001</v>
      </c>
      <c r="S19" s="125" t="inlineStr">
        <is>
          <r>
            <t>@陈果果</t>
          </r>
        </is>
      </c>
      <c r="T19" s="26" t="str">
        <v>Y</v>
      </c>
      <c r="U19" s="16">
        <v>4.21</v>
      </c>
      <c r="V19" s="126" t="str">
        <v>Y</v>
      </c>
      <c r="Y19" s="15" t="str">
        <v>Y</v>
      </c>
      <c r="Z19" s="15" t="str">
        <v>手动发信号验证</v>
      </c>
      <c r="AC19" s="15" t="str">
        <v>103是低压蓄电池充电系统故障灯</v>
      </c>
      <c r="AD19" s="15" t="str">
        <v>Pass</v>
      </c>
      <c r="AE19" s="18" t="str">
        <v>手动发信号验证</v>
      </c>
    </row>
    <row r="20" ht="162" customHeight="1" spans="1:27">
      <c r="A20" s="15" t="str">
        <v>车灯</v>
      </c>
      <c r="B20" s="15" t="str">
        <v>故障灯</v>
      </c>
      <c r="C20" s="15" t="str">
        <v>signal_light_0024</v>
      </c>
      <c r="D20" s="16">
        <v>1</v>
      </c>
      <c r="E20" s="15"/>
      <c r="F20" s="15" t="str">
        <v>安全气囊未标定灯</v>
      </c>
      <c r="G20" s="15" t="str">
        <v>用户交互后变化</v>
      </c>
      <c r="H20" s="15" t="str">
        <v>states</v>
      </c>
      <c r="I20" s="15" t="str">
        <v>状态</v>
      </c>
      <c r="J20" s="18" t="str">
        <v>enum</v>
      </c>
      <c r="K20" s="15" t="inlineStr">
        <is>
          <r>
            <rPr>
              <sz val="10"/>
              <color rgb="FF1F2329"/>
              <rFont val="Arial"/>
            </rPr>
            <t>关闭，显示红色，</t>
          </r>
          <r>
            <rPr>
              <sz val="10"/>
              <color rgb="FFF54A45"/>
              <rFont val="Arial"/>
            </rPr>
            <t>红色闪烁</t>
          </r>
        </is>
      </c>
      <c r="N20" s="49" t="str">
        <v>Y</v>
      </c>
      <c r="O20" s="36" t="str">
        <v>N （与安全气囊灯重复）</v>
      </c>
      <c r="P20" s="37" t="str">
        <v>NA</v>
      </c>
      <c r="Q20" s="36" t="str">
        <v>NA</v>
      </c>
      <c r="S20" s="125" t="inlineStr">
        <is>
          <r>
            <t>@尹泽陆</t>
          </r>
        </is>
      </c>
      <c r="T20" s="26" t="str">
        <v>N</v>
      </c>
      <c r="Z20" s="15" t="inlineStr">
        <is>
          <r>
            <t>@吴仁杰</t>
          </r>
        </is>
      </c>
      <c r="AA20" s="45" t="str">
        <v>去掉23，留取24</v>
      </c>
    </row>
    <row r="21" ht="145" customHeight="1" spans="1:31">
      <c r="A21" s="15" t="str">
        <v>车灯</v>
      </c>
      <c r="B21" s="15" t="str">
        <v>故障灯</v>
      </c>
      <c r="C21" s="15" t="str">
        <v>signal_light_0028</v>
      </c>
      <c r="D21" s="16">
        <v>1</v>
      </c>
      <c r="E21" s="15"/>
      <c r="F21" s="15" t="str">
        <v>转向故障提示灯</v>
      </c>
      <c r="G21" s="15" t="str">
        <v>用户交互后变化</v>
      </c>
      <c r="H21" s="15" t="str">
        <v>states</v>
      </c>
      <c r="I21" s="15" t="str">
        <v>状态</v>
      </c>
      <c r="J21" s="18" t="str">
        <v>enum</v>
      </c>
      <c r="K21" s="15" t="inlineStr">
        <is>
          <r>
            <rPr>
              <sz val="10"/>
              <color rgb="FF1F2329"/>
              <rFont val="Arial"/>
            </rPr>
            <t>关闭，显示红色，</t>
          </r>
          <r>
            <rPr>
              <sz val="10"/>
              <color rgb="FFF54A45"/>
              <rFont val="Arial"/>
            </rPr>
            <t>红色闪烁</t>
          </r>
        </is>
      </c>
      <c r="N21" s="15" t="str">
        <v>Y</v>
      </c>
      <c r="O21" s="36" t="str">
        <v>Y</v>
      </c>
      <c r="P21" s="37" t="str">
        <v>Y</v>
      </c>
      <c r="Q21" s="43">
        <v>35</v>
      </c>
      <c r="R21" s="39" t="str">
        <v>multidisplay，id 9001</v>
      </c>
      <c r="S21" s="125" t="inlineStr">
        <is>
          <r>
            <t>@尹泽陆</t>
          </r>
        </is>
      </c>
      <c r="T21" s="26" t="str">
        <v>Y</v>
      </c>
      <c r="U21" s="27">
        <v>4.27</v>
      </c>
      <c r="V21" s="126" t="str">
        <v>Y</v>
      </c>
      <c r="Y21" s="15" t="str">
        <v>B</v>
      </c>
      <c r="AA21" s="26" t="inlineStr">
        <is>
          <r>
            <rPr>
              <sz val="10"/>
              <color rgb="FF1F2329"/>
              <rFont val="Arial"/>
            </rPr>
            <t>但是未获取到闪烁的的状态，经和开发确认无闪烁状态，是否删除闪烁状态，</t>
          </r>
          <r>
            <rPr>
              <sz val="10"/>
              <color rgb="FFF54A45"/>
              <rFont val="Arial"/>
            </rPr>
            <t>需要和上汽确认@韩天亮</t>
          </r>
        </is>
      </c>
      <c r="AD21" s="15" t="str">
        <v>Pass</v>
      </c>
      <c r="AE21" s="18" t="str">
        <v>手动发信号验证</v>
      </c>
    </row>
    <row r="22" ht="145" customHeight="1" spans="1:31">
      <c r="A22" s="15" t="str">
        <v>车灯</v>
      </c>
      <c r="B22" s="15" t="str">
        <v>故障灯</v>
      </c>
      <c r="C22" s="15" t="str">
        <v>signal_light_0029</v>
      </c>
      <c r="D22" s="16">
        <v>2</v>
      </c>
      <c r="E22" s="15"/>
      <c r="F22" s="15" t="str">
        <v>方向盘角度故障提示灯</v>
      </c>
      <c r="G22" s="15" t="str">
        <v>用户交互后变化</v>
      </c>
      <c r="H22" s="15" t="str">
        <v>states</v>
      </c>
      <c r="I22" s="15" t="str">
        <v>状态</v>
      </c>
      <c r="J22" s="18" t="str">
        <v>enum</v>
      </c>
      <c r="K22" s="15" t="str">
        <v>关闭，显示黄色，显示红色</v>
      </c>
      <c r="N22" s="15" t="str">
        <v>Y</v>
      </c>
      <c r="O22" s="36" t="str">
        <v>Y</v>
      </c>
      <c r="P22" s="37" t="str">
        <v>Y</v>
      </c>
      <c r="Q22" s="43">
        <v>36</v>
      </c>
      <c r="R22" s="39" t="str">
        <v>multidisplay，id 9001</v>
      </c>
      <c r="S22" s="125" t="inlineStr">
        <is>
          <r>
            <t>@尹泽陆</t>
          </r>
        </is>
      </c>
      <c r="T22" s="26" t="str">
        <v>Y</v>
      </c>
      <c r="U22" s="27">
        <v>4.27</v>
      </c>
      <c r="V22" s="126" t="str">
        <v>Y</v>
      </c>
      <c r="Y22" s="15" t="str">
        <v>B</v>
      </c>
      <c r="Z22" s="15" t="str">
        <v>手动发信号验证</v>
      </c>
      <c r="AA22" s="15" t="str">
        <v>红色仪表没有显示，但是有数据落库</v>
      </c>
      <c r="AB22" s="15" t="str">
        <v>待确认</v>
      </c>
      <c r="AC22" s="15" t="str">
        <v>36 只有黄色</v>
      </c>
      <c r="AD22" s="15" t="str">
        <v>Pass</v>
      </c>
      <c r="AE22" s="18" t="str">
        <v>手动发信号验证</v>
      </c>
    </row>
    <row r="23" ht="222" customHeight="1" spans="1:31">
      <c r="A23" s="15" t="str">
        <v>车灯</v>
      </c>
      <c r="B23" s="15" t="str">
        <v>状态灯</v>
      </c>
      <c r="C23" s="15" t="str">
        <v>signal_light_0033</v>
      </c>
      <c r="D23" s="16">
        <v>1</v>
      </c>
      <c r="E23" s="15"/>
      <c r="F23" s="15" t="str">
        <v>EPB未释放提示灯</v>
      </c>
      <c r="G23" s="15" t="str">
        <v>用户交互后变化</v>
      </c>
      <c r="H23" s="15" t="str">
        <v>states</v>
      </c>
      <c r="I23" s="15" t="str">
        <v>状态</v>
      </c>
      <c r="J23" s="18" t="str">
        <v>enum</v>
      </c>
      <c r="K23" s="15" t="str">
        <v>关闭，显示红色，红色闪烁</v>
      </c>
      <c r="N23" s="15" t="str">
        <v>Y</v>
      </c>
      <c r="O23" s="36" t="str">
        <v>Y</v>
      </c>
      <c r="P23" s="37" t="str">
        <v>Y</v>
      </c>
      <c r="Q23" s="51">
        <v>33</v>
      </c>
      <c r="R23" s="39" t="str">
        <v>multidisplay，id 9001</v>
      </c>
      <c r="S23" s="125" t="inlineStr">
        <is>
          <r>
            <t>@陈果果</t>
          </r>
        </is>
      </c>
      <c r="T23" s="26" t="str">
        <v>Y</v>
      </c>
      <c r="U23" s="27">
        <v>4.21</v>
      </c>
      <c r="V23" s="126" t="str">
        <v>Y</v>
      </c>
      <c r="Y23" s="15" t="str">
        <v>Y</v>
      </c>
      <c r="AA23" s="45" t="str">
        <v>保留</v>
      </c>
      <c r="AD23" s="15" t="str">
        <v>Pass</v>
      </c>
      <c r="AE23" s="18" t="str">
        <v>手动发信号验证</v>
      </c>
    </row>
    <row r="24" ht="191" customHeight="1" spans="1:31">
      <c r="A24" s="15" t="str">
        <v>车灯</v>
      </c>
      <c r="B24" s="15" t="str">
        <v>故障灯</v>
      </c>
      <c r="C24" s="15" t="str">
        <v>signal_light_0034</v>
      </c>
      <c r="D24" s="16">
        <v>1</v>
      </c>
      <c r="E24" s="15"/>
      <c r="F24" s="15" t="str">
        <v>EPB故障提示灯</v>
      </c>
      <c r="G24" s="15" t="str">
        <v>用户交互后变化</v>
      </c>
      <c r="H24" s="15" t="str">
        <v>states</v>
      </c>
      <c r="I24" s="15" t="str">
        <v>状态</v>
      </c>
      <c r="J24" s="18" t="str">
        <v>enum</v>
      </c>
      <c r="K24" s="15" t="str">
        <v>关闭，显示黄色，黄色闪烁</v>
      </c>
      <c r="N24" s="15" t="str">
        <v>Y</v>
      </c>
      <c r="O24" s="36" t="str">
        <v>Y</v>
      </c>
      <c r="P24" s="37" t="str">
        <v>Y</v>
      </c>
      <c r="Q24" s="43">
        <v>34</v>
      </c>
      <c r="R24" s="39" t="str">
        <v>multidisplay，id 9001</v>
      </c>
      <c r="S24" s="125" t="inlineStr">
        <is>
          <r>
            <t>@尹泽陆</t>
          </r>
        </is>
      </c>
      <c r="T24" s="26" t="str">
        <v>Y</v>
      </c>
      <c r="U24" s="27">
        <v>4.27</v>
      </c>
      <c r="V24" s="126" t="str">
        <v>Y</v>
      </c>
      <c r="Y24" s="15" t="str">
        <v>B</v>
      </c>
      <c r="AA24" s="26" t="inlineStr">
        <is>
          <r>
            <rPr>
              <sz val="10"/>
              <color rgb="FF1F2329"/>
              <rFont val="Arial"/>
            </rPr>
            <t>但是未获取到闪烁的的状态，经和开发确认无闪烁状态，是否删除闪烁状态</t>
          </r>
          <r>
            <rPr>
              <sz val="10"/>
              <color rgb="FFF54A45"/>
              <rFont val="Arial"/>
            </rPr>
            <t>需要和上汽确认@韩天亮</t>
          </r>
        </is>
      </c>
      <c r="AD24" s="15" t="str">
        <v>Pass</v>
      </c>
      <c r="AE24" s="18" t="str">
        <v>手动发信号验证</v>
      </c>
    </row>
    <row r="25" ht="174" customHeight="1" spans="1:31">
      <c r="A25" s="15" t="str">
        <v>车灯</v>
      </c>
      <c r="B25" s="15" t="str">
        <v>状态灯</v>
      </c>
      <c r="C25" s="15" t="str">
        <v>signal_light_0035</v>
      </c>
      <c r="D25" s="16">
        <v>1</v>
      </c>
      <c r="E25" s="15"/>
      <c r="F25" s="15" t="str">
        <v>钥匙不在车内/防盗指示灯</v>
      </c>
      <c r="G25" s="15" t="str">
        <v>用户交互后变化</v>
      </c>
      <c r="H25" s="15" t="str">
        <v>states</v>
      </c>
      <c r="I25" s="15" t="str">
        <v>状态</v>
      </c>
      <c r="J25" s="18" t="str">
        <v>enum</v>
      </c>
      <c r="K25" s="15" t="str">
        <v>关闭，显示红色，红色闪烁</v>
      </c>
      <c r="N25" s="15" t="str">
        <v>Y</v>
      </c>
      <c r="O25" s="36" t="str">
        <v>Y</v>
      </c>
      <c r="P25" s="37" t="str">
        <v>Y</v>
      </c>
      <c r="Q25" s="43">
        <v>50</v>
      </c>
      <c r="R25" s="39" t="str">
        <v>multidisplay，id 9001</v>
      </c>
      <c r="S25" s="125" t="inlineStr">
        <is>
          <r>
            <t>@陈果果</t>
          </r>
        </is>
      </c>
      <c r="T25" s="26" t="str">
        <v>Y</v>
      </c>
      <c r="U25" s="16">
        <v>4.21</v>
      </c>
      <c r="V25" s="126" t="str">
        <v>Y</v>
      </c>
      <c r="Y25" s="15" t="str">
        <v>Y</v>
      </c>
      <c r="AD25" s="15" t="str">
        <v>Pass</v>
      </c>
      <c r="AE25" s="18" t="str">
        <v>手动测试正常</v>
      </c>
    </row>
    <row r="26" ht="162" customHeight="1" spans="1:31">
      <c r="A26" s="15" t="str">
        <v>车灯</v>
      </c>
      <c r="B26" s="15" t="str">
        <v>故障灯</v>
      </c>
      <c r="C26" s="15" t="str">
        <v>signal_light_0036</v>
      </c>
      <c r="D26" s="16">
        <v>2</v>
      </c>
      <c r="E26" s="15"/>
      <c r="F26" s="15" t="str">
        <v>动力电池故障指示灯</v>
      </c>
      <c r="G26" s="15" t="str">
        <v>用户交互后变化</v>
      </c>
      <c r="H26" s="15" t="str">
        <v>states</v>
      </c>
      <c r="I26" s="15" t="str">
        <v>状态</v>
      </c>
      <c r="J26" s="18" t="str">
        <v>enum</v>
      </c>
      <c r="K26" s="108" t="inlineStr">
        <is>
          <r>
            <rPr>
              <sz val="10"/>
              <color rgb="FFF54A45"/>
              <rFont val="Arial"/>
            </rPr>
            <t xml:space="preserve">关闭，显示红色，显示黄色，红色闪烁，黄色闪烁
</t>
          </r>
          <r>
            <rPr>
              <sz val="10"/>
              <color rgb="FF4E83FD"/>
              <rFont val="Arial"/>
            </rPr>
            <t xml:space="preserve">只有(关闭，显示红色，显示黄色)
</t>
          </r>
        </is>
      </c>
      <c r="N26" s="15" t="str">
        <v>Y</v>
      </c>
      <c r="O26" s="36" t="str">
        <v>Y</v>
      </c>
      <c r="P26" s="37" t="str">
        <v>Y</v>
      </c>
      <c r="Q26" s="43">
        <v>86</v>
      </c>
      <c r="R26" s="39" t="str">
        <v>multidisplay，id 9001</v>
      </c>
      <c r="S26" s="125" t="inlineStr">
        <is>
          <r>
            <t>@尹泽陆</t>
          </r>
        </is>
      </c>
      <c r="T26" s="26" t="str">
        <v>Y</v>
      </c>
      <c r="U26" s="27">
        <v>4.27</v>
      </c>
      <c r="V26" s="126" t="str">
        <v>Y</v>
      </c>
      <c r="Y26" s="15" t="str">
        <v>B</v>
      </c>
      <c r="Z26" s="15" t="str">
        <v>手动发信号验证</v>
      </c>
      <c r="AB26" s="15" t="str">
        <v>待确认</v>
      </c>
      <c r="AC26" s="15" t="str">
        <v>86-黄色
87-红色</v>
      </c>
      <c r="AD26" s="15" t="str">
        <v>Fail</v>
      </c>
      <c r="AE26" s="18" t="str">
        <v>目前发送1，3仪表显示黄色，2仪表无反应，4仪表显示红色，但是除1外其他数据，数据库洛库都是显示红色</v>
      </c>
    </row>
    <row r="27" ht="117" customHeight="1" spans="1:30">
      <c r="A27" s="15" t="str">
        <v>车灯</v>
      </c>
      <c r="B27" s="15" t="str">
        <v>状态灯</v>
      </c>
      <c r="C27" s="15" t="str">
        <v>signal_light_0038</v>
      </c>
      <c r="D27" s="16">
        <v>1</v>
      </c>
      <c r="E27" s="15"/>
      <c r="F27" s="15" t="str">
        <v>动力电池电量低提示灯</v>
      </c>
      <c r="G27" s="15" t="str">
        <v>用户交互后变化</v>
      </c>
      <c r="H27" s="15" t="str">
        <v>states</v>
      </c>
      <c r="I27" s="15" t="str">
        <v>状态</v>
      </c>
      <c r="J27" s="18" t="str">
        <v>enum</v>
      </c>
      <c r="K27" s="15" t="str">
        <v>关闭，显示黄色</v>
      </c>
      <c r="N27" s="15" t="str">
        <v>Y</v>
      </c>
      <c r="O27" s="36" t="str">
        <v>Y</v>
      </c>
      <c r="P27" s="37" t="str">
        <v>Y</v>
      </c>
      <c r="Q27" s="43">
        <v>93</v>
      </c>
      <c r="R27" s="39" t="str">
        <v>multidisplay，id 9001</v>
      </c>
      <c r="S27" s="125" t="inlineStr">
        <is>
          <r>
            <t>@陈果果</t>
          </r>
        </is>
      </c>
      <c r="T27" s="26" t="str">
        <v>Y</v>
      </c>
      <c r="U27" s="16">
        <v>4.21</v>
      </c>
      <c r="V27" s="126" t="str">
        <v>Y</v>
      </c>
      <c r="Y27" s="15" t="str">
        <v>Y</v>
      </c>
      <c r="Z27" s="15" t="str">
        <v>手动发信号验证</v>
      </c>
      <c r="AD27" s="15" t="str">
        <v>Pass</v>
      </c>
    </row>
    <row r="28" ht="156" customHeight="1" spans="1:30">
      <c r="A28" s="15" t="str">
        <v>车灯</v>
      </c>
      <c r="B28" s="15" t="str">
        <v>状态灯</v>
      </c>
      <c r="C28" s="15" t="str">
        <v>signal_light_0039</v>
      </c>
      <c r="D28" s="16">
        <v>1</v>
      </c>
      <c r="E28" s="15"/>
      <c r="F28" s="15" t="str">
        <v>充放电枪连接灯</v>
      </c>
      <c r="G28" s="15" t="str">
        <v>用户交互后变化</v>
      </c>
      <c r="H28" s="15" t="str">
        <v>states</v>
      </c>
      <c r="I28" s="15" t="str">
        <v>状态</v>
      </c>
      <c r="J28" s="18" t="str">
        <v>enum</v>
      </c>
      <c r="K28" s="15" t="str">
        <v>关闭，显示红色</v>
      </c>
      <c r="N28" s="15" t="str">
        <v>Y</v>
      </c>
      <c r="O28" s="36" t="str">
        <v>Y</v>
      </c>
      <c r="P28" s="37" t="str">
        <v>Y</v>
      </c>
      <c r="Q28" s="43">
        <v>89</v>
      </c>
      <c r="R28" s="39" t="str">
        <v>multidisplay，id 9001</v>
      </c>
      <c r="S28" s="125" t="inlineStr">
        <is>
          <r>
            <t>@陈果果</t>
          </r>
        </is>
      </c>
      <c r="T28" s="26" t="str">
        <v>Y</v>
      </c>
      <c r="U28" s="16">
        <v>4.21</v>
      </c>
      <c r="V28" s="126" t="str">
        <v>Y</v>
      </c>
      <c r="Y28" s="15" t="str">
        <v>Y</v>
      </c>
      <c r="AD28" s="15" t="str">
        <v>Pass</v>
      </c>
    </row>
    <row r="29" ht="173" customHeight="1" spans="1:30">
      <c r="A29" s="15" t="str">
        <v>车灯</v>
      </c>
      <c r="B29" s="15" t="str">
        <v>状态灯</v>
      </c>
      <c r="C29" s="15" t="str">
        <v>signal_light_0040</v>
      </c>
      <c r="D29" s="16">
        <v>1</v>
      </c>
      <c r="E29" s="15"/>
      <c r="F29" s="15" t="str">
        <v>充电灯</v>
      </c>
      <c r="G29" s="15" t="str">
        <v>用户交互后变化</v>
      </c>
      <c r="H29" s="15" t="str">
        <v>states</v>
      </c>
      <c r="I29" s="15" t="str">
        <v>状态</v>
      </c>
      <c r="J29" s="18" t="str">
        <v>enum</v>
      </c>
      <c r="K29" s="15" t="str">
        <v>关闭，显示绿色</v>
      </c>
      <c r="N29" s="15" t="str">
        <v>Y</v>
      </c>
      <c r="O29" s="36" t="str">
        <v>Y</v>
      </c>
      <c r="P29" s="37" t="str">
        <v>Y</v>
      </c>
      <c r="Q29" s="43">
        <v>156</v>
      </c>
      <c r="R29" s="39" t="str">
        <v>multidisplay，id 9001</v>
      </c>
      <c r="S29" s="125" t="inlineStr">
        <is>
          <r>
            <t>@陈果果</t>
          </r>
        </is>
      </c>
      <c r="T29" s="26" t="str">
        <v>Y</v>
      </c>
      <c r="U29" s="16">
        <v>4.21</v>
      </c>
      <c r="V29" s="126" t="str">
        <v>Y</v>
      </c>
      <c r="Y29" s="15" t="str">
        <v>Y</v>
      </c>
      <c r="AD29" s="15" t="str">
        <v>Pass</v>
      </c>
    </row>
    <row r="30" ht="185" customHeight="1" spans="1:31">
      <c r="A30" s="15" t="str">
        <v>车灯</v>
      </c>
      <c r="B30" s="15" t="str">
        <v>故障灯</v>
      </c>
      <c r="C30" s="15" t="str">
        <v>signal_light_0041</v>
      </c>
      <c r="D30" s="16">
        <v>1</v>
      </c>
      <c r="E30" s="15"/>
      <c r="F30" s="15" t="str">
        <v>充放电故障灯</v>
      </c>
      <c r="G30" s="15" t="str">
        <v>用户交互后变化</v>
      </c>
      <c r="H30" s="15" t="str">
        <v>states</v>
      </c>
      <c r="I30" s="15" t="str">
        <v>状态</v>
      </c>
      <c r="J30" s="18" t="str">
        <v>enum</v>
      </c>
      <c r="K30" s="15" t="str">
        <v>关闭，显示黄色</v>
      </c>
      <c r="N30" s="15" t="str">
        <v>Y</v>
      </c>
      <c r="O30" s="36" t="str">
        <v>Y</v>
      </c>
      <c r="P30" s="37" t="str">
        <v>Y</v>
      </c>
      <c r="Q30" s="43">
        <v>90</v>
      </c>
      <c r="R30" s="39" t="str">
        <v>multidisplay，id 9001</v>
      </c>
      <c r="S30" s="125" t="inlineStr">
        <is>
          <r>
            <t>@尹泽陆</t>
          </r>
        </is>
      </c>
      <c r="T30" s="26" t="str">
        <v>Y</v>
      </c>
      <c r="U30" s="27">
        <v>4.27</v>
      </c>
      <c r="V30" s="126" t="str">
        <v>Y</v>
      </c>
      <c r="Y30" s="15" t="str">
        <v>Y</v>
      </c>
      <c r="Z30" s="15" t="str">
        <v>手动发信号验证</v>
      </c>
      <c r="AA30" s="15" t="str">
        <v>仪表没发现相关的标识，但是上传的信号是对的，经和研发确认有些状态灯模拟的情况有时候不一定能展示</v>
      </c>
      <c r="AB30" s="15" t="str">
        <v>待确认</v>
      </c>
      <c r="AC30" s="15" t="str">
        <v>89 和90 仪表盘无对应数据</v>
      </c>
      <c r="AD30" s="15" t="str">
        <v>Block</v>
      </c>
      <c r="AE30" s="15" t="str">
        <v>89 和90 仪表盘无对应数据</v>
      </c>
    </row>
    <row r="31" ht="185" customHeight="1" spans="1:31">
      <c r="A31" s="15" t="str">
        <v>车灯</v>
      </c>
      <c r="B31" s="15" t="str">
        <v>状态灯</v>
      </c>
      <c r="C31" s="15" t="str">
        <v>signal_light_0042</v>
      </c>
      <c r="D31" s="16">
        <v>1</v>
      </c>
      <c r="E31" s="15"/>
      <c r="F31" s="15" t="str">
        <v>放电灯</v>
      </c>
      <c r="G31" s="15" t="str">
        <v>用户交互后变化</v>
      </c>
      <c r="H31" s="15" t="str">
        <v>states</v>
      </c>
      <c r="I31" s="15" t="str">
        <v>状态</v>
      </c>
      <c r="J31" s="18" t="str">
        <v>enum</v>
      </c>
      <c r="K31" s="15" t="str">
        <v>关闭，显示蓝色</v>
      </c>
      <c r="N31" s="15" t="str">
        <v>Y</v>
      </c>
      <c r="O31" s="36" t="str">
        <v>Y</v>
      </c>
      <c r="P31" s="37" t="str">
        <v>Y</v>
      </c>
      <c r="Q31" s="43">
        <v>91</v>
      </c>
      <c r="R31" s="39" t="str">
        <v>multidisplay，id 9001</v>
      </c>
      <c r="S31" s="125" t="inlineStr">
        <is>
          <r>
            <t>@陈果果</t>
          </r>
        </is>
      </c>
      <c r="T31" s="26" t="str">
        <v>Y</v>
      </c>
      <c r="U31" s="16">
        <v>4.21</v>
      </c>
      <c r="V31" s="126" t="str">
        <v>Y</v>
      </c>
      <c r="Y31" s="15" t="str">
        <v>Y</v>
      </c>
      <c r="Z31" s="15" t="str">
        <v>手动发信号验证</v>
      </c>
      <c r="AA31" s="15" t="str">
        <v>仪表没发现相关的标识，但是上传的信号是对的，经和研发确认有些状态灯模拟的情况有时候不一定能展示</v>
      </c>
      <c r="AB31" s="15" t="str">
        <v>待确认</v>
      </c>
      <c r="AC31" s="15" t="str">
        <v>91仪表无反应</v>
      </c>
      <c r="AD31" s="15" t="str">
        <v>Block</v>
      </c>
      <c r="AE31" s="15" t="str">
        <v>91仪表无反应</v>
      </c>
    </row>
    <row r="32" ht="100" customHeight="1" spans="1:30">
      <c r="A32" s="15" t="str">
        <v>车灯</v>
      </c>
      <c r="B32" s="15" t="str">
        <v>状态灯</v>
      </c>
      <c r="C32" s="15" t="str">
        <v>signal_light_0044</v>
      </c>
      <c r="D32" s="16">
        <v>1</v>
      </c>
      <c r="E32" s="15"/>
      <c r="F32" s="15" t="str">
        <v>系统就绪灯</v>
      </c>
      <c r="G32" s="15" t="str">
        <v>用户交互后变化</v>
      </c>
      <c r="H32" s="15" t="str">
        <v>states</v>
      </c>
      <c r="I32" s="15" t="str">
        <v>状态</v>
      </c>
      <c r="J32" s="18" t="str">
        <v>enum</v>
      </c>
      <c r="K32" s="15" t="str">
        <v>关闭，显示绿色</v>
      </c>
      <c r="N32" s="15" t="str">
        <v>Y</v>
      </c>
      <c r="O32" s="36" t="str">
        <v>Y</v>
      </c>
      <c r="P32" s="37" t="str">
        <v>Y</v>
      </c>
      <c r="Q32" s="43">
        <v>94</v>
      </c>
      <c r="R32" s="39" t="str">
        <v>multidisplay，id 9001</v>
      </c>
      <c r="S32" s="125" t="inlineStr">
        <is>
          <r>
            <t>@陈果果</t>
          </r>
        </is>
      </c>
      <c r="T32" s="26" t="str">
        <v>Y</v>
      </c>
      <c r="U32" s="16">
        <v>4.21</v>
      </c>
      <c r="V32" s="126" t="str">
        <v>Y</v>
      </c>
      <c r="Y32" s="15" t="str">
        <v>Y</v>
      </c>
      <c r="AD32" s="15" t="str">
        <v>Pass</v>
      </c>
    </row>
    <row r="33" ht="94" customHeight="1" spans="1:31">
      <c r="A33" s="15" t="str">
        <v>车灯</v>
      </c>
      <c r="B33" s="15" t="str">
        <v>故障灯</v>
      </c>
      <c r="C33" s="15" t="str">
        <v>signal_light_0045</v>
      </c>
      <c r="D33" s="16">
        <v>2</v>
      </c>
      <c r="E33" s="15"/>
      <c r="F33" s="15" t="str">
        <v>系统故障灯</v>
      </c>
      <c r="G33" s="15" t="str">
        <v>用户交互后变化</v>
      </c>
      <c r="H33" s="15" t="str">
        <v>states</v>
      </c>
      <c r="I33" s="15" t="str">
        <v>状态</v>
      </c>
      <c r="J33" s="18" t="str">
        <v>enum</v>
      </c>
      <c r="K33" s="15" t="str">
        <v>关闭，显示红色，显示黄色</v>
      </c>
      <c r="N33" s="15" t="str">
        <v>Y</v>
      </c>
      <c r="O33" s="36" t="str">
        <v>Y</v>
      </c>
      <c r="P33" s="37" t="str">
        <v>Y</v>
      </c>
      <c r="Q33" s="43">
        <v>95</v>
      </c>
      <c r="R33" s="39" t="str">
        <v>multidisplay，id 9001</v>
      </c>
      <c r="S33" s="125" t="inlineStr">
        <is>
          <r>
            <t>@尹泽陆</t>
          </r>
        </is>
      </c>
      <c r="T33" s="26" t="str">
        <v>Y</v>
      </c>
      <c r="U33" s="27">
        <v>4.27</v>
      </c>
      <c r="V33" s="126" t="str">
        <v>Y</v>
      </c>
      <c r="Y33" s="15" t="str">
        <v>B</v>
      </c>
      <c r="Z33" s="15" t="str">
        <v>手动发信号验证</v>
      </c>
      <c r="AA33" s="15" t="str">
        <v>发信号1和3都是仪表盘显示黄色，发送2 仪表盘无展示落库是显示红色</v>
      </c>
      <c r="AB33" s="15" t="str">
        <v>待确认</v>
      </c>
      <c r="AC33" s="15" t="str">
        <v>95 -黄色
96-红色</v>
      </c>
      <c r="AD33" s="15" t="str">
        <v>Block</v>
      </c>
      <c r="AE33" s="15" t="str">
        <v>95 -黄色
96-红色</v>
      </c>
    </row>
    <row r="34" ht="172" customHeight="1" spans="1:31">
      <c r="A34" s="15" t="str">
        <v>车灯</v>
      </c>
      <c r="B34" s="15" t="str">
        <v>故障灯</v>
      </c>
      <c r="C34" s="15" t="str">
        <v>signal_light_0046</v>
      </c>
      <c r="D34" s="16">
        <v>1</v>
      </c>
      <c r="E34" s="15"/>
      <c r="F34" s="15" t="str">
        <v>功率受限灯</v>
      </c>
      <c r="G34" s="15" t="str">
        <v>用户交互后变化</v>
      </c>
      <c r="H34" s="15" t="str">
        <v>states</v>
      </c>
      <c r="I34" s="15" t="str">
        <v>状态</v>
      </c>
      <c r="J34" s="18" t="str">
        <v>enum</v>
      </c>
      <c r="K34" s="15" t="str">
        <v>关闭，显示黄色</v>
      </c>
      <c r="N34" s="15" t="str">
        <v>Y</v>
      </c>
      <c r="O34" s="36" t="str">
        <v>Y</v>
      </c>
      <c r="P34" s="37" t="str">
        <v>Y</v>
      </c>
      <c r="Q34" s="43">
        <v>97</v>
      </c>
      <c r="R34" s="39" t="str">
        <v>multidisplay，id 9001</v>
      </c>
      <c r="S34" s="125" t="inlineStr">
        <is>
          <r>
            <t>@尹泽陆</t>
          </r>
        </is>
      </c>
      <c r="T34" s="26" t="str">
        <v>Y</v>
      </c>
      <c r="U34" s="27">
        <v>4.27</v>
      </c>
      <c r="V34" s="126" t="str">
        <v>Y</v>
      </c>
      <c r="Y34" s="15" t="str">
        <v>Y</v>
      </c>
      <c r="Z34" s="15" t="str">
        <v>手动发信号验证</v>
      </c>
      <c r="AD34" s="15" t="str">
        <v>Pass</v>
      </c>
      <c r="AE34" s="18" t="str">
        <v>手动发信号验证</v>
      </c>
    </row>
    <row r="35" ht="128" customHeight="1" spans="1:31">
      <c r="A35" s="15" t="str">
        <v>车灯</v>
      </c>
      <c r="B35" s="15" t="str">
        <v>故障灯</v>
      </c>
      <c r="C35" s="15" t="str">
        <v>signal_light_0047</v>
      </c>
      <c r="D35" s="16">
        <v>2</v>
      </c>
      <c r="E35" s="15"/>
      <c r="F35" s="15" t="str">
        <v>电机故障灯</v>
      </c>
      <c r="G35" s="15" t="str">
        <v>用户交互后变化</v>
      </c>
      <c r="H35" s="15" t="str">
        <v>states</v>
      </c>
      <c r="I35" s="15" t="str">
        <v>状态</v>
      </c>
      <c r="J35" s="18" t="str">
        <v>enum</v>
      </c>
      <c r="K35" s="15" t="str">
        <v>关闭，显示红色，显示黄色</v>
      </c>
      <c r="N35" s="15" t="str">
        <v>Y</v>
      </c>
      <c r="O35" s="36" t="str">
        <v>Y</v>
      </c>
      <c r="P35" s="37" t="str">
        <v>Y</v>
      </c>
      <c r="Q35" s="43">
        <v>99</v>
      </c>
      <c r="R35" s="39" t="str">
        <v>multidisplay，id 9001</v>
      </c>
      <c r="S35" s="125" t="inlineStr">
        <is>
          <r>
            <t>@尹泽陆</t>
          </r>
        </is>
      </c>
      <c r="T35" s="26" t="str">
        <v>Y</v>
      </c>
      <c r="U35" s="27">
        <v>4.27</v>
      </c>
      <c r="V35" s="126" t="str">
        <v>Y</v>
      </c>
      <c r="Y35" s="15" t="str">
        <v>B</v>
      </c>
      <c r="Z35" s="15" t="str">
        <v>手动发信号验证</v>
      </c>
      <c r="AA35" s="15" t="str">
        <v>发送1是仪表盘显示红色，发送2仪表未展示但是入库是黄色</v>
      </c>
      <c r="AB35" s="15" t="str">
        <v>待确认</v>
      </c>
      <c r="AC35" s="15" t="str">
        <v>158-黄色
99- 红色</v>
      </c>
      <c r="AD35" s="15" t="str">
        <v>Block</v>
      </c>
      <c r="AE35" s="15" t="str">
        <v>158-黄色
99- 红色</v>
      </c>
    </row>
    <row r="36" spans="1:32">
      <c r="A36" s="15" t="str">
        <v>车灯</v>
      </c>
      <c r="B36" s="15" t="str">
        <v>状态灯</v>
      </c>
      <c r="C36" s="15" t="str">
        <v>signal_light_0051</v>
      </c>
      <c r="F36" s="15" t="str">
        <v>危险报警灯</v>
      </c>
      <c r="G36" s="15" t="str">
        <v>用户交互后变化</v>
      </c>
      <c r="H36" s="15" t="str">
        <v>switch</v>
      </c>
      <c r="I36" s="15" t="str">
        <v>开关</v>
      </c>
      <c r="J36" s="18" t="str">
        <v>enum</v>
      </c>
      <c r="K36" s="15" t="str">
        <v>on，off</v>
      </c>
      <c r="N36" s="53" t="str">
        <v>Y</v>
      </c>
      <c r="O36" s="36" t="str">
        <v>Y
字节确认是双闪灯
左转向灯+右转向灯一起：7+8</v>
      </c>
      <c r="P36" s="37" t="str">
        <v>Y</v>
      </c>
      <c r="Q36" s="36" t="str">
        <v>
左转向灯+右转向灯：7 和  8
 </v>
      </c>
      <c r="S36" s="129" t="inlineStr">
        <is>
          <r>
            <t>@陈果果</t>
          </r>
        </is>
      </c>
      <c r="T36" s="26" t="str">
        <v>Y</v>
      </c>
      <c r="U36" s="16">
        <v>4.21</v>
      </c>
      <c r="V36" s="26" t="str">
        <v>Y</v>
      </c>
      <c r="W36" s="15" t="str">
        <v>左右转向灯接口获取</v>
      </c>
      <c r="Y36" s="15" t="str">
        <v>Y</v>
      </c>
      <c r="AD36" s="15" t="str">
        <v>Fail</v>
      </c>
      <c r="AE36" s="18" t="str">
        <v>开启后上报开和关导致数据库数据和状态不一致</v>
      </c>
      <c r="AF36" s="130" t="str">
        <v>https://meego.larkoffice.com/telematics/issue/detail/7356515662</v>
      </c>
    </row>
    <row r="37" spans="1:32">
      <c r="A37" s="15" t="str">
        <v>车灯</v>
      </c>
      <c r="B37" s="15" t="str">
        <v>车内灯</v>
      </c>
      <c r="C37" s="15" t="str">
        <v>signal_light_0052</v>
      </c>
      <c r="F37" s="15" t="str">
        <v>氛围灯</v>
      </c>
      <c r="G37" s="15" t="str">
        <v>用户交互后变化</v>
      </c>
      <c r="H37" s="15" t="str">
        <v>states</v>
      </c>
      <c r="I37" s="15" t="str">
        <v>状态</v>
      </c>
      <c r="J37" s="18" t="str">
        <v>str</v>
      </c>
      <c r="K37" s="15" t="str">
        <v>关闭，显示红色，显示橙色，显示黄色，显示金色，显示绿色，显示蓝色，显示紫色，显示青色，显示灰色，显示花灰色，显示白色，显示粉红色</v>
      </c>
      <c r="M37" s="16">
        <v>1</v>
      </c>
      <c r="N37" s="15" t="str">
        <v>Y</v>
      </c>
      <c r="O37" s="36" t="str">
        <v>Y</v>
      </c>
      <c r="P37" s="37" t="str">
        <v>Y</v>
      </c>
      <c r="Q37" s="36" t="str">
        <v> /**
 * 氛围灯主题颜色设置
 * PermissionRequest(permissions = { zone.permission.vehicle.LIGHT_SET })
 * @param themeColor 设置值 {@link int}
 * @return resultCode 返回结果码 {@link ResultCode}
 */
 int setAmbientLightThemeColor(int themeColor);
0x1=Theme1 
0x2=Theme2 
0x3=Theme3 
0x4=Theme4 
0x5=Theme5 
0x6=Theme6
 //2.氛围灯主题色
 ATMOSPHERE_THEME_COLOR
 /**
 * 氛围灯主题颜色设置
 * PermissionRequest(permissions = { zone.permission.vehicle.LIGHT_SET })
 * @param themeColor 设置值 {@link int}
 * @return resultCode 返回结果码 {@link ResultCode}
 */
 int setAmbientLightThemeColor(int themeColor);
 /**
 * 氛围灯主题颜色获取
 * PermissionRequest(permissions = { zone.permission.vehicle.DEVICE_GET })
 * @param result {@link IntResult#getResult} {@link IntResult}
 * @return resultCode 返回结果码 {@link ResultCode}
 */
 int getAmbientLightThemeColor(@NonNull IntResult result);
 /**
 * 氛围灯颜色设置
 * 预制色 主题色
 *
 * @param value &lt;br&gt;
 * {@link IntResult#getResult} {@link int} &lt;br&gt;
 * {@link IntResult#getCode()} {@link ResultCode}
 */
 default void onAmbientLightThemeColorChanged(@NonNull IntResult value) {
 }
 //3.氛围灯自定义色
 ATMOSPHERE_CUSTOM_COLOR
 /**
 * 氛围灯自定义颜色设置
 * PermissionRequest(permissions = { zone.permission.vehicle.LIGHT_SET })
 * @param customColor 设置值 {@link int}
 * @return resultCode 返回结果码 {@link ResultCode}
 */
 int setAmbientLightCustomColor(int customColor);
 /**
 * 氛围灯自定义颜色获取
 * PermissionRequest(permissions = { zone.permission.vehicle.DEVICE_GET })
 * @param result {@link IntResult#getResult} {@link IntResult}
 * @return resultCode 返回结果码 {@link ResultCode}
 */
 int getAmbientLightCustomColor(@NonNull IntResult result);
 /**
 * 氛围灯颜色通知
 * 自定义颜色
 *
 * @param value &lt;br&gt;
 * {@link IntResult#getResult} {@link int} &lt;br&gt;
 * {@link IntResult#getCode()} {@link ResultCode}
 */
 default void onAmbientLightCustomColorChanged(@NonNull IntResult value) {
 }
主题色要发0 才是自定义模式 然后自定义发1-255之间的值，如果切回主题 就直接发1-6的主题色</v>
      </c>
      <c r="R37" s="39" t="str">
        <v>预制色 下发 上报：PersonalizationData. AmbientLightSet. AmbientLightSetInfo. AmbtLampThemeSet
自定义色 下发 上报：PersonalizationData. AmbientLightSet. AmbientLightSetInfo. AmbtLampArea1Color</v>
      </c>
      <c r="S37" s="125" t="inlineStr">
        <is>
          <r>
            <t>@陈果果</t>
          </r>
        </is>
      </c>
      <c r="T37" s="15" t="str">
        <v>Y</v>
      </c>
      <c r="U37" s="19">
        <v>4.22</v>
      </c>
      <c r="V37" s="15" t="str">
        <v>Y</v>
      </c>
      <c r="Y37" s="15" t="str">
        <v>Y</v>
      </c>
      <c r="AD37" s="15" t="str">
        <v>Fail</v>
      </c>
      <c r="AF37" s="131" t="str">
        <v>https://meego.larkoffice.com/telematics/issue/detail/7357020510</v>
      </c>
    </row>
    <row r="38" spans="1:32">
      <c r="A38" s="15" t="str">
        <v>车灯</v>
      </c>
      <c r="H38" s="15" t="str">
        <v>switch</v>
      </c>
      <c r="I38" s="15" t="str">
        <v>模式选项</v>
      </c>
      <c r="J38" s="18" t="str">
        <v>enum</v>
      </c>
      <c r="K38" s="45" t="str">
        <v>音乐随动模式，智能随动，驾驶辅助，电影随动，自动,自定义,纯色,渐变,呼吸,主题,屏幕联动,驾驶联动,空调联动,开
门提醒,上车迎宾,下车欢送,续航提
醒,来电律动,音乐律动,充电联动,语
音联动,切换,空,其他</v>
      </c>
      <c r="M38" s="16">
        <v>1</v>
      </c>
      <c r="N38" s="15" t="str">
        <v>Y</v>
      </c>
      <c r="O38" s="36" t="str">
        <v>Y</v>
      </c>
      <c r="P38" s="37" t="str">
        <v>Y</v>
      </c>
      <c r="Q38" s="36" t="str">
        <v> /**
 * 音乐律动设置
 * PermissionRequest(permissions = { zone.permission.vehicle.LIGHT_SET })
 * @param status 设置值 {@link int}
 * @return resultCode 返回结果码 {@link ResultCode}
 */
 int setAtmosphereMusicFollow(int status);
 /**
 * 音乐随动区域获取
 * PermissionRequest(permissions = { zone.permission.vehicle.DEVICE_GET })
 * @param result {@link IntResult#getResult} {@link MusicModeFeedBack}
 * @return resultCode 返回结果码 {@link ResultCode}
 */
 int getMusicFollow(@NonNull IntResult result);
 /**
 * 音乐随动区域通知
 *
 * @param result &lt;br&gt;
 * {@link IntResult#getResult} {@link MusicModeFeedBack} &lt;br&gt;
 * {@link IntResult#getCode()} {@link ResultCode}
 */
 default void onMusicFollowChanged(IntResult result) {
 }</v>
      </c>
      <c r="R38" s="39" t="str">
        <v>音乐律动开关 下发 上报：PersonalizationData. AmbientLightSet. AmbientLightSetInfo. AmbtLampMuscMdEnbSet</v>
      </c>
      <c r="S38" s="125" t="inlineStr">
        <is>
          <r>
            <t>@陈果果</t>
          </r>
        </is>
      </c>
      <c r="T38" s="54" t="str">
        <v>Y</v>
      </c>
      <c r="U38" s="55">
        <v>4.24</v>
      </c>
      <c r="V38" s="26" t="str">
        <v>Y</v>
      </c>
      <c r="Y38" s="15" t="str">
        <v>Y</v>
      </c>
      <c r="AD38" s="15" t="str">
        <v>Fail</v>
      </c>
      <c r="AF38" s="132"/>
    </row>
    <row r="39" spans="8:20">
      <c r="H39" s="56" t="str">
        <v>brightness</v>
      </c>
      <c r="I39" s="56" t="str">
        <v>亮度</v>
      </c>
      <c r="J39" s="133" t="str">
        <v>str</v>
      </c>
      <c r="K39" s="57" t="str">
        <v>0-100%</v>
      </c>
      <c r="M39" s="16">
        <v>1</v>
      </c>
      <c r="N39" s="15" t="str">
        <v>Y</v>
      </c>
      <c r="S39" s="125" t="inlineStr">
        <is>
          <r>
            <t>@陈果果</t>
          </r>
        </is>
      </c>
      <c r="T39" s="54" t="str">
        <v>Y</v>
      </c>
    </row>
    <row r="40" spans="1:32">
      <c r="A40" s="15" t="str">
        <v>车灯</v>
      </c>
      <c r="B40" s="15" t="str">
        <v>车内灯</v>
      </c>
      <c r="C40" s="17" t="str">
        <v>signal_light_0053</v>
      </c>
      <c r="F40" s="15" t="str">
        <v>阅读灯</v>
      </c>
      <c r="G40" s="15" t="str">
        <v>用户交互后变化</v>
      </c>
      <c r="H40" s="15" t="str">
        <v>switch</v>
      </c>
      <c r="I40" s="15" t="str">
        <v>开关</v>
      </c>
      <c r="J40" s="18" t="str">
        <v>enum</v>
      </c>
      <c r="K40" s="15" t="str">
        <v>on，off</v>
      </c>
      <c r="M40" s="16">
        <v>1</v>
      </c>
      <c r="N40" s="15" t="str">
        <v>Y</v>
      </c>
      <c r="O40" s="36" t="str">
        <v>Y</v>
      </c>
      <c r="P40" s="37" t="str">
        <v>N</v>
      </c>
      <c r="Q40" s="134" t="str">
        <v> /**
 * 阅读灯随门开闭开关状态设置
 * PermissionRequest(permissions = { zone.permission.vehicle.LIGHT_SET }) 
 * @param status : {@link SwitchStatus}
 *
 * @return resultCode 返回结果码 {@link ResultCode}
 */
 int setReadLightStatus(@NonNull SwitchStatus status);
 /**
 * 阅读灯随门开闭开关状态获取
 * PermissionRequest(permissions = { zone.permission.vehicle.DEVICE_GET })
 * @param result :{@link IntResult#getResult} {@link SwitchStatus}
 *
 * @return resultCode 返回结果码 {@link ResultCode}
 */
 int getReadLightStatus(@NonNull IntResult result);
 /**
 * 阅读灯随门开闭开关状态通知
 *
 * @param result &lt;br&gt;
 * {@link IntResult#getResult} {@link LightSwitch} &lt;br&gt;
 * {@link IntResult#getCode()} {@link ResultCode}
 */
 default void onReadLightStatusChanged(IntResult result){
 }</v>
      </c>
      <c r="R40" s="15" t="inlineStr">
        <is>
          <r>
            <rPr>
              <b/>
              <sz val="10"/>
              <color rgb="FFF54A45"/>
              <rFont val="Arial"/>
            </rPr>
            <t xml:space="preserve">排期 5月17日
</t>
          </r>
          <r>
            <rPr>
              <sz val="10"/>
              <color rgb="FFF54A45"/>
              <rFont val="Arial"/>
            </rPr>
            <t xml:space="preserve">延期到P基线
</t>
          </r>
          <r>
            <rPr>
              <sz val="10"/>
              <color rgb="FF1F2329"/>
              <rFont val="Arial"/>
            </rPr>
            <t xml:space="preserve">IS4PR 仅阅读灯开门照明开关 下发 上报：PersonalizationData. MapLampSet. MapLampSetInfo
</t>
          </r>
        </is>
      </c>
      <c r="S40" s="124" t="inlineStr">
        <is>
          <r>
            <t>@陈果果</t>
          </r>
        </is>
      </c>
      <c r="T40" s="54" t="str">
        <v>N</v>
      </c>
      <c r="V40" s="26" t="str">
        <v>Y</v>
      </c>
      <c r="W40" s="135" t="str">
        <v>接口已提供，实车不可用
0707 怀君反馈阅读灯提供了，已问果果确认结果</v>
      </c>
      <c r="AD40" s="15" t="str">
        <v>Fail</v>
      </c>
      <c r="AF40" s="131" t="str">
        <v>https://meego.larkoffice.com/telematics/issue/detail/7358379029</v>
      </c>
    </row>
    <row r="41" spans="1:32">
      <c r="A41" s="15" t="str">
        <v>车灯</v>
      </c>
      <c r="H41" s="15" t="str">
        <v>position</v>
      </c>
      <c r="I41" s="15" t="str">
        <v>位置</v>
      </c>
      <c r="J41" s="18" t="str">
        <v>enum</v>
      </c>
      <c r="K41" s="45" t="str">
        <v>主驾，副驾，左后，右后，前排，后排，二排左，二排中，二排右，三排左，三排中，三排右，全车</v>
      </c>
      <c r="L41" s="24">
        <v>1</v>
      </c>
      <c r="M41" s="16">
        <v>1</v>
      </c>
      <c r="N41" s="49" t="str">
        <v>Y</v>
      </c>
      <c r="O41" s="36" t="str">
        <v>N</v>
      </c>
      <c r="P41" s="37" t="str">
        <v>NA</v>
      </c>
      <c r="S41" s="125" t="inlineStr">
        <is>
          <r>
            <t>@陈果果</t>
          </r>
        </is>
      </c>
      <c r="T41" s="4" t="str">
        <v>N</v>
      </c>
      <c r="V41" s="15" t="str">
        <v>N</v>
      </c>
      <c r="W41" s="4" t="str">
        <v>接口已提供，实车不可用</v>
      </c>
      <c r="AD41" s="15" t="str">
        <v>Fail</v>
      </c>
      <c r="AF41" s="132"/>
    </row>
    <row r="42" ht="226" customHeight="1" spans="1:31">
      <c r="A42" s="15" t="str">
        <v>车灯</v>
      </c>
      <c r="B42" s="15" t="str">
        <v>状态灯</v>
      </c>
      <c r="C42" s="15" t="str">
        <v>signal_light_0054</v>
      </c>
      <c r="D42" s="16">
        <v>2</v>
      </c>
      <c r="E42" s="15"/>
      <c r="F42" s="15" t="str">
        <v>TCS工作状态指示灯</v>
      </c>
      <c r="G42" s="15" t="str">
        <v>用户交互后变化</v>
      </c>
      <c r="H42" s="15" t="str">
        <v>states</v>
      </c>
      <c r="I42" s="15" t="str">
        <v>状态</v>
      </c>
      <c r="J42" s="18" t="str">
        <v>enum</v>
      </c>
      <c r="K42" s="15" t="str">
        <v>关闭，黄灯常亮，黄色闪烁</v>
      </c>
      <c r="N42" s="15" t="str">
        <v>Y</v>
      </c>
      <c r="O42" s="36" t="str">
        <v>Y</v>
      </c>
      <c r="P42" s="37" t="str">
        <v>Y</v>
      </c>
      <c r="Q42" s="43">
        <v>23</v>
      </c>
      <c r="R42" s="39" t="str">
        <v>multidisplay，id 9001</v>
      </c>
      <c r="S42" s="125" t="inlineStr">
        <is>
          <r>
            <t>@陈果果</t>
          </r>
        </is>
      </c>
      <c r="T42" s="26" t="str">
        <v>Y</v>
      </c>
      <c r="U42" s="16">
        <v>4.21</v>
      </c>
      <c r="V42" s="126" t="str">
        <v>Y</v>
      </c>
      <c r="Y42" s="15" t="str">
        <v>Y</v>
      </c>
      <c r="Z42" s="15" t="str">
        <v>手动发信号验证</v>
      </c>
      <c r="AD42" s="15" t="str">
        <v>Pass</v>
      </c>
      <c r="AE42" s="18" t="str">
        <v>手动发信号验证</v>
      </c>
    </row>
    <row r="43" ht="143" customHeight="1" spans="1:31">
      <c r="A43" s="15" t="str">
        <v>车灯</v>
      </c>
      <c r="B43" s="18" t="str">
        <v>故障灯</v>
      </c>
      <c r="C43" s="15" t="str">
        <v>signal_light_0055 </v>
      </c>
      <c r="D43" s="24">
        <v>1</v>
      </c>
      <c r="E43" s="15"/>
      <c r="F43" s="15" t="str">
        <v>HDC系统故障提示灯</v>
      </c>
      <c r="G43" s="15" t="str">
        <v>用户交互后变化</v>
      </c>
      <c r="H43" s="15" t="str">
        <v>states</v>
      </c>
      <c r="I43" s="15" t="str">
        <v>状态</v>
      </c>
      <c r="J43" s="18" t="str">
        <v>enum</v>
      </c>
      <c r="K43" s="15" t="str">
        <v>关闭，黄灯常亮，黄色闪烁</v>
      </c>
      <c r="N43" s="15" t="str">
        <v>Y</v>
      </c>
      <c r="O43" s="36" t="str">
        <v>Y</v>
      </c>
      <c r="P43" s="37" t="str">
        <v>Y</v>
      </c>
      <c r="Q43" s="43">
        <v>28</v>
      </c>
      <c r="R43" s="39" t="str">
        <v>multidisplay，id 9001</v>
      </c>
      <c r="S43" s="125" t="inlineStr">
        <is>
          <r>
            <t>@尹泽陆</t>
          </r>
        </is>
      </c>
      <c r="T43" s="26" t="str">
        <v>Y</v>
      </c>
      <c r="U43" s="27">
        <v>4.27</v>
      </c>
      <c r="V43" s="126" t="str">
        <v>Y</v>
      </c>
      <c r="Y43" s="15" t="str">
        <v>Y</v>
      </c>
      <c r="Z43" s="15" t="str">
        <v>手动发信号验证</v>
      </c>
      <c r="AD43" s="15" t="str">
        <v>Pass</v>
      </c>
      <c r="AE43" s="18" t="str">
        <v>手动发信号验证</v>
      </c>
    </row>
    <row r="44" ht="143" customHeight="1" spans="1:31">
      <c r="A44" s="15" t="str">
        <v>车灯</v>
      </c>
      <c r="B44" s="15" t="str">
        <v>状态灯</v>
      </c>
      <c r="C44" s="20" t="str">
        <v>signal_light_0056 </v>
      </c>
      <c r="D44" s="16">
        <v>1</v>
      </c>
      <c r="E44" s="15"/>
      <c r="F44" s="15" t="str">
        <v>HDC系统状态指示灯</v>
      </c>
      <c r="G44" s="15" t="str">
        <v>用户交互后变化</v>
      </c>
      <c r="H44" s="15" t="str">
        <v>states</v>
      </c>
      <c r="I44" s="15" t="str">
        <v>状态</v>
      </c>
      <c r="J44" s="18" t="str">
        <v>enum</v>
      </c>
      <c r="K44" s="15" t="str">
        <v>关闭，绿色常亮，绿色闪烁</v>
      </c>
      <c r="N44" s="15" t="str">
        <v>Y</v>
      </c>
      <c r="O44" s="36" t="str">
        <v>Y</v>
      </c>
      <c r="P44" s="37" t="str">
        <v>Y</v>
      </c>
      <c r="Q44" s="7" t="str">
        <v>27（改为 182）</v>
      </c>
      <c r="R44" s="39" t="str">
        <v>multidisplay，id 9001</v>
      </c>
      <c r="S44" s="125" t="inlineStr">
        <is>
          <r>
            <t>@陈果果</t>
          </r>
        </is>
      </c>
      <c r="T44" s="126" t="str">
        <v>Y</v>
      </c>
      <c r="U44" s="16">
        <v>4.21</v>
      </c>
      <c r="V44" s="126" t="str">
        <v>Y</v>
      </c>
      <c r="Y44" s="15" t="str">
        <v>Y</v>
      </c>
      <c r="AD44" s="15" t="str">
        <v>Pass</v>
      </c>
      <c r="AE44" s="18" t="str">
        <v>手动发信号验证</v>
      </c>
    </row>
    <row r="45" ht="114" customHeight="1" spans="1:31">
      <c r="A45" s="15" t="str">
        <v>车灯</v>
      </c>
      <c r="B45" s="18" t="str">
        <v>故障灯</v>
      </c>
      <c r="C45" s="20" t="str">
        <v>signal_light_0059 </v>
      </c>
      <c r="D45" s="16">
        <v>1</v>
      </c>
      <c r="E45" s="15"/>
      <c r="F45" s="15" t="str">
        <v>油量过低提示灯</v>
      </c>
      <c r="G45" s="15" t="str">
        <v>用户交互后变化</v>
      </c>
      <c r="H45" s="15" t="str">
        <v>states</v>
      </c>
      <c r="I45" s="15" t="str">
        <v>状态</v>
      </c>
      <c r="J45" s="18" t="str">
        <v>enum</v>
      </c>
      <c r="K45" s="108" t="inlineStr">
        <is>
          <r>
            <rPr>
              <sz val="10"/>
              <color rgb="FFF54A45"/>
              <rFont val="Arial"/>
            </rPr>
            <t xml:space="preserve">关闭，黄色常亮，黄色闪烁
</t>
          </r>
          <r>
            <rPr>
              <sz val="10"/>
              <color rgb="FF4E83FD"/>
              <rFont val="Arial"/>
            </rPr>
            <t>只有（关闭，黄色常亮）</t>
          </r>
        </is>
      </c>
      <c r="N45" s="15" t="str">
        <v>Y</v>
      </c>
      <c r="O45" s="36" t="str">
        <v>Y</v>
      </c>
      <c r="P45" s="37" t="str">
        <v>Y</v>
      </c>
      <c r="Q45" s="43">
        <v>210</v>
      </c>
      <c r="R45" s="39" t="str">
        <v>multidisplay，id 9001</v>
      </c>
      <c r="S45" s="125" t="inlineStr">
        <is>
          <r>
            <t>@尹泽陆</t>
          </r>
        </is>
      </c>
      <c r="T45" s="26" t="str">
        <v>Y</v>
      </c>
      <c r="V45" s="126" t="str">
        <v>Y</v>
      </c>
      <c r="Y45" s="15" t="str">
        <v>Y</v>
      </c>
      <c r="AD45" s="15" t="str">
        <v>Pass</v>
      </c>
      <c r="AE45" s="18" t="str">
        <v>手动发信号验证</v>
      </c>
    </row>
    <row r="46" ht="166" customHeight="1" spans="1:31">
      <c r="A46" s="15" t="str">
        <v>车灯</v>
      </c>
      <c r="B46" s="18" t="str">
        <v>故障灯</v>
      </c>
      <c r="C46" s="20" t="str">
        <v>signal_light_0060 </v>
      </c>
      <c r="D46" s="16">
        <v>1</v>
      </c>
      <c r="E46" s="15"/>
      <c r="F46" s="36" t="str">
        <v>发动机机冷故障提示灯</v>
      </c>
      <c r="G46" s="15" t="str">
        <v>用户交互后变化</v>
      </c>
      <c r="H46" s="15" t="str">
        <v>states</v>
      </c>
      <c r="I46" s="15" t="str">
        <v>状态</v>
      </c>
      <c r="J46" s="18" t="str">
        <v>enum</v>
      </c>
      <c r="K46" s="15" t="str">
        <v>关闭，红色常亮，红色闪烁
</v>
      </c>
      <c r="N46" s="15" t="str">
        <v>Y</v>
      </c>
      <c r="O46" s="36" t="str">
        <v>Y</v>
      </c>
      <c r="P46" s="37" t="str">
        <v>Y</v>
      </c>
      <c r="Q46" s="43">
        <v>230</v>
      </c>
      <c r="R46" s="39" t="str">
        <v>multidisplay，id 9001</v>
      </c>
      <c r="S46" s="125" t="inlineStr">
        <is>
          <r>
            <t>@尹泽陆</t>
          </r>
        </is>
      </c>
      <c r="T46" s="26" t="str">
        <v>Y</v>
      </c>
      <c r="U46" s="27">
        <v>4.27</v>
      </c>
      <c r="V46" s="126" t="str">
        <v>Y</v>
      </c>
      <c r="Y46" s="15" t="str">
        <v>Y</v>
      </c>
      <c r="Z46" s="15" t="str">
        <v>手动发信号验证</v>
      </c>
      <c r="AD46" s="15" t="str">
        <v>Pass</v>
      </c>
      <c r="AE46" s="18" t="str">
        <v>手动发信号验证</v>
      </c>
    </row>
    <row r="47" ht="113" customHeight="1" spans="1:30">
      <c r="A47" s="17" t="str">
        <v>车灯</v>
      </c>
      <c r="B47" s="18" t="str">
        <v>故障灯</v>
      </c>
      <c r="C47" s="60" t="str">
        <v>signal_light_0061 </v>
      </c>
      <c r="D47" s="19">
        <v>1</v>
      </c>
      <c r="E47" s="17"/>
      <c r="F47" s="25" t="str">
        <v>发动机排放故障提示灯</v>
      </c>
      <c r="G47" s="15" t="str">
        <v>用户交互后变化</v>
      </c>
      <c r="H47" s="15" t="str">
        <v>states</v>
      </c>
      <c r="I47" s="15" t="str">
        <v>状态</v>
      </c>
      <c r="J47" s="18" t="str">
        <v>enum</v>
      </c>
      <c r="K47" s="15" t="str">
        <v>关闭，黄色常亮，黄色闪烁</v>
      </c>
      <c r="N47" s="15" t="str">
        <v>Y</v>
      </c>
      <c r="O47" s="36" t="str">
        <v>Y</v>
      </c>
      <c r="P47" s="37" t="str">
        <v>Y</v>
      </c>
      <c r="Q47" s="43">
        <v>231</v>
      </c>
      <c r="R47" s="39" t="str">
        <v>multidisplay，id 9001</v>
      </c>
      <c r="S47" s="125" t="inlineStr">
        <is>
          <r>
            <t>@尹泽陆</t>
          </r>
        </is>
      </c>
      <c r="T47" s="26" t="str">
        <v>Y</v>
      </c>
      <c r="U47" s="27">
        <v>4.27</v>
      </c>
      <c r="V47" s="126" t="str">
        <v>Y</v>
      </c>
      <c r="Y47" s="15" t="str">
        <v>Y</v>
      </c>
      <c r="AD47" s="15" t="str">
        <v>Pass</v>
      </c>
    </row>
    <row r="48" ht="107" customHeight="1" spans="1:31">
      <c r="A48" s="15" t="str">
        <v>车灯</v>
      </c>
      <c r="B48" s="18" t="str">
        <v>故障灯</v>
      </c>
      <c r="C48" s="15" t="str">
        <v>signal_light_0062 </v>
      </c>
      <c r="D48" s="16">
        <v>1</v>
      </c>
      <c r="E48" s="15"/>
      <c r="F48" s="15" t="str">
        <v>机油压力警告灯</v>
      </c>
      <c r="G48" s="15" t="str">
        <v>用户交互后变化</v>
      </c>
      <c r="H48" s="15" t="str">
        <v>states</v>
      </c>
      <c r="I48" s="15" t="str">
        <v>状态</v>
      </c>
      <c r="J48" s="18" t="str">
        <v>enum</v>
      </c>
      <c r="K48" s="15" t="str">
        <v>关闭，红色常亮</v>
      </c>
      <c r="N48" s="15" t="str">
        <v>Y</v>
      </c>
      <c r="O48" s="36" t="str">
        <v>Y</v>
      </c>
      <c r="P48" s="37" t="str">
        <v>Y</v>
      </c>
      <c r="Q48" s="43">
        <v>233</v>
      </c>
      <c r="R48" s="39" t="str">
        <v>multidisplay，id 9001</v>
      </c>
      <c r="S48" s="125" t="inlineStr">
        <is>
          <r>
            <t>@尹泽陆</t>
          </r>
        </is>
      </c>
      <c r="T48" s="26" t="str">
        <v>Y</v>
      </c>
      <c r="U48" s="27">
        <v>4.27</v>
      </c>
      <c r="V48" s="126" t="str">
        <v>Y</v>
      </c>
      <c r="Y48" s="15" t="str">
        <v>Y</v>
      </c>
      <c r="Z48" s="15" t="str">
        <v>手动发信号验证</v>
      </c>
      <c r="AD48" s="15" t="str">
        <v>Pass</v>
      </c>
      <c r="AE48" s="18" t="str">
        <v>手动发信号验证</v>
      </c>
    </row>
    <row r="49" ht="201" customHeight="1" spans="1:31">
      <c r="A49" s="15" t="str">
        <v>车灯</v>
      </c>
      <c r="B49" s="18" t="str">
        <v>故障灯</v>
      </c>
      <c r="C49" s="15" t="str">
        <v>signal_light_0066 </v>
      </c>
      <c r="D49" s="16">
        <v>1</v>
      </c>
      <c r="E49" s="15"/>
      <c r="F49" s="15" t="str">
        <v>悬架系统故障提示灯</v>
      </c>
      <c r="G49" s="15" t="str">
        <v>用户交互后变化</v>
      </c>
      <c r="H49" s="15" t="str">
        <v>states</v>
      </c>
      <c r="I49" s="15" t="str">
        <v>状态</v>
      </c>
      <c r="J49" s="18" t="str">
        <v>enum</v>
      </c>
      <c r="K49" s="15" t="str">
        <v>关闭，红色常亮，黄色常亮</v>
      </c>
      <c r="N49" s="15" t="str">
        <v>Y</v>
      </c>
      <c r="O49" s="36" t="str">
        <v>Y （只有黄色状态）</v>
      </c>
      <c r="P49" s="37" t="str">
        <v>Y</v>
      </c>
      <c r="Q49" s="43">
        <v>254</v>
      </c>
      <c r="R49" s="39" t="str">
        <v>multidisplay，id 9001</v>
      </c>
      <c r="S49" s="125" t="inlineStr">
        <is>
          <r>
            <t>@尹泽陆</t>
          </r>
        </is>
      </c>
      <c r="T49" s="26" t="str">
        <v>Y</v>
      </c>
      <c r="U49" s="27">
        <v>4.27</v>
      </c>
      <c r="V49" s="126" t="str">
        <v>Y</v>
      </c>
      <c r="Y49" s="15" t="str">
        <v>Y</v>
      </c>
      <c r="Z49" s="15" t="str">
        <v>手动发信号验证</v>
      </c>
      <c r="AD49" s="15" t="str">
        <v>Pass</v>
      </c>
      <c r="AE49" s="18" t="str">
        <v>手动发信号验证</v>
      </c>
    </row>
    <row r="50" spans="1:32">
      <c r="A50" s="17" t="str">
        <v>车灯</v>
      </c>
      <c r="B50" s="17" t="str">
        <v>状态灯</v>
      </c>
      <c r="C50" s="17" t="str">
        <v>signal_light_0067 </v>
      </c>
      <c r="D50" s="19">
        <v>3</v>
      </c>
      <c r="E50" s="136" t="str">
        <v>EV EV  HEV</v>
      </c>
      <c r="F50" s="17" t="str">
        <v>动力源状态指示灯</v>
      </c>
      <c r="G50" s="65" t="str">
        <v>用户交互后变化</v>
      </c>
      <c r="H50" s="17" t="str">
        <v>states</v>
      </c>
      <c r="I50" s="17" t="str">
        <v>状态</v>
      </c>
      <c r="J50" s="46" t="str">
        <v>enum</v>
      </c>
      <c r="K50" s="28" t="str">
        <v>关闭，绿色常亮，蓝色常亮</v>
      </c>
      <c r="N50" s="17" t="str">
        <v>Y</v>
      </c>
      <c r="O50" s="67" t="str">
        <v>Y</v>
      </c>
      <c r="P50" s="68" t="str">
        <v>Y</v>
      </c>
      <c r="Q50" s="67" t="str">
        <v>117 (EV)177 (HEV)236(未知)</v>
      </c>
      <c r="R50" s="70" t="str">
        <v>multidisplay，id 9001</v>
      </c>
      <c r="S50" s="137" t="inlineStr">
        <is>
          <r>
            <t>@陈果果</t>
          </r>
        </is>
      </c>
      <c r="T50" s="72" t="str">
        <v>Y</v>
      </c>
      <c r="U50" s="19">
        <v>5.09</v>
      </c>
      <c r="V50" s="138" t="str">
        <v>Y</v>
      </c>
      <c r="Y50" s="15" t="str">
        <v>Y</v>
      </c>
      <c r="AD50" s="17" t="str">
        <v>Pass</v>
      </c>
      <c r="AE50" s="18" t="str">
        <v>手动发信号验证</v>
      </c>
      <c r="AF50" s="125" t="str">
        <v>236 是EV</v>
      </c>
    </row>
    <row r="51" spans="1:31">
      <c r="A51" s="15" t="str">
        <v>车灯</v>
      </c>
      <c r="H51" s="45" t="str">
        <v>type</v>
      </c>
      <c r="I51" s="45" t="str">
        <v>动力源类型</v>
      </c>
      <c r="J51" s="58" t="str">
        <v>enum</v>
      </c>
      <c r="K51" s="45" t="str">
        <v>EV，HEV</v>
      </c>
      <c r="N51" s="45" t="str">
        <v>Y</v>
      </c>
      <c r="S51" s="125" t="inlineStr">
        <is>
          <r>
            <t>@陈果果</t>
          </r>
        </is>
      </c>
      <c r="T51" s="15" t="str">
        <v>Y</v>
      </c>
      <c r="V51" s="15" t="str">
        <v>Y</v>
      </c>
      <c r="Y51" s="15" t="str">
        <v>Y</v>
      </c>
      <c r="AD51" s="15" t="str">
        <v>Pass</v>
      </c>
      <c r="AE51" s="18" t="str">
        <v>手动发信号验证</v>
      </c>
    </row>
    <row r="52" ht="158" customHeight="1" spans="1:31">
      <c r="A52" s="20" t="str">
        <v>车灯</v>
      </c>
      <c r="B52" s="20" t="str">
        <v>状态灯</v>
      </c>
      <c r="C52" s="20" t="str">
        <v>signal_light_0070 </v>
      </c>
      <c r="D52" s="21">
        <v>1</v>
      </c>
      <c r="E52" s="20"/>
      <c r="F52" s="20" t="str">
        <v>脱手接管报警灯</v>
      </c>
      <c r="G52" s="76" t="str">
        <v>用户交互后变化</v>
      </c>
      <c r="H52" s="20" t="str">
        <v>states</v>
      </c>
      <c r="I52" s="20" t="str">
        <v>状态</v>
      </c>
      <c r="J52" s="47" t="str">
        <v>enum</v>
      </c>
      <c r="K52" s="15" t="str">
        <v>关闭，红色常亮</v>
      </c>
      <c r="N52" s="20" t="str">
        <v>Y</v>
      </c>
      <c r="O52" s="78" t="str">
        <v>Y</v>
      </c>
      <c r="P52" s="79" t="str">
        <v>Y</v>
      </c>
      <c r="Q52" s="139">
        <v>160</v>
      </c>
      <c r="R52" s="80" t="str">
        <v>multidisplay，id 9001</v>
      </c>
      <c r="S52" s="140" t="inlineStr">
        <is>
          <r>
            <t>@陈果果</t>
          </r>
        </is>
      </c>
      <c r="T52" s="103" t="str">
        <v>Y</v>
      </c>
      <c r="U52" s="21">
        <v>4.21</v>
      </c>
      <c r="V52" s="141" t="str">
        <v>Y</v>
      </c>
      <c r="Y52" s="20" t="str">
        <v>Y</v>
      </c>
      <c r="Z52" s="20" t="str">
        <v>手动发信号验证</v>
      </c>
      <c r="AD52" s="17" t="str">
        <v>Pass</v>
      </c>
      <c r="AE52" s="18" t="str">
        <v>手动发信号验证</v>
      </c>
    </row>
    <row r="53" ht="209" customHeight="1" spans="1:32">
      <c r="A53" s="15" t="str">
        <v>车灯</v>
      </c>
      <c r="B53" s="18" t="str">
        <v>故障灯</v>
      </c>
      <c r="C53" s="15" t="str">
        <v>signal_light_0071 </v>
      </c>
      <c r="D53" s="16">
        <v>2</v>
      </c>
      <c r="E53" s="15"/>
      <c r="F53" s="15" t="str">
        <v>前向主动安全辅助系统状态指示灯</v>
      </c>
      <c r="G53" s="15" t="str">
        <v>用户交互后变化</v>
      </c>
      <c r="H53" s="15" t="str">
        <v>states</v>
      </c>
      <c r="I53" s="15" t="str">
        <v>状态</v>
      </c>
      <c r="J53" s="18" t="str">
        <v>enum</v>
      </c>
      <c r="K53" s="15" t="str">
        <v>关闭，显示红色，显示黄色</v>
      </c>
      <c r="N53" s="15" t="str">
        <v>Y</v>
      </c>
      <c r="O53" s="36" t="str">
        <v>Y</v>
      </c>
      <c r="P53" s="37" t="str">
        <v>Y</v>
      </c>
      <c r="Q53" s="36" t="str">
        <v>115 116</v>
      </c>
      <c r="R53" s="39" t="str">
        <v>multidisplay，id 9001</v>
      </c>
      <c r="S53" s="125" t="inlineStr">
        <is>
          <r>
            <t>@尹泽陆</t>
          </r>
        </is>
      </c>
      <c r="T53" s="26" t="str">
        <v>Y</v>
      </c>
      <c r="U53" s="27">
        <v>4.27</v>
      </c>
      <c r="V53" s="138" t="str">
        <v>Y</v>
      </c>
      <c r="W53" s="26" t="str">
        <v>115 116</v>
      </c>
      <c r="Y53" s="15" t="str">
        <v>B</v>
      </c>
      <c r="AA53" s="15" t="str">
        <v>只有黄色</v>
      </c>
      <c r="AB53" s="15" t="str">
        <v>待确认</v>
      </c>
      <c r="AC53" s="15" t="str">
        <v>只有115，只有黄色，文档116被删</v>
      </c>
      <c r="AD53" s="17" t="str">
        <v>Pass</v>
      </c>
      <c r="AE53" s="18" t="str">
        <v>手动发信号验证</v>
      </c>
      <c r="AF53" s="15" t="str">
        <v>只有115，只有黄色，文档116被删</v>
      </c>
    </row>
    <row r="54" ht="187" customHeight="1" spans="1:31">
      <c r="A54" s="15" t="str">
        <v>车灯</v>
      </c>
      <c r="B54" s="18" t="str">
        <v>故障灯</v>
      </c>
      <c r="C54" s="15" t="str">
        <v>signal_light_0072 </v>
      </c>
      <c r="D54" s="16">
        <v>1</v>
      </c>
      <c r="E54" s="15"/>
      <c r="F54" s="15" t="str">
        <v>后方主动安全辅助系统故障指示灯</v>
      </c>
      <c r="G54" s="15" t="str">
        <v>用户交互后变化</v>
      </c>
      <c r="H54" s="15" t="str">
        <v>states</v>
      </c>
      <c r="I54" s="15" t="str">
        <v>状态</v>
      </c>
      <c r="J54" s="18" t="str">
        <v>enum</v>
      </c>
      <c r="K54" s="15" t="str">
        <v>关闭，黄色常亮</v>
      </c>
      <c r="N54" s="15" t="str">
        <v>Y</v>
      </c>
      <c r="O54" s="36" t="str">
        <v>Y</v>
      </c>
      <c r="P54" s="37" t="str">
        <v>Y</v>
      </c>
      <c r="Q54" s="36" t="str">
        <v>164（改为 76）</v>
      </c>
      <c r="R54" s="39" t="str">
        <v>multidisplay，id 9001</v>
      </c>
      <c r="S54" s="125" t="inlineStr">
        <is>
          <r>
            <t>@尹泽陆</t>
          </r>
        </is>
      </c>
      <c r="T54" s="126" t="str">
        <v>Y</v>
      </c>
      <c r="U54" s="27">
        <v>4.27</v>
      </c>
      <c r="V54" s="126" t="str">
        <v>Y</v>
      </c>
      <c r="Y54" s="15" t="str">
        <v>Y</v>
      </c>
      <c r="Z54" s="15" t="str">
        <v>手动发信号验证</v>
      </c>
      <c r="AD54" s="17" t="str">
        <v>Pass</v>
      </c>
      <c r="AE54" s="18" t="str">
        <v>手动发信号验证</v>
      </c>
    </row>
    <row r="55" ht="206" customHeight="1" spans="1:30">
      <c r="A55" s="15" t="str">
        <v>车灯</v>
      </c>
      <c r="B55" s="18" t="str">
        <v>故障灯</v>
      </c>
      <c r="C55" s="15" t="str">
        <v>signal_light_0073 </v>
      </c>
      <c r="D55" s="16">
        <v>1</v>
      </c>
      <c r="E55" s="15"/>
      <c r="F55" s="15" t="str">
        <v>紧急转向辅助系统故障指示灯</v>
      </c>
      <c r="G55" s="15" t="str">
        <v>用户交互后变化</v>
      </c>
      <c r="H55" s="15" t="str">
        <v>states</v>
      </c>
      <c r="I55" s="15" t="str">
        <v>状态</v>
      </c>
      <c r="J55" s="18" t="str">
        <v>enum</v>
      </c>
      <c r="K55" s="15" t="str">
        <v>关闭，黄色常亮，黄色闪烁，显示白色</v>
      </c>
      <c r="N55" s="15" t="str">
        <v>Y</v>
      </c>
      <c r="O55" s="36" t="str">
        <v>Y</v>
      </c>
      <c r="P55" s="37" t="str">
        <v>Y</v>
      </c>
      <c r="Q55" s="43">
        <v>180</v>
      </c>
      <c r="R55" s="39" t="str">
        <v>multidisplay，id 9001</v>
      </c>
      <c r="S55" s="125" t="inlineStr">
        <is>
          <r>
            <t>@尹泽陆</t>
          </r>
        </is>
      </c>
      <c r="T55" s="26" t="str">
        <v>Y</v>
      </c>
      <c r="U55" s="27">
        <v>4.27</v>
      </c>
      <c r="V55" s="141" t="str">
        <v>Y</v>
      </c>
      <c r="Y55" s="15" t="str">
        <v>B</v>
      </c>
      <c r="AA55" s="15" t="str">
        <v>显示白色未模拟出来</v>
      </c>
      <c r="AB55" s="15" t="str">
        <v>待确认</v>
      </c>
      <c r="AC55" s="15" t="str">
        <v>文档179， 开发180
两个都只有黄色</v>
      </c>
      <c r="AD55" s="15" t="str">
        <v>Block</v>
      </c>
    </row>
    <row r="56" ht="161" customHeight="1" spans="1:23">
      <c r="A56" s="15" t="str">
        <v>车灯</v>
      </c>
      <c r="B56" s="15" t="str">
        <v>状态灯</v>
      </c>
      <c r="C56" s="15" t="str">
        <v>signal_light_0075 </v>
      </c>
      <c r="D56" s="16">
        <v>3</v>
      </c>
      <c r="E56" s="15"/>
      <c r="F56" s="15" t="str">
        <v>自适应巡航功能状态指示灯</v>
      </c>
      <c r="G56" s="45" t="str">
        <v>用户交互后变化</v>
      </c>
      <c r="H56" s="15" t="str">
        <v>states</v>
      </c>
      <c r="I56" s="15" t="str">
        <v>状态</v>
      </c>
      <c r="J56" s="18" t="str">
        <v>enum</v>
      </c>
      <c r="K56" s="15" t="inlineStr">
        <is>
          <r>
            <rPr>
              <sz val="10"/>
              <color rgb="FF1F2329"/>
              <rFont val="Arial"/>
            </rPr>
            <t>关闭，显示蓝色，显示黄色，显示灰色，</t>
          </r>
          <r>
            <rPr>
              <sz val="10"/>
              <color rgb="FFF54A45"/>
              <rFont val="Arial"/>
            </rPr>
            <t>显示白色，蓝色闪烁</t>
          </r>
        </is>
      </c>
      <c r="N56" s="50" t="str">
        <v>Y（@王超）</v>
      </c>
      <c r="O56" s="36" t="str">
        <v>N</v>
      </c>
      <c r="P56" s="37" t="str">
        <v>NA</v>
      </c>
      <c r="S56" s="125" t="inlineStr">
        <is>
          <r>
            <t>@陈果果</t>
          </r>
        </is>
      </c>
      <c r="T56" s="26" t="str">
        <v>N</v>
      </c>
      <c r="U56" s="16">
        <v>4.21</v>
      </c>
      <c r="V56" s="15" t="str">
        <v>N</v>
      </c>
      <c r="W56" s="15" t="str">
        <v>上汽表示无此需求</v>
      </c>
    </row>
    <row r="57" spans="1:19">
      <c r="A57" s="15" t="str">
        <v>车灯</v>
      </c>
      <c r="H57" s="15" t="str">
        <v>flash</v>
      </c>
      <c r="I57" s="15" t="str">
        <v>闪烁频率</v>
      </c>
      <c r="J57" s="18" t="str">
        <v>enum</v>
      </c>
      <c r="K57" s="15" t="str">
        <v>0.5Hz，常亮</v>
      </c>
      <c r="N57" s="15" t="str">
        <v>Y</v>
      </c>
      <c r="O57" s="36" t="str">
        <v>N</v>
      </c>
      <c r="P57" s="37" t="str">
        <v>NA</v>
      </c>
      <c r="S57" s="125" t="inlineStr">
        <is>
          <r>
            <t>@尹泽陆</t>
          </r>
        </is>
      </c>
    </row>
    <row r="58" ht="196" customHeight="1" spans="1:31">
      <c r="A58" s="15" t="str">
        <v>车灯</v>
      </c>
      <c r="B58" s="15" t="str">
        <v>状态灯</v>
      </c>
      <c r="C58" s="15" t="str">
        <v>signal_light_0076 </v>
      </c>
      <c r="D58" s="16">
        <v>3</v>
      </c>
      <c r="E58" s="15"/>
      <c r="F58" s="15" t="str">
        <v>领航辅助系统状态指示灯</v>
      </c>
      <c r="G58" s="45" t="str">
        <v>用户交互后变化</v>
      </c>
      <c r="H58" s="15" t="str">
        <v>states</v>
      </c>
      <c r="I58" s="15" t="str">
        <v>状态</v>
      </c>
      <c r="J58" s="18" t="str">
        <v>enum</v>
      </c>
      <c r="K58" s="28" t="inlineStr">
        <is>
          <r>
            <rPr>
              <sz val="10"/>
              <color rgb="FF4E83FD"/>
              <rFont val="Arial"/>
            </rPr>
            <t xml:space="preserve">关闭，显示蓝色，显示黄色，显示灰色
</t>
          </r>
          <r>
            <rPr>
              <sz val="10"/>
              <color rgb="FF1F2329"/>
              <rFont val="Arial"/>
            </rPr>
            <t>只有（关闭，显示灰色，显示蓝色）</t>
          </r>
        </is>
      </c>
      <c r="N58" s="15" t="str">
        <v>Y</v>
      </c>
      <c r="O58" s="36" t="str">
        <v>Y</v>
      </c>
      <c r="P58" s="37" t="str">
        <v>Y</v>
      </c>
      <c r="Q58" s="36" t="str">
        <v>186 187 </v>
      </c>
      <c r="R58" s="39" t="str">
        <v>multidisplay，id 9001</v>
      </c>
      <c r="S58" s="125" t="inlineStr">
        <is>
          <r>
            <t>@陈果果</t>
          </r>
        </is>
      </c>
      <c r="T58" s="26" t="str">
        <v>Y</v>
      </c>
      <c r="U58" s="16">
        <v>4.21</v>
      </c>
      <c r="V58" s="126" t="str">
        <v>Y</v>
      </c>
      <c r="Y58" s="15" t="str">
        <v>Y</v>
      </c>
      <c r="Z58" s="15" t="str">
        <v>手动发信号验证</v>
      </c>
      <c r="AD58" s="15" t="str">
        <v>Pass</v>
      </c>
      <c r="AE58" s="18" t="str">
        <v>手动发信号验证</v>
      </c>
    </row>
    <row r="59" ht="141" customHeight="1" spans="1:31">
      <c r="A59" s="15" t="str">
        <v>车灯</v>
      </c>
      <c r="B59" s="15" t="str">
        <v>状态灯</v>
      </c>
      <c r="C59" s="15" t="str">
        <v>signal_light_0081 </v>
      </c>
      <c r="D59" s="16">
        <v>2</v>
      </c>
      <c r="E59" s="15"/>
      <c r="F59" s="15" t="str">
        <v>疲劳分心报警灯</v>
      </c>
      <c r="G59" s="45" t="str">
        <v>用户交互后变化</v>
      </c>
      <c r="H59" s="15" t="str">
        <v>states</v>
      </c>
      <c r="I59" s="15" t="str">
        <v>状态</v>
      </c>
      <c r="J59" s="18" t="str">
        <v>enum</v>
      </c>
      <c r="K59" s="15" t="str">
        <v>关闭，显示红色，显示黄色</v>
      </c>
      <c r="N59" s="15" t="str">
        <v>Y</v>
      </c>
      <c r="O59" s="36" t="str">
        <v>Y</v>
      </c>
      <c r="P59" s="37" t="str">
        <v>Y</v>
      </c>
      <c r="Q59" s="36" t="str">
        <v>227（咖啡灯）</v>
      </c>
      <c r="R59" s="39" t="str">
        <v>multidisplay，id 9001</v>
      </c>
      <c r="S59" s="125" t="inlineStr">
        <is>
          <r>
            <t>@陈果果</t>
          </r>
        </is>
      </c>
      <c r="T59" s="26" t="str">
        <v>Y</v>
      </c>
      <c r="U59" s="16">
        <v>4.21</v>
      </c>
      <c r="V59" s="126" t="str">
        <v>Y</v>
      </c>
      <c r="Y59" s="15" t="str">
        <v>B</v>
      </c>
      <c r="AA59" s="15" t="str">
        <v>除了1其他落库都是显示红色，4的时候仪表显示的是黄色，未模拟出显示红色</v>
      </c>
      <c r="AB59" s="15" t="str">
        <v>待确认</v>
      </c>
      <c r="AC59" s="15" t="str">
        <v>只有黄色</v>
      </c>
      <c r="AD59" s="15" t="str">
        <v>Pass</v>
      </c>
      <c r="AE59" s="18" t="str">
        <v>手动发信号验证</v>
      </c>
    </row>
    <row r="60" spans="1:19">
      <c r="A60" s="15" t="str">
        <v>车灯</v>
      </c>
      <c r="H60" s="15" t="str">
        <v>flash</v>
      </c>
      <c r="I60" s="15" t="str">
        <v>闪烁频率</v>
      </c>
      <c r="J60" s="18" t="str">
        <v>enum</v>
      </c>
      <c r="K60" s="15" t="str">
        <v>0.5Hz，常亮</v>
      </c>
      <c r="N60" s="15" t="str">
        <v>Y</v>
      </c>
      <c r="O60" s="36" t="str">
        <v>N</v>
      </c>
      <c r="P60" s="37" t="str">
        <v>NA</v>
      </c>
      <c r="S60" s="125" t="inlineStr">
        <is>
          <r>
            <t>@尹泽陆</t>
          </r>
        </is>
      </c>
    </row>
    <row r="61" ht="176" customHeight="1" spans="1:31">
      <c r="A61" s="20" t="str">
        <v>车灯</v>
      </c>
      <c r="B61" s="15" t="str">
        <v>状态灯</v>
      </c>
      <c r="C61" s="15" t="str">
        <v>signal_light_0082 </v>
      </c>
      <c r="D61" s="21">
        <v>1</v>
      </c>
      <c r="E61" s="20"/>
      <c r="F61" s="78" t="str">
        <v>车道限速标识指示灯</v>
      </c>
      <c r="G61" s="45" t="str">
        <v>用户交互后变化</v>
      </c>
      <c r="H61" s="15" t="str">
        <v>states</v>
      </c>
      <c r="I61" s="15" t="str">
        <v>状态</v>
      </c>
      <c r="J61" s="18" t="str">
        <v>enum</v>
      </c>
      <c r="K61" s="15" t="str">
        <v>关闭，显示</v>
      </c>
      <c r="N61" s="15" t="str">
        <v>Y</v>
      </c>
      <c r="O61" s="36" t="str">
        <v>Y</v>
      </c>
      <c r="P61" s="37" t="str">
        <v>Y</v>
      </c>
      <c r="Q61" s="43">
        <v>206</v>
      </c>
      <c r="R61" s="39" t="str">
        <v>multidisplay，id 9001</v>
      </c>
      <c r="S61" s="125" t="inlineStr">
        <is>
          <r>
            <t>@陈果果</t>
          </r>
        </is>
      </c>
      <c r="T61" s="26" t="str">
        <v>Y</v>
      </c>
      <c r="U61" s="16">
        <v>4.21</v>
      </c>
      <c r="V61" s="126" t="str">
        <v>Y</v>
      </c>
      <c r="Y61" s="15" t="str">
        <v>Y</v>
      </c>
      <c r="Z61" s="15" t="str">
        <v>手动发信号验证</v>
      </c>
      <c r="AD61" s="15" t="str">
        <v>Pass</v>
      </c>
      <c r="AE61" s="18" t="str">
        <v>手动发信号验证</v>
      </c>
    </row>
    <row r="62" ht="190" customHeight="1" spans="1:31">
      <c r="A62" s="45" t="str">
        <v>车灯</v>
      </c>
      <c r="B62" s="45" t="str">
        <v>状态灯</v>
      </c>
      <c r="C62" s="45" t="str">
        <v>signal_light_0083</v>
      </c>
      <c r="D62" s="85">
        <v>1</v>
      </c>
      <c r="E62" s="86"/>
      <c r="F62" s="86" t="str">
        <v>未有目标限速指示灯</v>
      </c>
      <c r="G62" s="45" t="str">
        <v>用户交互后变化</v>
      </c>
      <c r="H62" s="45" t="str">
        <v>states</v>
      </c>
      <c r="I62" s="45" t="str">
        <v>状态</v>
      </c>
      <c r="J62" s="58" t="str">
        <v>enum</v>
      </c>
      <c r="K62" s="45" t="str">
        <v>关闭，显示</v>
      </c>
      <c r="N62" s="15" t="str">
        <v>Y</v>
      </c>
      <c r="O62" s="87" t="str">
        <v>Y</v>
      </c>
      <c r="P62" s="37" t="str">
        <v>Y</v>
      </c>
      <c r="Q62" s="43">
        <v>205</v>
      </c>
      <c r="R62" s="39" t="str">
        <v>multidisplay，id 9001</v>
      </c>
      <c r="S62" s="125" t="inlineStr">
        <is>
          <r>
            <t>@陈果果</t>
          </r>
        </is>
      </c>
      <c r="T62" s="26" t="str">
        <v>Y</v>
      </c>
      <c r="U62" s="27">
        <v>4.21</v>
      </c>
      <c r="V62" s="126" t="str">
        <v>Y</v>
      </c>
      <c r="Y62" s="15" t="str">
        <v>Y</v>
      </c>
      <c r="AD62" s="15" t="str">
        <v>Pass</v>
      </c>
      <c r="AE62" s="18" t="str">
        <v>手动发信号验证</v>
      </c>
    </row>
    <row r="63" ht="161" customHeight="1" spans="1:31">
      <c r="A63" s="45" t="str">
        <v>车灯</v>
      </c>
      <c r="B63" s="45" t="str">
        <v>状态灯</v>
      </c>
      <c r="C63" s="45" t="str">
        <v>signal_light_0086</v>
      </c>
      <c r="D63" s="85">
        <v>4</v>
      </c>
      <c r="E63" s="86"/>
      <c r="F63" s="86" t="str">
        <v>巡航辅助系统状态灯</v>
      </c>
      <c r="G63" s="45" t="str">
        <v>用户交互后变化</v>
      </c>
      <c r="H63" s="45" t="str">
        <v>states</v>
      </c>
      <c r="I63" s="45" t="str">
        <v>状态</v>
      </c>
      <c r="J63" s="58" t="str">
        <v>enum</v>
      </c>
      <c r="K63" s="45" t="str">
        <v>关闭，蓝色，灰色，白色，黄色</v>
      </c>
      <c r="N63" s="45" t="str">
        <v>Y</v>
      </c>
      <c r="O63" s="87" t="str">
        <v>Y</v>
      </c>
      <c r="P63" s="37" t="str">
        <v>Y</v>
      </c>
      <c r="Q63" s="78" t="str">
        <v>223，224，225，226（依次为灰白蓝黄）</v>
      </c>
      <c r="R63" s="39" t="str">
        <v>multidisplay，id 9001</v>
      </c>
      <c r="S63" s="125" t="inlineStr">
        <is>
          <r>
            <t>@陈果果</t>
          </r>
        </is>
      </c>
      <c r="T63" s="26" t="str">
        <v>Y</v>
      </c>
      <c r="U63" s="16">
        <v>4.21</v>
      </c>
      <c r="V63" s="126" t="str">
        <v>Y</v>
      </c>
      <c r="Y63" s="15" t="str">
        <v>Y</v>
      </c>
      <c r="AD63" s="15" t="str">
        <v>Pass</v>
      </c>
      <c r="AE63" s="18" t="str">
        <v>手动发信号验证</v>
      </c>
    </row>
    <row r="64" spans="1:31">
      <c r="A64" s="45" t="str">
        <v>车灯</v>
      </c>
      <c r="B64" s="45" t="str">
        <v>状态灯</v>
      </c>
      <c r="C64" s="45" t="str">
        <v>signal_light_0087</v>
      </c>
      <c r="F64" s="86" t="str">
        <v>限速辅助系统故障灯</v>
      </c>
      <c r="G64" s="45" t="str">
        <v>用户交互后变化</v>
      </c>
      <c r="H64" s="45" t="str">
        <v>states</v>
      </c>
      <c r="I64" s="45" t="str">
        <v>状态</v>
      </c>
      <c r="J64" s="58" t="str">
        <v>enum</v>
      </c>
      <c r="K64" s="45" t="str">
        <v>关闭，黄色</v>
      </c>
      <c r="N64" s="45" t="str">
        <v>Y</v>
      </c>
      <c r="O64" s="87" t="str">
        <v>Y</v>
      </c>
      <c r="P64" s="37" t="str">
        <v>Y</v>
      </c>
      <c r="Q64" s="92">
        <v>56</v>
      </c>
      <c r="R64" s="39" t="str">
        <v>multidisplay，id 9001</v>
      </c>
      <c r="S64" s="125" t="inlineStr">
        <is>
          <r>
            <t>@陈果果</t>
          </r>
        </is>
      </c>
      <c r="T64" s="26" t="str">
        <v>Y</v>
      </c>
      <c r="U64" s="16">
        <v>4.21</v>
      </c>
      <c r="V64" s="126" t="str">
        <v>Y</v>
      </c>
      <c r="Y64" s="15" t="str">
        <v>Y</v>
      </c>
      <c r="AD64" s="15" t="str">
        <v>Pass</v>
      </c>
      <c r="AE64" s="18" t="str">
        <v>手动发信号验证</v>
      </c>
    </row>
    <row r="65" spans="1:31">
      <c r="A65" s="45" t="str">
        <v>车灯</v>
      </c>
      <c r="B65" s="45" t="str">
        <v>状态灯</v>
      </c>
      <c r="C65" s="45" t="str">
        <v>signal_light_0088</v>
      </c>
      <c r="F65" s="86" t="str">
        <v>ACC系统故障灯</v>
      </c>
      <c r="G65" s="45" t="str">
        <v>用户交互后变化</v>
      </c>
      <c r="H65" s="45" t="str">
        <v>states</v>
      </c>
      <c r="I65" s="45" t="str">
        <v>状态</v>
      </c>
      <c r="J65" s="58" t="str">
        <v>enum</v>
      </c>
      <c r="K65" s="45" t="str">
        <v>关闭，黄色</v>
      </c>
      <c r="N65" s="45" t="str">
        <v>Y</v>
      </c>
      <c r="O65" s="87" t="str">
        <v>Y</v>
      </c>
      <c r="P65" s="37" t="str">
        <v>Y</v>
      </c>
      <c r="Q65" s="92">
        <v>159</v>
      </c>
      <c r="R65" s="39" t="str">
        <v>multidisplay，id 9001</v>
      </c>
      <c r="S65" s="125" t="inlineStr">
        <is>
          <r>
            <t>@陈果果</t>
          </r>
        </is>
      </c>
      <c r="T65" s="26" t="str">
        <v>Y</v>
      </c>
      <c r="U65" s="16">
        <v>4.21</v>
      </c>
      <c r="V65" s="126" t="str">
        <v>Y</v>
      </c>
      <c r="Y65" s="15" t="str">
        <v>Y</v>
      </c>
      <c r="Z65" s="15" t="str">
        <v>手动发信号验证</v>
      </c>
      <c r="AD65" s="15" t="str">
        <v>Pass</v>
      </c>
      <c r="AE65" s="18" t="str">
        <v>手动发信号验证</v>
      </c>
    </row>
    <row r="66" ht="179" customHeight="1" spans="1:31">
      <c r="A66" s="45" t="str">
        <v>车灯</v>
      </c>
      <c r="B66" s="45" t="str">
        <v>故障灯</v>
      </c>
      <c r="C66" s="45" t="str">
        <v>signal_light_0089</v>
      </c>
      <c r="D66" s="85">
        <v>1</v>
      </c>
      <c r="E66" s="45"/>
      <c r="F66" s="86" t="str">
        <v>发动机故障警告灯</v>
      </c>
      <c r="G66" s="45" t="str">
        <v>用户交互后变化</v>
      </c>
      <c r="H66" s="93" t="str">
        <v>states</v>
      </c>
      <c r="I66" s="93" t="str">
        <v>状态</v>
      </c>
      <c r="J66" s="58" t="str">
        <v>enum</v>
      </c>
      <c r="K66" s="45" t="str">
        <v>关闭，显示黄色</v>
      </c>
      <c r="N66" s="45" t="str">
        <v>Y</v>
      </c>
      <c r="O66" s="87" t="str">
        <v>Y</v>
      </c>
      <c r="P66" s="37" t="str">
        <v>Y</v>
      </c>
      <c r="Q66" s="94">
        <v>232</v>
      </c>
      <c r="R66" s="39" t="str">
        <v>multidisplay，id 9001</v>
      </c>
      <c r="S66" s="125" t="inlineStr">
        <is>
          <r>
            <t>@陈果果</t>
          </r>
        </is>
      </c>
      <c r="T66" s="26" t="str">
        <v>Y</v>
      </c>
      <c r="U66" s="16">
        <v>4.21</v>
      </c>
      <c r="V66" s="126" t="str">
        <v>Y</v>
      </c>
      <c r="Y66" s="15" t="str">
        <v>Y</v>
      </c>
      <c r="Z66" s="15" t="str">
        <v>手动发信号验证</v>
      </c>
      <c r="AD66" s="15" t="str">
        <v>Pass</v>
      </c>
      <c r="AE66" s="18" t="str">
        <v>手动发信号验证</v>
      </c>
    </row>
    <row r="67" spans="1:30">
      <c r="A67" s="15" t="str">
        <v>智驾</v>
      </c>
      <c r="B67" s="15" t="str">
        <v>指令自动变道CALC（打灯变道）</v>
      </c>
      <c r="C67" s="15" t="str">
        <v>adsd_0008</v>
      </c>
      <c r="F67" s="15" t="str">
        <v>指令自动变道CALC（打灯变道）</v>
      </c>
      <c r="G67" s="15" t="str">
        <v>低频变化</v>
      </c>
      <c r="H67" s="15" t="str">
        <v>switch</v>
      </c>
      <c r="I67" s="15" t="str">
        <v>开关</v>
      </c>
      <c r="J67" s="18" t="str">
        <v>enum</v>
      </c>
      <c r="K67" s="15" t="str">
        <v>on，off</v>
      </c>
      <c r="N67" s="15" t="str">
        <v>Y</v>
      </c>
      <c r="O67" s="36" t="str">
        <v>Y</v>
      </c>
      <c r="P67" s="37" t="str">
        <v>Y</v>
      </c>
      <c r="Q67" s="36" t="str">
        <v>int getAutoLaneChngSwSt(@NonNull
 IntResult result)
打灯变道获取 PermissionRequest(permissions = { zone.permission.vehicle.DEVICE_GET })
参数:
result - BaseResult.getResult() AdsConstants.AdsAutoLaneChngType
AdsCallbackFlag AUTO_LANE_CHNG_SW_ST
onAutoLaneChngSwStChanged回调</v>
      </c>
      <c r="S67" s="125" t="inlineStr">
        <is>
          <r>
            <t>@谢一鸣</t>
          </r>
        </is>
      </c>
      <c r="T67" s="26" t="str">
        <v>N（给的接口有问题，后富龙重新提供了接口）</v>
      </c>
      <c r="U67" s="16">
        <v>4.22</v>
      </c>
      <c r="V67" s="15" t="str">
        <v>Y</v>
      </c>
      <c r="W67" s="96" t="str">
        <v>04.18：AdsAutoLaneChngType中的RECOMMENED字段需要上汽澄清
04.20：待上汽反馈
04.22：静态测试无法获取状态
05.26:未收到回调
06:14：上汽工程师让调整接口后搜到信号</v>
      </c>
      <c r="Y67" s="15" t="str">
        <v>B</v>
      </c>
      <c r="AD67" s="15" t="str">
        <v>Pass</v>
      </c>
    </row>
    <row r="68" spans="1:31">
      <c r="A68" s="15" t="str">
        <v>智驾</v>
      </c>
      <c r="B68" s="15" t="str">
        <v>智驾风格</v>
      </c>
      <c r="C68" s="15" t="str">
        <v>adsd_0009</v>
      </c>
      <c r="F68" s="15" t="str">
        <v>智驾风格选项</v>
      </c>
      <c r="G68" s="15" t="str">
        <v>低频变化</v>
      </c>
      <c r="H68" s="15" t="str">
        <v>switch</v>
      </c>
      <c r="I68" s="15" t="str">
        <v>模式选项</v>
      </c>
      <c r="J68" s="18" t="str">
        <v>enum</v>
      </c>
      <c r="K68" s="15" t="inlineStr">
        <is>
          <r>
            <rPr>
              <sz val="10"/>
              <color rgb="FF1F2329"/>
              <rFont val="Arial"/>
            </rPr>
            <t>柔和，标准，敏捷，</t>
          </r>
          <r>
            <rPr>
              <sz val="10"/>
              <color rgb="FFF54A45"/>
              <rFont val="Arial"/>
            </rPr>
            <t>舒适，运动</t>
          </r>
        </is>
      </c>
      <c r="N68" s="15" t="str">
        <v>Y</v>
      </c>
      <c r="O68" s="36" t="str">
        <v>Y</v>
      </c>
      <c r="P68" s="37" t="str">
        <v>Y</v>
      </c>
      <c r="Q68" s="36" t="str">
        <v>int getAiPilotDrvMdlS(@NonNull
 IntResult result)
智驾风格获取 PermissionRequest(permissions = { zone.permission.vehicle.DEVICE_GET })
参数:
result - : 结果 IntResultAdsConstants.AiPilotDrvMdlSts
AdsCallbackFlag AIPILOT_MODE
onAiPilotDrvMdlChanged 回调</v>
      </c>
      <c r="S68" s="125" t="inlineStr">
        <is>
          <r>
            <t>@谢一鸣</t>
          </r>
        </is>
      </c>
      <c r="T68" s="26" t="str">
        <v>Y</v>
      </c>
      <c r="U68" s="16">
        <v>4.22</v>
      </c>
      <c r="V68" s="15" t="str">
        <v>Y</v>
      </c>
      <c r="W68" s="96" t="str">
        <v>04.20：需要上汽澄清（上汽接口中有四种状态，我们只有三种状态，另一种状态需要上汽给出对应）==》04.21：上汽给出了对应关系（没有自学习模式）
04.22：实车未发现切换智驾风格的UI已向上汽反馈</v>
      </c>
      <c r="Y68" s="15" t="str">
        <v>B</v>
      </c>
      <c r="AD68" s="15" t="str">
        <v>Block</v>
      </c>
      <c r="AE68" s="18" t="str">
        <v>未找到操作的地方</v>
      </c>
    </row>
    <row r="69" spans="1:30">
      <c r="A69" s="15" t="str">
        <v>智驾</v>
      </c>
      <c r="B69" s="15" t="str">
        <v>起步提醒</v>
      </c>
      <c r="C69" s="15" t="str">
        <v>adsd_0010</v>
      </c>
      <c r="F69" s="15" t="str">
        <v>起步提醒选项开关</v>
      </c>
      <c r="G69" s="15" t="str">
        <v>低频变化</v>
      </c>
      <c r="H69" s="15" t="str">
        <v>switch</v>
      </c>
      <c r="I69" s="15" t="str">
        <v>开关</v>
      </c>
      <c r="J69" s="18" t="str">
        <v>enum</v>
      </c>
      <c r="K69" s="15" t="str">
        <v>on，off</v>
      </c>
      <c r="N69" s="15" t="str">
        <v>Y</v>
      </c>
      <c r="O69" s="36" t="str">
        <v>Y</v>
      </c>
      <c r="P69" s="37" t="str">
        <v>Y</v>
      </c>
      <c r="Q69" s="36" t="str">
        <v>int getFrtCarGoNotfrSwSts(@NonNull
 IntResult result)
AdsCallbackFlag FRTCARGONOTFR
onFrtCarGoNotfrSwStsChanged 回调</v>
      </c>
      <c r="S69" s="125" t="inlineStr">
        <is>
          <r>
            <t>@谢一鸣</t>
          </r>
        </is>
      </c>
      <c r="T69" s="26" t="str">
        <v>Y</v>
      </c>
      <c r="U69" s="27">
        <v>4.21</v>
      </c>
      <c r="V69" s="15" t="str">
        <v>Y</v>
      </c>
      <c r="Y69" s="15" t="str">
        <v>Y</v>
      </c>
      <c r="AD69" s="15" t="str">
        <v>Pass</v>
      </c>
    </row>
    <row r="70" spans="1:30">
      <c r="A70" s="15" t="str">
        <v>智驾</v>
      </c>
      <c r="B70" s="15" t="str">
        <v>固定值设置</v>
      </c>
      <c r="C70" s="15" t="str">
        <v>adsd_0012</v>
      </c>
      <c r="F70" s="15" t="str">
        <v>智驾限速固定值</v>
      </c>
      <c r="G70" s="15" t="str">
        <v>低频变化</v>
      </c>
      <c r="H70" s="15" t="str">
        <v>value</v>
      </c>
      <c r="I70" s="15" t="str">
        <v>固定值</v>
      </c>
      <c r="J70" s="18" t="str">
        <v>str</v>
      </c>
      <c r="N70" s="15" t="str">
        <v>Y</v>
      </c>
      <c r="O70" s="36" t="str">
        <v>Y</v>
      </c>
      <c r="P70" s="37" t="str">
        <v>Y</v>
      </c>
      <c r="Q70" s="36" t="str">
        <v>public int getSpdLmtOfstSetNum(@NonNull IntResult result)
AdsCallbackFlag.SPD_LMT_OF_ST_SET_NUM
onSpdLmtOfstSetNumChanged</v>
      </c>
      <c r="S70" s="125" t="inlineStr">
        <is>
          <r>
            <t>@谢一鸣</t>
          </r>
        </is>
      </c>
      <c r="T70" s="26" t="str">
        <v>Y</v>
      </c>
      <c r="U70" s="27">
        <v>4.23</v>
      </c>
      <c r="V70" s="15" t="str">
        <v>Y</v>
      </c>
      <c r="Y70" s="15" t="str">
        <v>Y</v>
      </c>
      <c r="AD70" s="15" t="str">
        <v>Pass</v>
      </c>
    </row>
    <row r="71" spans="1:30">
      <c r="A71" s="15" t="str">
        <v>智驾</v>
      </c>
      <c r="B71" s="15" t="str">
        <v>限速报警</v>
      </c>
      <c r="C71" s="15" t="str">
        <v>adsd_0014</v>
      </c>
      <c r="F71" s="15" t="str">
        <v>限速报警开关</v>
      </c>
      <c r="G71" s="15" t="str">
        <v>低频变化</v>
      </c>
      <c r="H71" s="15" t="str">
        <v>switch</v>
      </c>
      <c r="I71" s="15" t="str">
        <v>开关</v>
      </c>
      <c r="J71" s="18" t="str">
        <v>enum</v>
      </c>
      <c r="K71" s="95" t="inlineStr">
        <is>
          <r>
            <rPr>
              <strike/>
              <sz val="10"/>
              <color rgb="FF1F2329"/>
              <rFont val="Arial"/>
            </rPr>
            <t>on</t>
          </r>
          <r>
            <rPr>
              <sz val="10"/>
              <color rgb="FF1F2329"/>
              <rFont val="Arial"/>
            </rPr>
            <t>，off，</t>
          </r>
          <r>
            <rPr>
              <sz val="10"/>
              <color rgb="FFF54A45"/>
              <rFont val="Arial"/>
            </rPr>
            <t>无报警，显示，显示+提示音</t>
          </r>
        </is>
      </c>
      <c r="N71" s="15" t="str">
        <v>Y</v>
      </c>
      <c r="O71" s="36" t="str">
        <v>Y</v>
      </c>
      <c r="P71" s="37" t="str">
        <v>Y</v>
      </c>
      <c r="Q71" s="36" t="str">
        <v>getSpdLmtCotOverWrnng
AdsCallbackFlag.SPD_LMT_COT_OVER_WRNNG
onSpdLmtCotOverWrnngChanged(IntResult result) {
 }</v>
      </c>
      <c r="S71" s="125" t="inlineStr">
        <is>
          <r>
            <t>@谢一鸣</t>
          </r>
        </is>
      </c>
      <c r="T71" s="26" t="str">
        <v>Y</v>
      </c>
      <c r="U71" s="27">
        <v>4.23</v>
      </c>
      <c r="V71" s="15" t="str">
        <v>Y</v>
      </c>
      <c r="Y71" s="18" t="str">
        <v>Y</v>
      </c>
      <c r="AD71" s="125" t="str">
        <v>Pass</v>
      </c>
    </row>
    <row r="72" spans="1:31">
      <c r="A72" s="15" t="str">
        <v>智驾</v>
      </c>
      <c r="B72" s="45" t="str">
        <v>前方安全辅助</v>
      </c>
      <c r="C72" s="15" t="str">
        <v>adsd_0015</v>
      </c>
      <c r="F72" s="15" t="str">
        <v>前向碰撞预警开关</v>
      </c>
      <c r="G72" s="15" t="str">
        <v>低频变化</v>
      </c>
      <c r="H72" s="15" t="str">
        <v>switch</v>
      </c>
      <c r="I72" s="15" t="str">
        <v>开关</v>
      </c>
      <c r="J72" s="18" t="str">
        <v>enum</v>
      </c>
      <c r="K72" s="15" t="str">
        <v>on，off</v>
      </c>
      <c r="N72" s="15" t="str">
        <v>Y</v>
      </c>
      <c r="O72" s="36" t="str">
        <v>Y</v>
      </c>
      <c r="P72" s="37" t="str">
        <v>Y</v>
      </c>
      <c r="Q72" s="36" t="str">
        <v>int getPilotTotalSwitch(@PilotTotalSwitchType int switchType, @NonNull IntResult result)
AdsCallbackFlag.FRONT_SECURITY_ASSIST
onPilotTotalSwitchChanged(int switchType, IntResult result)</v>
      </c>
      <c r="S72" s="125" t="inlineStr">
        <is>
          <r>
            <t>@谢一鸣</t>
          </r>
        </is>
      </c>
      <c r="T72" s="26" t="str">
        <v>Y</v>
      </c>
      <c r="U72" s="16">
        <v>4.23</v>
      </c>
      <c r="V72" s="4" t="str">
        <v>Y</v>
      </c>
      <c r="W72" s="96" t="str">
        <v>4.24:相关问题已经反馈给上汽开发了 =》上汽需要我们给他们起票
05.26:已收到回调</v>
      </c>
      <c r="Y72" s="18" t="str">
        <v>Y</v>
      </c>
      <c r="AD72" s="125" t="str">
        <v>Pass</v>
      </c>
      <c r="AE72" s="18" t="str">
        <v>只有开关，页面有一个辅助模式：预警，预警+制动</v>
      </c>
    </row>
    <row r="73" spans="1:30">
      <c r="A73" s="15" t="str">
        <v>智驾</v>
      </c>
      <c r="B73" s="45" t="str">
        <v>前方安全辅助</v>
      </c>
      <c r="C73" s="15" t="str">
        <v>adsd_0016</v>
      </c>
      <c r="F73" s="15" t="str">
        <v>前向碰撞灵敏度设置</v>
      </c>
      <c r="G73" s="15" t="str">
        <v>低频变化</v>
      </c>
      <c r="H73" s="15" t="str">
        <v>switch</v>
      </c>
      <c r="I73" s="15" t="str">
        <v>模式选项</v>
      </c>
      <c r="J73" s="18" t="str">
        <v>enum</v>
      </c>
      <c r="K73" s="15" t="inlineStr">
        <is>
          <r>
            <rPr>
              <sz val="10"/>
              <color rgb="FF1F2329"/>
              <rFont val="Arial"/>
            </rPr>
            <t>低，中，高，</t>
          </r>
          <r>
            <rPr>
              <sz val="10"/>
              <color rgb="FFF54A45"/>
              <rFont val="Arial"/>
            </rPr>
            <t>较早，适中，稍晚</t>
          </r>
        </is>
      </c>
      <c r="N73" s="15" t="str">
        <v>Y</v>
      </c>
      <c r="O73" s="36" t="str">
        <v>Y</v>
      </c>
      <c r="P73" s="37" t="str">
        <v>Y</v>
      </c>
      <c r="Q73" s="36" t="str">
        <v>int getFcwSnstvtLvl(@NonNull IntResult result);
AdsCallbackFlag.FCW_SNSTV_LVL
onFcwSnstvtLvlChanged(IntResult result)</v>
      </c>
      <c r="S73" s="125" t="inlineStr">
        <is>
          <r>
            <t>@谢一鸣</t>
          </r>
        </is>
      </c>
      <c r="T73" s="26" t="str">
        <v>Y</v>
      </c>
      <c r="U73" s="16">
        <v>4.23</v>
      </c>
      <c r="V73" s="4" t="str">
        <v>Y</v>
      </c>
      <c r="Y73" s="18" t="str">
        <v>Y</v>
      </c>
      <c r="AD73" s="125" t="str">
        <v>Pass</v>
      </c>
    </row>
    <row r="74" spans="1:30">
      <c r="A74" s="15" t="str">
        <v>智驾</v>
      </c>
      <c r="B74" s="45" t="str">
        <v>后方安全辅助</v>
      </c>
      <c r="C74" s="15" t="str">
        <v>adsd_0018</v>
      </c>
      <c r="F74" s="15" t="str">
        <v>后向碰撞预警开关</v>
      </c>
      <c r="G74" s="15" t="str">
        <v>低频变化</v>
      </c>
      <c r="H74" s="15" t="str">
        <v>switch</v>
      </c>
      <c r="I74" s="15" t="str">
        <v>开关</v>
      </c>
      <c r="J74" s="18" t="str">
        <v>enum</v>
      </c>
      <c r="K74" s="15" t="str">
        <v>on，off</v>
      </c>
      <c r="N74" s="15" t="str">
        <v>Y</v>
      </c>
      <c r="O74" s="36" t="str">
        <v>Y</v>
      </c>
      <c r="P74" s="37" t="str">
        <v>Y</v>
      </c>
      <c r="Q74" s="36" t="str">
        <v> /**
 * 后向危险警示RCW状态获取
 * PermissionRequest(permissions = { zone.permission.vehicle.DEVICE_GET })
 * @param result {@link IntResult#getResult()} {@link SwitchStatus}
 * @return {@link ResultCode}
 */
 @ResultCode
 int getRcwSelSts(@NonNull IntResult result);
 /**
 * 后向危险警示RCW状态设置
 * PermissionRequest(permissions = { zone.permission.vehicle.ADS_SET })
 * @param status :开关状态 {@link SwitchStatus}
 * @return {@link ResultCode}
 */
 @ResultCode
 int setRcwSelSts(@NonNull SwitchStatus status);
 /**
 * 后向危险警示RCW状态更新通知
 *
 * @param result &lt;br&gt;{@link IntResult#getResult()} {@link SwitchStatus}&lt;br&gt;
 * 返回结果码 {@link IntResult#getCode()} {@link com.zone.api.vehicle.common.result.ResultCode}
 */
 default void onRcwSelStsChanged(IntResult result) {
 }</v>
      </c>
      <c r="S74" s="125" t="inlineStr">
        <is>
          <r>
            <t>@谢一鸣</t>
          </r>
        </is>
      </c>
      <c r="T74" s="26" t="str">
        <v>Y</v>
      </c>
      <c r="U74" s="27">
        <v>4.23</v>
      </c>
      <c r="V74" s="75" t="str">
        <v>Y</v>
      </c>
      <c r="Y74" s="18" t="str">
        <v>Y</v>
      </c>
      <c r="AD74" s="140" t="str">
        <v>Pass</v>
      </c>
    </row>
    <row r="75" spans="1:30">
      <c r="A75" s="15" t="str">
        <v>智驾</v>
      </c>
      <c r="B75" s="45" t="str">
        <v>后方安全辅助</v>
      </c>
      <c r="C75" s="15" t="str">
        <v>adsd_0019</v>
      </c>
      <c r="F75" s="15" t="str">
        <v>盲点预警开关</v>
      </c>
      <c r="G75" s="15" t="str">
        <v>低频变化</v>
      </c>
      <c r="H75" s="15" t="str">
        <v>switch</v>
      </c>
      <c r="I75" s="15" t="str">
        <v>开关</v>
      </c>
      <c r="J75" s="18" t="str">
        <v>enum</v>
      </c>
      <c r="K75" s="15" t="str">
        <v>on，off</v>
      </c>
      <c r="N75" s="15" t="str">
        <v>Y</v>
      </c>
      <c r="O75" s="36" t="str">
        <v>Y</v>
      </c>
      <c r="P75" s="37" t="str">
        <v>Y</v>
      </c>
      <c r="Q75" s="36" t="str">
        <v> /**
 * 侧向盲区危险警示BSD状态获取
 * PermissionRequest(permissions = { zone.permission.vehicle.DEVICE_GET })
 * @param result {@link IntResult#getResult()} {@link SwitchStatus}
 * @return {@link ResultCode}
 */
 @ResultCode
 int getBsdSelSts(@NonNull IntResult result);
 /**
 * 侧向盲区危险警示BSD状态设置
 * PermissionRequest(permissions = { zone.permission.vehicle.ADS_SET })
 * @param status :开关状态 {@link SwitchStatus}
 * @return {@link ResultCode}
 */
 @ResultCode
 int setBsdSelSts(@NonNull SwitchStatus status);
 /**
 * 侧向盲区危险警示BSD状态更新通知
 *
 * @param result &lt;br&gt;{@link IntResult#getResult()} {@link SwitchStatus}&lt;br&gt;
 * 返回结果码 {@link IntResult#getCode()} {@link com.zone.api.vehicle.common.result.ResultCode}
 */
 default void onBsdSelStsChanged(IntResult result) {
 }</v>
      </c>
      <c r="S75" s="125" t="inlineStr">
        <is>
          <r>
            <t>@谢一鸣</t>
          </r>
        </is>
      </c>
      <c r="T75" s="26" t="str">
        <v>Y</v>
      </c>
      <c r="U75" s="27">
        <v>4.23</v>
      </c>
      <c r="V75" s="75" t="str">
        <v>Y</v>
      </c>
      <c r="Y75" s="18" t="str">
        <v>Y</v>
      </c>
      <c r="AD75" s="125" t="str">
        <v>Pass</v>
      </c>
    </row>
    <row r="76" spans="1:30">
      <c r="A76" s="15" t="str">
        <v>智驾</v>
      </c>
      <c r="B76" s="15" t="str">
        <v>开门预警</v>
      </c>
      <c r="C76" s="15" t="str">
        <v>adsd_0021</v>
      </c>
      <c r="F76" s="15" t="str">
        <v>开门预警开关</v>
      </c>
      <c r="G76" s="15" t="str">
        <v>低频变化</v>
      </c>
      <c r="H76" s="15" t="str">
        <v>switch</v>
      </c>
      <c r="I76" s="15" t="str">
        <v>开关</v>
      </c>
      <c r="J76" s="18" t="str">
        <v>enum</v>
      </c>
      <c r="K76" s="15" t="str">
        <v>on，off</v>
      </c>
      <c r="N76" s="15" t="str">
        <v>Y</v>
      </c>
      <c r="O76" s="36" t="str">
        <v>Y</v>
      </c>
      <c r="P76" s="37" t="str">
        <v>Y</v>
      </c>
      <c r="Q76" s="36" t="str">
        <v> /**
 * 开门时危险警示DOW状态获取
 * PermissionRequest(permissions = { zone.permission.vehicle.DEVICE_GET })
 * @param result {@link IntResult#getResult()} {@link SwitchStatus}
 * @return {@link ResultCode}
 */
 @ResultCode
 int getDowSelSts(@NonNull IntResult result);
 /**
 * 开门时危险警示DOW状态设置
 * PermissionRequest(permissions = { zone.permission.vehicle.ADS_SET })
 * @param status :开关状态 {@link SwitchStatus}
 * @return {@link ResultCode}
 */
 @ResultCode
 int setDowSelSts(@NonNull SwitchStatus status);
 /**
 * 门时危险警示DOW状态更新通知
 *
 * @param result &lt;br&gt;{@link IntResult#getResult()} {@link SwitchStatus}&lt;br&gt;
 * 返回结果码 {@link IntResult#getCode()} {@link com.zone.api.vehicle.common.result.ResultCode}
 */
 default void onDowSelStsChanged(IntResult result) {
 }</v>
      </c>
      <c r="S76" s="125" t="inlineStr">
        <is>
          <r>
            <t>@谢一鸣</t>
          </r>
        </is>
      </c>
      <c r="T76" s="26" t="str">
        <v>Y</v>
      </c>
      <c r="U76" s="27">
        <v>4.23</v>
      </c>
      <c r="V76" s="75" t="str">
        <v>Y</v>
      </c>
      <c r="Y76" s="18" t="str">
        <v>Y</v>
      </c>
      <c r="AD76" s="125" t="str">
        <v>Pass</v>
      </c>
    </row>
    <row r="77" spans="1:30">
      <c r="A77" s="15" t="str">
        <v>智驾</v>
      </c>
      <c r="B77" s="15" t="str">
        <v>车道偏离辅助</v>
      </c>
      <c r="C77" s="15" t="str">
        <v>adsd_0022</v>
      </c>
      <c r="F77" s="15" t="str">
        <v>车道偏离辅助</v>
      </c>
      <c r="G77" s="15" t="str">
        <v>低频变化</v>
      </c>
      <c r="H77" s="15" t="str">
        <v>switch</v>
      </c>
      <c r="I77" s="15" t="str">
        <v>模式选项</v>
      </c>
      <c r="J77" s="18" t="str">
        <v>enum</v>
      </c>
      <c r="K77" s="15" t="str">
        <v>关闭，警示，警示+辅助</v>
      </c>
      <c r="N77" s="15" t="str">
        <v>Y</v>
      </c>
      <c r="O77" s="36" t="str">
        <v>Y</v>
      </c>
      <c r="P77" s="37" t="str">
        <v>Y</v>
      </c>
      <c r="Q77" s="36" t="str">
        <v> /**
 * 车道保持辅助状态获取
 * PermissionRequest(permissions = { zone.permission.vehicle.DEVICE_GET })
 * @param result {@link IntResult#getResult()} {@link LDWLKASt}
 * @return {@link ResultCode}
 */
 @ResultCode
 int getLdwLka(@NonNull IntResult result);
 /**
 * 车道保持辅助状态设置
 * PermissionRequest(permissions = { zone.permission.vehicle.ADS_SET })
 * @param value :车道保持辅助状态 {@link LDWLKASt}
 * @return {@link ResultCode}
 */
 @ResultCode
 int setLdwLka(@LDWLKASt int value);
 /**
 * 车道保持辅助状态更新通知
 *
 * @param result &lt;br&gt;{@link IntResult#getResult()} {@link LDWLKASt}&lt;br&gt;
 * 返回结果码 {@link IntResult#getCode()} {@link com.zone.api.vehicle.common.result.ResultCode}
 */
 default void onLdwLkaChanged(IntResult result) {
 }
</v>
      </c>
      <c r="S77" s="125" t="inlineStr">
        <is>
          <r>
            <t>@谢一鸣</t>
          </r>
        </is>
      </c>
      <c r="T77" s="26" t="str">
        <v>Y</v>
      </c>
      <c r="U77" s="27">
        <v>4.23</v>
      </c>
      <c r="V77" s="75" t="str">
        <v>Y</v>
      </c>
      <c r="Y77" s="18" t="str">
        <v>Y</v>
      </c>
      <c r="AD77" s="125" t="str">
        <v>Pass</v>
      </c>
    </row>
    <row r="78" spans="1:32">
      <c r="A78" s="15" t="str">
        <v>智驾</v>
      </c>
      <c r="B78" s="45" t="str">
        <v>车道偏离辅助</v>
      </c>
      <c r="C78" s="15" t="str">
        <v>adsd_0023</v>
      </c>
      <c r="F78" s="15" t="str">
        <v>车道偏离预警灵敏度设置</v>
      </c>
      <c r="G78" s="15" t="str">
        <v>低频变化</v>
      </c>
      <c r="H78" s="15" t="str">
        <v>states</v>
      </c>
      <c r="I78" s="15" t="str">
        <v>状态</v>
      </c>
      <c r="J78" s="18" t="str">
        <v>enum</v>
      </c>
      <c r="K78" s="15" t="inlineStr">
        <is>
          <r>
            <rPr>
              <sz val="10"/>
              <color rgb="FF1F2329"/>
              <rFont val="Arial"/>
            </rPr>
            <t>低，中，高，</t>
          </r>
          <r>
            <rPr>
              <sz val="10"/>
              <color rgb="FFF54A45"/>
              <rFont val="Arial"/>
            </rPr>
            <t>较早，适中，稍晚</t>
          </r>
        </is>
      </c>
      <c r="N78" s="15" t="str">
        <v>Y</v>
      </c>
      <c r="O78" s="36" t="str">
        <v>Y</v>
      </c>
      <c r="P78" s="37" t="str">
        <v>Y</v>
      </c>
      <c r="Q78" s="36" t="str">
        <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v>
      </c>
      <c r="S78" s="125" t="inlineStr">
        <is>
          <r>
            <t>@谢一鸣</t>
          </r>
        </is>
      </c>
      <c r="T78" s="26" t="str">
        <v>Y</v>
      </c>
      <c r="U78" s="27">
        <v>4.23</v>
      </c>
      <c r="V78" s="75" t="str">
        <v>Y</v>
      </c>
      <c r="Y78" s="18" t="str">
        <v>Y</v>
      </c>
      <c r="AD78" s="124" t="str">
        <v>Fail</v>
      </c>
      <c r="AE78" s="18" t="str">
        <v>319的较早和稍晚是反的</v>
      </c>
      <c r="AF78" s="128" t="str">
        <v>https://meego.larkoffice.com/telematics/issue/detail/7356051143</v>
      </c>
    </row>
    <row r="79" spans="1:32">
      <c r="A79" s="15" t="str">
        <v>智驾</v>
      </c>
      <c r="B79" s="45" t="str">
        <v>车道偏离辅助</v>
      </c>
      <c r="C79" s="15" t="str">
        <v>adsd_0024</v>
      </c>
      <c r="F79" s="15" t="str">
        <v>警示方式</v>
      </c>
      <c r="G79" s="15" t="str">
        <v>低频变化</v>
      </c>
      <c r="H79" s="15" t="str">
        <v>switch</v>
      </c>
      <c r="I79" s="15" t="str">
        <v>模式选项</v>
      </c>
      <c r="J79" s="18" t="str">
        <v>enum</v>
      </c>
      <c r="K79" s="93" t="str">
        <v>关闭，声音，振动，声音+振动</v>
      </c>
      <c r="N79" s="15" t="str">
        <v>Y</v>
      </c>
      <c r="O79" s="36" t="str">
        <v>Y</v>
      </c>
      <c r="P79" s="37" t="str">
        <v>Y</v>
      </c>
      <c r="Q79" s="36" t="str">
        <v>
 /**
 * 车道偏离声音提醒状态获取
 * PermissionRequest(permissions = { zone.permission.vehicle.DEVICE_GET })
 * @param result {@link IntResult#getResult()} {@link SwitchStatus}
 * @return {@link ResultCode}
 */
 @ResultCode
 int getLdwAdoWrnngSts(@NonNull IntResult result);
 /**
 * 车道偏离声音提醒状态设置
 * PermissionRequest(permissions = { zone.permission.vehicle.ADS_SET })
 * @param status :开关状态 {@link SwitchStatus}
 * @return {@link ResultCode}
 */
 @ResultCode
 int setLdwAdoWrnngSts(@NonNull SwitchStatus status);
 /**
 * 车道偏离声音提醒状态更新通知
 *
 * @param result &lt;br&gt;{@link IntResult#getResult()} {@link SwitchStatus}&lt;br&gt;
 * 返回结果码 {@link IntResult#getCode()} {@link com.zone.api.vehicle.common.result.ResultCode}
 */
 default void onLdwAdoWrnngStsChanged(IntResult result) {
 }
 /**
 * 车道偏离方向振动状态获取
 * PermissionRequest(permissions = { zone.permission.vehicle.DEVICE_GET })
 * @param result {@link IntResult#getResult()} {@link SwitchStatus}
 * @return {@link ResultCode}
 */
 @ResultCode
 int getLdwLkaHptWrnngSts(@NonNull IntResult result);
 /**
 * 车道偏离方向振动状态设置
 * PermissionRequest(permissions = { zone.permission.vehicle.ADS_SET })
 * @param status :开关状态 {@link SwitchStatus}
 * @return {@link ResultCode}
 */
 @ResultCode
 int setLdwLkaHptWrnngSts(@NonNull SwitchStatus status);
 /**
 * 车道偏离方向振动状态更新通知
 *
 * @param result &lt;br&gt;{@link IntResult#getResult()} {@link SwitchStatus}&lt;br&gt;
 * 返回结果码 {@link IntResult#getCode()} {@link com.zone.api.vehicle.common.result.ResultCode}
 */
 default void onLdwLkaHptWrnngStsChanged(IntResult result) {
 }</v>
      </c>
      <c r="S79" s="125" t="inlineStr">
        <is>
          <r>
            <t>@谢一鸣</t>
          </r>
        </is>
      </c>
      <c r="T79" s="26" t="str">
        <v>Y</v>
      </c>
      <c r="U79" s="27">
        <v>4.23</v>
      </c>
      <c r="V79" s="75" t="str">
        <v>Y</v>
      </c>
      <c r="Y79" s="18" t="str">
        <v>Y</v>
      </c>
      <c r="AD79" s="124" t="str">
        <v>Fail</v>
      </c>
      <c r="AE79" s="18" t="str">
        <v>上报有两个字段，且数据不对</v>
      </c>
      <c r="AF79" s="128" t="str">
        <v>https://meego.larkoffice.com/telematics/issue/detail/7356070138</v>
      </c>
    </row>
    <row r="80" spans="1:30">
      <c r="A80" s="15" t="str">
        <v>智驾</v>
      </c>
      <c r="B80" s="15" t="str">
        <v>紧急车道保持（ELK）</v>
      </c>
      <c r="C80" s="15" t="str">
        <v>adsd_0025</v>
      </c>
      <c r="F80" s="15" t="str">
        <v>紧急车道保持（ELK）开关</v>
      </c>
      <c r="G80" s="15" t="str">
        <v>低频变化</v>
      </c>
      <c r="H80" s="15" t="str">
        <v>switch</v>
      </c>
      <c r="I80" s="15" t="str">
        <v>开关</v>
      </c>
      <c r="J80" s="18" t="str">
        <v>enum</v>
      </c>
      <c r="K80" s="15" t="str">
        <v>on，off</v>
      </c>
      <c r="N80" s="15" t="str">
        <v>Y</v>
      </c>
      <c r="O80" s="36" t="str">
        <v>Y</v>
      </c>
      <c r="P80" s="37" t="str">
        <v>Y</v>
      </c>
      <c r="Q80" s="36" t="str">
        <v> /**
 * 紧急车道辅助开关设置
 * PermissionRequest(permissions = { zone.permission.vehicle.ADS_SET }) 
 * @param status : 开关状态 {@link SwitchStatus}
 *
 * @return {@link ResultCode}
 */
 @ResultCode
 int setElkStatus(@NonNull SwitchStatus status);
 /**
 * 紧急车道辅助开关状态获取
 * PermissionRequest(permissions = { zone.permission.vehicle.DEVICE_GET })
 * @param result : 结果 {@link IntResult}{@link SwitchStatus}
 *
 * @return {@link ResultCode}
 */
 @ResultCode
 int getElkStatus(@NonNull IntResult result);
 /**
 * 紧急车道辅助开关状态更新通知
 *
 * @param result &lt;br&gt;{@link IntResult#getResult()} : @link SwitchStatus&lt;br&gt;
 * 返回结果码 {@link IntResult#getCode()} {@link com.zone.api.vehicle.common.result.ResultCode}
 */
 default void onElkStatusChanged(@NonNull IntResult result) {
 }</v>
      </c>
      <c r="S80" s="125" t="inlineStr">
        <is>
          <r>
            <t>@谢一鸣</t>
          </r>
        </is>
      </c>
      <c r="T80" s="26" t="str">
        <v>Y</v>
      </c>
      <c r="U80" s="27">
        <v>4.23</v>
      </c>
      <c r="V80" s="75" t="str">
        <v>Y</v>
      </c>
      <c r="Y80" s="18" t="str">
        <v>Y</v>
      </c>
      <c r="AD80" s="125" t="str">
        <v>Pass</v>
      </c>
    </row>
    <row r="81" spans="1:30">
      <c r="A81" s="15" t="str">
        <v>智驾</v>
      </c>
      <c r="B81" s="15" t="str">
        <v>语音控制智驾</v>
      </c>
      <c r="C81" s="15" t="str">
        <v>adsd_0026</v>
      </c>
      <c r="F81" s="15" t="str">
        <v>语音控制智驾开关</v>
      </c>
      <c r="G81" s="15" t="str">
        <v>低频变化</v>
      </c>
      <c r="H81" s="15" t="str">
        <v>switch</v>
      </c>
      <c r="I81" s="15" t="str">
        <v>开关</v>
      </c>
      <c r="J81" s="18" t="str">
        <v>enum</v>
      </c>
      <c r="K81" s="15" t="str">
        <v>on，off</v>
      </c>
      <c r="N81" s="15" t="str">
        <v>Y</v>
      </c>
      <c r="O81" s="36" t="str">
        <v>Y</v>
      </c>
      <c r="P81" s="37" t="str">
        <v>Y</v>
      </c>
      <c r="Q81" s="36" t="str">
        <v> /**
 * ACC语音控制开关获取
 * PermissionRequest(permissions = { zone.permission.vehicle.DEVICE_GET })
 * @param result {@link IntResult#getResult()} {@link SwitchStatus}
 * @return {@link ResultCode}
 */
 @ResultCode
 int getCCSpdlVcCmdSwSt(@NonNull IntResult result);
 /**
 * ACC语音控制开关设置
 * PermissionRequest(permissions = { zone.permission.vehicle.ADS_SET }) 
 * @param status :开关状态{@link SwitchStatus}
 * @return {@link ResultCode}
 */
 @ResultCode
 int setCCSpdlVcCmdSwSt(@NonNull SwitchStatus status);
 /**
 * ACC语音控制开关更新通知
 *
 * @param result &lt;br&gt; {@link IntResult#getResult()} {@link SwitchStatus}&lt;br&gt;
 * 返回结果码 {@link IntResult#getCode()} {@link com.zone.api.vehicle.common.result.ResultCode}
 */
 default void onCcSpdlVcCmdSwStChanged(IntResult result) {
 }</v>
      </c>
      <c r="S81" s="125" t="inlineStr">
        <is>
          <r>
            <t>@谢一鸣</t>
          </r>
        </is>
      </c>
      <c r="T81" s="26" t="str">
        <v>Y</v>
      </c>
      <c r="U81" s="27">
        <v>4.23</v>
      </c>
      <c r="V81" s="75" t="str">
        <v>Y</v>
      </c>
      <c r="Y81" s="18" t="str">
        <v>Y</v>
      </c>
      <c r="AD81" s="125" t="str">
        <v>Pass</v>
      </c>
    </row>
    <row r="82" spans="1:23">
      <c r="A82" s="15" t="str">
        <v>智驾</v>
      </c>
      <c r="B82" s="15" t="str">
        <v>导航驾驶辅助</v>
      </c>
      <c r="C82" s="15" t="str">
        <v>adsd_0027</v>
      </c>
      <c r="F82" s="15" t="str">
        <v>导航驾驶辅助</v>
      </c>
      <c r="G82" s="15" t="str">
        <v>低频变化</v>
      </c>
      <c r="H82" s="15" t="str">
        <v>switch</v>
      </c>
      <c r="I82" s="15" t="str">
        <v>开关</v>
      </c>
      <c r="J82" s="18" t="str">
        <v>enum</v>
      </c>
      <c r="K82" s="15" t="str">
        <v>on，off</v>
      </c>
      <c r="N82" s="45" t="str">
        <v>N</v>
      </c>
      <c r="O82" s="36" t="str">
        <v>Y</v>
      </c>
      <c r="P82" s="37" t="str">
        <v>Y</v>
      </c>
      <c r="Q82" s="36" t="str">
        <v> 
 public @interface PilotTotalSwitchType {} 
/** INTELLIGENT_NAVIGATION_ASSIST = 5 ：智能领航辅助HNP总开关*/
 int INTELLIGENT_NAVIGATION_ASSIST = 5; // 智能领航辅助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/**
 * 智驾总开关的状态更新通知
 *
 * @param switchType :总开关类别 {@link PilotTotalSwitchType}
 * @param result &lt;br&gt;{@link IntResult#getResult()} {@link PilotTotalSwitchStatus}&lt;br&gt;
 * 返回结果码 {@link IntResult#getCode()} {@link com.zone.api.vehicle.common.result.ResultCode}
 */
 default void onPilotTotalSwitchChanged(@PilotTotalSwitchType int switchType,
 IntResult result) {
 }</v>
      </c>
      <c r="S82" s="125" t="inlineStr">
        <is>
          <r>
            <t>@谢一鸣</t>
          </r>
        </is>
      </c>
      <c r="T82" s="26" t="str">
        <v>N</v>
      </c>
      <c r="U82" s="16">
        <v>4.23</v>
      </c>
      <c r="V82" s="4" t="str">
        <v>已开发，上汽反馈已无此开关</v>
      </c>
      <c r="W82" s="45" t="str">
        <v>0526：未收到导航辅助这个类别的回调 ==》06.14：上汽工程师毛富龙反馈没有这个开关了</v>
      </c>
    </row>
    <row r="83" spans="1:31">
      <c r="A83" s="15" t="str">
        <v>智驾</v>
      </c>
      <c r="B83" s="15" t="str">
        <v>导航驾驶辅助</v>
      </c>
      <c r="C83" s="15" t="str">
        <v>adsd_0028</v>
      </c>
      <c r="F83" s="15" t="str">
        <v>自动变道确认</v>
      </c>
      <c r="G83" s="15" t="str">
        <v>低频变化</v>
      </c>
      <c r="H83" s="15" t="str">
        <v>switch</v>
      </c>
      <c r="I83" s="15" t="str">
        <v>开关</v>
      </c>
      <c r="J83" s="18" t="str">
        <v>enum</v>
      </c>
      <c r="K83" s="15" t="str">
        <v>on，off</v>
      </c>
      <c r="N83" s="15" t="str">
        <v>Y</v>
      </c>
      <c r="O83" s="36" t="str">
        <v>Y</v>
      </c>
      <c r="P83" s="37" t="str">
        <v>Y</v>
      </c>
      <c r="Q83" s="36" t="str">
        <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v>
      </c>
      <c r="S83" s="125" t="inlineStr">
        <is>
          <r>
            <t>@谢一鸣</t>
          </r>
        </is>
      </c>
      <c r="T83" s="26" t="str">
        <v>Y</v>
      </c>
      <c r="U83" s="27">
        <v>4.23</v>
      </c>
      <c r="V83" s="75" t="str">
        <v>Y</v>
      </c>
      <c r="Y83" s="15" t="str">
        <v>Y</v>
      </c>
      <c r="AD83" s="15" t="str">
        <v>Block</v>
      </c>
      <c r="AE83" s="18" t="str">
        <v>找不到按钮</v>
      </c>
    </row>
    <row r="84" spans="1:23">
      <c r="A84" s="15" t="str">
        <v>智驾</v>
      </c>
      <c r="B84" s="15" t="str">
        <v>导航驾驶辅助</v>
      </c>
      <c r="C84" s="15" t="str">
        <v>adsd_0029</v>
      </c>
      <c r="F84" s="25" t="str">
        <v>车道巡航辅助</v>
      </c>
      <c r="G84" s="15" t="str">
        <v>低频变化</v>
      </c>
      <c r="H84" s="15" t="str">
        <v>switch</v>
      </c>
      <c r="I84" s="15" t="str">
        <v>开关</v>
      </c>
      <c r="J84" s="18" t="str">
        <v>enum</v>
      </c>
      <c r="K84" s="15" t="str">
        <v>on，off</v>
      </c>
      <c r="N84" s="45" t="str">
        <v>N</v>
      </c>
      <c r="O84" s="36" t="str">
        <v>Y</v>
      </c>
      <c r="P84" s="37" t="str">
        <v>Y</v>
      </c>
      <c r="Q84" s="36" t="str">
        <v> /**
 * 智能巡航辅助,轻松驾驶状态取得
 *
 * @param result {@link IntResult#getResult()} {@link ACCTJAMdSwSt}
 * @return {@link ResultCode}
 */
 @ResultCode
 int getAccTjaMdSwSt(@NonNull IntResult result);
 /**
 * 智能巡航辅助,轻松驾驶状态设置
 * PermissionRequest(permissions = { zone.permission.vehicle.ADS_SET })
 * @param status :状态{@link ACCTJAMdSwSt}
 * @return {@link ResultCode}
 */
 @ResultCode
 int setAccTjaMdSwSt(@ACCTJAMdSwSt int status);
 /**
 * 智能巡航辅助,轻松驾驶状态更新通知
 *
 * @param result &lt;br&gt;{@link IntResult#getResult()} {@link ACCTJAMdSwSt}&lt;br&gt;
 * 返回结果码 {@link IntResult#getCode()} {@link com.zone.api.vehicle.common.result.ResultCode}
 */
 default void onAccTjaMdSwStChanged(IntResult result) {
 }</v>
      </c>
      <c r="S84" s="125" t="inlineStr">
        <is>
          <r>
            <t>@谢一鸣</t>
          </r>
        </is>
      </c>
      <c r="T84" s="26" t="str">
        <v>N</v>
      </c>
      <c r="U84" s="16">
        <v>4.23</v>
      </c>
      <c r="V84" s="4" t="str">
        <v>已开发，上汽反馈已无此开关</v>
      </c>
      <c r="W84" s="45" t="str">
        <v>05.26：未收到回调 =》06.14:还是未收到回调（上汽工程师毛富龙反馈没有这个开关了）</v>
      </c>
    </row>
    <row r="85" spans="1:23">
      <c r="A85" s="15" t="str">
        <v>智驾</v>
      </c>
      <c r="B85" s="15" t="str">
        <v>导航驾驶辅助</v>
      </c>
      <c r="C85" s="15" t="str">
        <v>adsd_0030</v>
      </c>
      <c r="F85" s="25" t="str">
        <v>智慧躲闪</v>
      </c>
      <c r="G85" s="15" t="str">
        <v>低频变化</v>
      </c>
      <c r="H85" s="15" t="str">
        <v>switch</v>
      </c>
      <c r="I85" s="15" t="str">
        <v>开关</v>
      </c>
      <c r="J85" s="18" t="str">
        <v>enum</v>
      </c>
      <c r="K85" s="15" t="str">
        <v>on，off</v>
      </c>
      <c r="N85" s="15" t="str">
        <v>Y</v>
      </c>
      <c r="O85" s="36" t="str">
        <v>Y</v>
      </c>
      <c r="P85" s="37" t="str">
        <v>Y</v>
      </c>
      <c r="Q85" s="36" t="str">
        <v> /**
 * 智慧躲闪状态获取
 * PermissionRequest(permissions = { zone.permission.vehicle.DEVICE_GET })
 * @param result {@link IntResult#getResult()} {@link SwitchStatus}
 * @return {@link ResultCode}
 */
 @ResultCode
 int getILCSwSt(@NonNull IntResult result);
 /**
 * 智慧躲闪状态设置
 * PermissionRequest(permissions = { zone.permission.vehicle.ADS_SET }) 
 * @param status : {@link SwitchStatus}
 * @return {@link ResultCode}
 */
 @ResultCode
 int setILCSwSt(@NonNull SwitchStatus status);
 /**
 * 智慧躲闪状态更新通知
 *
 * @param result &lt;br&gt;{@link IntResult#getResult()} {@link SwitchStatus}&lt;br&gt;
 * 返回结果码 {@link IntResult#getCode()} {@link com.zone.api.vehicle.common.result.ResultCode}
 */
 default void onIlcSwStChanged(IntResult result) {
 }</v>
      </c>
      <c r="S85" s="125" t="inlineStr">
        <is>
          <r>
            <t>@谢一鸣</t>
          </r>
        </is>
      </c>
      <c r="T85" s="26" t="str">
        <v>N</v>
      </c>
      <c r="U85" s="16">
        <v>4.24</v>
      </c>
      <c r="V85" s="4" t="str">
        <v>已开发，上汽反馈已无此开关</v>
      </c>
      <c r="W85" s="142" t="str">
        <v>05.26：未收到回调 ==》06.14：上汽毛富龙反馈部分（高中低配）车才有这个开关 ==》07.01：已提Jira票 http://jira.z-onesoftware.com:8080/browse/DNA-2722
0707 让张淳拉群，待上毛富龙，对齐一下</v>
      </c>
    </row>
    <row r="86" spans="1:23">
      <c r="A86" s="15" t="str">
        <v>智驾</v>
      </c>
      <c r="B86" s="15" t="str">
        <v>导航驾驶辅助</v>
      </c>
      <c r="C86" s="15" t="str">
        <v>adsd_0031</v>
      </c>
      <c r="F86" s="15" t="str">
        <v>智能速度辅助</v>
      </c>
      <c r="G86" s="15" t="str">
        <v>低频变化</v>
      </c>
      <c r="H86" s="15" t="str">
        <v>switch</v>
      </c>
      <c r="I86" s="15" t="str">
        <v>开关</v>
      </c>
      <c r="J86" s="18" t="str">
        <v>enum</v>
      </c>
      <c r="K86" s="15" t="str">
        <v>关闭，报警，报警和限速</v>
      </c>
      <c r="N86" s="45" t="str">
        <v>N</v>
      </c>
      <c r="O86" s="36" t="str">
        <v>Y</v>
      </c>
      <c r="P86" s="37" t="str">
        <v>Y</v>
      </c>
      <c r="Q86" s="36" t="str">
        <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v>
      </c>
      <c r="S86" s="125" t="inlineStr">
        <is>
          <r>
            <t>@谢一鸣</t>
          </r>
        </is>
      </c>
      <c r="T86" s="26" t="str">
        <v>N</v>
      </c>
      <c r="U86" s="16">
        <v>4.24</v>
      </c>
      <c r="V86" s="15" t="str">
        <v>已开发，待验证</v>
      </c>
      <c r="W86" s="45" t="str">
        <v>05.26：实际回调只有开和关闭两种状态，没有报警和限速 =》06.14：上汽毛富龙反馈没有【报警和限速】</v>
      </c>
    </row>
    <row r="87" spans="1:31">
      <c r="A87" s="15" t="str">
        <v>智驾</v>
      </c>
      <c r="B87" s="15" t="str">
        <v>导航驾驶辅助</v>
      </c>
      <c r="C87" s="15" t="str">
        <v>adsd_0033</v>
      </c>
      <c r="F87" s="15" t="str">
        <v>变道舒适性</v>
      </c>
      <c r="G87" s="15" t="str">
        <v>低频变化</v>
      </c>
      <c r="H87" s="26" t="str">
        <v>switch</v>
      </c>
      <c r="I87" s="15" t="str">
        <v>模式选项</v>
      </c>
      <c r="J87" s="18" t="str">
        <v>enum</v>
      </c>
      <c r="K87" s="15" t="str">
        <v>柔和，标准，敏捷</v>
      </c>
      <c r="N87" s="15" t="str">
        <v>Y</v>
      </c>
      <c r="O87" s="36" t="str">
        <v>Y</v>
      </c>
      <c r="P87" s="37" t="str">
        <v>Y</v>
      </c>
      <c r="Q87" s="36" t="str">
        <v> /**
 * 智驾风格设置
 * PermissionRequest(permissions = { zone.permission.vehicle.ADS_SET })
 * @param mode : 模式设置 {@link AiPilotDrvMdlSts}
 *
 * @return {@link ResultCode}
 */
 @ResultCode
 int setAiPilotDrvMdlS(@AiPilotDrvMdlSts int mode);
 /**
 * 智驾风格获取
 * PermissionRequest(permissions = { zone.permission.vehicle.DEVICE_GET })
 * @param result : 结果 {@link IntResult}{@link AiPilotDrvMdlSts}
 *
 * @return {@link ResultCode}
 */
 @ResultCode
 int getAiPilotDrvMdlS(@NonNull IntResult result);
 /**
 * 智驾风格更新通知
 *
 * @param result &lt;br&gt;{@link IntResult#getResult()} : {@link AiPilotDrvMdlSts}&lt;br&gt;
 * 返回结果码 {@link IntResult#getCode()} {@link com.zone.api.vehicle.common.result.ResultCode}
 */
 default void onAiPilotDrvMdlChanged(@NonNull IntResult result) {
 }</v>
      </c>
      <c r="S87" s="125" t="inlineStr">
        <is>
          <r>
            <t>@谢一鸣</t>
          </r>
        </is>
      </c>
      <c r="T87" s="72" t="str">
        <v>Y</v>
      </c>
      <c r="U87" s="19">
        <v>4.24</v>
      </c>
      <c r="V87" s="46" t="str">
        <v>Y</v>
      </c>
      <c r="W87" s="86" t="str">
        <v>06.14：上汽没有变道舒适性</v>
      </c>
      <c r="Y87" s="15" t="str">
        <v>B</v>
      </c>
      <c r="AD87" s="15" t="str">
        <v>Block</v>
      </c>
      <c r="AE87" s="18" t="str">
        <v>未找到相关设置</v>
      </c>
    </row>
    <row r="88" spans="1:31">
      <c r="A88" s="15" t="str">
        <v>智驾</v>
      </c>
      <c r="B88" s="15" t="str">
        <v>导航驾驶辅助</v>
      </c>
      <c r="C88" s="15" t="str">
        <v>adsd_0034</v>
      </c>
      <c r="F88" s="15" t="str">
        <v>碰撞预警时机</v>
      </c>
      <c r="G88" s="15" t="str">
        <v>低频变化</v>
      </c>
      <c r="H88" s="26" t="str">
        <v>switch</v>
      </c>
      <c r="I88" s="15" t="str">
        <v>模式选项</v>
      </c>
      <c r="J88" s="18" t="str">
        <v>enum</v>
      </c>
      <c r="K88" s="15" t="str">
        <v>较早，适中，稍晚</v>
      </c>
      <c r="N88" s="15" t="str">
        <v>Y</v>
      </c>
      <c r="O88" s="36" t="str">
        <v>Y</v>
      </c>
      <c r="P88" s="37" t="str">
        <v>Y</v>
      </c>
      <c r="Q88" s="36" t="str">
        <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v>
      </c>
      <c r="S88" s="143" t="inlineStr">
        <is>
          <r>
            <t>@谢一鸣</t>
          </r>
        </is>
      </c>
      <c r="T88" s="15" t="str">
        <v>N</v>
      </c>
      <c r="U88" s="16">
        <v>4.24</v>
      </c>
      <c r="V88" s="15" t="str">
        <v>Y</v>
      </c>
      <c r="W88" s="99" t="str">
        <v>05.26：接口给的是车道偏离预警时机，无碰撞预警时机</v>
      </c>
      <c r="Y88" s="15" t="str">
        <v>B</v>
      </c>
      <c r="AD88" s="15" t="str">
        <v>Block</v>
      </c>
      <c r="AE88" s="18" t="str">
        <v>没有该功能</v>
      </c>
    </row>
    <row r="89" spans="1:30">
      <c r="A89" s="15" t="str">
        <v>智驾</v>
      </c>
      <c r="B89" s="15" t="str">
        <v>导航驾驶辅助</v>
      </c>
      <c r="C89" s="15" t="str">
        <v>adsd_0035</v>
      </c>
      <c r="F89" s="15" t="str">
        <v>变道时危险预警</v>
      </c>
      <c r="G89" s="15" t="str">
        <v>低频变化</v>
      </c>
      <c r="H89" s="26" t="str">
        <v>switch</v>
      </c>
      <c r="I89" s="15" t="str">
        <v>开关</v>
      </c>
      <c r="J89" s="18" t="str">
        <v>enum</v>
      </c>
      <c r="K89" s="15" t="str">
        <v>打开，关闭</v>
      </c>
      <c r="N89" s="15" t="str">
        <v>Y</v>
      </c>
      <c r="O89" s="36" t="str">
        <v>Y</v>
      </c>
      <c r="P89" s="37" t="str">
        <v>Y</v>
      </c>
      <c r="Q89" s="36" t="str">
        <v> /**
 * 变道时危险警示LCA状态获取
 * PermissionRequest(permissions = { zone.permission.vehicle.DEVICE_GET })
 * @param result {@link IntResult#getResult()} {@link SwitchStatus}
 * @return {@link ResultCode}
 */
 @ResultCode
 int getLcaSelSts(@NonNull IntResult result);
 /**
 * 变道时危险警示LCA状态设置
 * PermissionRequest(permissions = { zone.permission.vehicle.ADS_SET })
 * @param status :开关状态 {@link SwitchStatus}
 * @return {@link ResultCode}
 */
 @ResultCode
 int setLcaSelSts(@NonNull SwitchStatus status);
 /**
 * 变道时危险警示LCA状态更新通知
 *
 * @param result &lt;br&gt;{@link IntResult#getResult()} {@link SwitchStatus}&lt;br&gt;
 * 返回结果码 {@link IntResult#getCode()} {@link com.zone.api.vehicle.common.result.ResultCode}
 */
 default void onLcaSelStsChanged(IntResult result) {
 }</v>
      </c>
      <c r="S89" s="143" t="inlineStr">
        <is>
          <r>
            <t>@谢一鸣</t>
          </r>
        </is>
      </c>
      <c r="T89" s="15" t="str">
        <v>N</v>
      </c>
      <c r="U89" s="16">
        <v>4.24</v>
      </c>
      <c r="V89" s="15" t="str">
        <v>Y</v>
      </c>
      <c r="W89" s="100" t="str">
        <v>05.26:未收到回调</v>
      </c>
      <c r="Y89" s="15" t="str">
        <v>B</v>
      </c>
      <c r="AD89" s="15" t="str">
        <v>Pass</v>
      </c>
    </row>
    <row r="90" spans="1:30">
      <c r="A90" s="15" t="str">
        <v>智驾</v>
      </c>
      <c r="B90" s="45" t="str">
        <v>后方安全辅助</v>
      </c>
      <c r="C90" s="15" t="str">
        <v>adsd_0036</v>
      </c>
      <c r="F90" s="15" t="str">
        <v>后方横穿危险预警和紧急制动</v>
      </c>
      <c r="G90" s="15" t="str">
        <v>低频变化</v>
      </c>
      <c r="H90" s="26" t="str">
        <v>switch</v>
      </c>
      <c r="I90" s="15" t="str">
        <v>模式选项</v>
      </c>
      <c r="J90" s="18" t="str">
        <v>enum</v>
      </c>
      <c r="K90" s="15" t="str">
        <v>关闭，警示，警示+制动</v>
      </c>
      <c r="N90" s="15" t="str">
        <v>Y</v>
      </c>
      <c r="O90" s="36" t="str">
        <v>Y</v>
      </c>
      <c r="P90" s="37" t="str">
        <v>Y</v>
      </c>
      <c r="Q90" s="36" t="str">
        <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v>
      </c>
      <c r="R90" s="101" t="str">
        <v>Y</v>
      </c>
      <c r="S90" s="125" t="inlineStr">
        <is>
          <r>
            <t>@谢一鸣</t>
          </r>
        </is>
      </c>
      <c r="T90" s="26" t="str">
        <v>Y</v>
      </c>
      <c r="U90" s="27">
        <v>4.24</v>
      </c>
      <c r="V90" s="15" t="str">
        <v>Y</v>
      </c>
      <c r="Y90" s="15" t="str">
        <v>Y</v>
      </c>
      <c r="AD90" s="15" t="str">
        <v>Pass</v>
      </c>
    </row>
    <row r="91" spans="1:32">
      <c r="A91" s="15" t="str">
        <v>智驾</v>
      </c>
      <c r="B91" s="15" t="str">
        <v>导航驾驶辅助</v>
      </c>
      <c r="C91" s="15" t="str">
        <v>adsd_0037</v>
      </c>
      <c r="F91" s="15" t="str">
        <v>车道巡航辅助模式</v>
      </c>
      <c r="G91" s="15" t="str">
        <v>低频变化</v>
      </c>
      <c r="H91" s="26" t="str">
        <v>switch</v>
      </c>
      <c r="I91" s="15" t="str">
        <v>模式选项</v>
      </c>
      <c r="J91" s="18" t="str">
        <v>enum</v>
      </c>
      <c r="K91" s="15" t="inlineStr">
        <is>
          <r>
            <rPr>
              <sz val="10"/>
              <color rgb="FF1F2329"/>
              <rFont val="Arial"/>
            </rPr>
            <t>关闭，ACC，ICA</t>
          </r>
          <r>
            <rPr>
              <sz val="10"/>
              <color rgb="FFF54A45"/>
              <rFont val="Arial"/>
            </rPr>
            <t>，NOA</t>
          </r>
        </is>
      </c>
      <c r="N91" s="15" t="str">
        <v>Y</v>
      </c>
      <c r="O91" s="36" t="str">
        <v>Y</v>
      </c>
      <c r="P91" s="37" t="str">
        <v>Y</v>
      </c>
      <c r="Q91" s="36" t="str">
        <v> /**
 * 智驾模式选择设置
 * PermissionRequest(permissions = { zone.permission.vehicle.ADS_SET })
 * @param mode : 模式设置 {@link AiPilotMode}
 *
 * @return {@link ResultCode}
 */
 @ResultCode
 int setAiPilotMode(@AiPilotMode int mode);
 /**
 * 智驾模式选择获取
 * PermissionRequest(permissions = { zone.permission.vehicle.DEVICE_GET })
 * @param result : 结果 {@link IntResult}{@link AiPilotMode}
 *
 * @return {@link ResultCode}
 */
 @ResultCode
 int getAiPilotMode(@NonNull IntResult result);
 /**
 * 智驾模式选择更新通知
 *
 * @param result &lt;br&gt;{@link IntResult#getResult()} : {@link AiPilotMode}&lt;br&gt;
 * 返回结果码 {@link IntResult#getCode()} {@link com.zone.api.vehicle.common.result.ResultCode}
 */
 default void onAiPilotModeChanged(@NonNull IntResult result) {
 }</v>
      </c>
      <c r="S91" s="125" t="inlineStr">
        <is>
          <r>
            <t>@谢一鸣</t>
          </r>
        </is>
      </c>
      <c r="T91" s="26" t="str">
        <v>Y</v>
      </c>
      <c r="U91" s="16">
        <v>4.24</v>
      </c>
      <c r="V91" s="15" t="str">
        <v>Y</v>
      </c>
      <c r="W91" s="96" t="str">
        <v>05.26：无关闭按钮（只有ACC，ICA，NOA）</v>
      </c>
      <c r="Y91" s="15" t="str">
        <v>B</v>
      </c>
      <c r="AD91" s="15" t="str">
        <v>Fail</v>
      </c>
      <c r="AE91" s="18" t="str">
        <v>上传参数错误</v>
      </c>
      <c r="AF91" s="128" t="str">
        <v>https://meego.larkoffice.com/telematics/issue/detail/7356094669</v>
      </c>
    </row>
    <row r="92" spans="1:32">
      <c r="A92" s="15" t="str">
        <v>智驾</v>
      </c>
      <c r="B92" s="15" t="str">
        <v>导航驾驶辅助</v>
      </c>
      <c r="C92" s="15" t="str">
        <v>adsd_0038</v>
      </c>
      <c r="F92" s="15" t="str">
        <v>限速辅助</v>
      </c>
      <c r="G92" s="15" t="str">
        <v>低频变化</v>
      </c>
      <c r="H92" s="26" t="str">
        <v>switch</v>
      </c>
      <c r="I92" s="15" t="str">
        <v>模式选项</v>
      </c>
      <c r="J92" s="18" t="str">
        <v>enum</v>
      </c>
      <c r="K92" s="15" t="str">
        <v>关闭，手动，智能</v>
      </c>
      <c r="N92" s="15" t="str">
        <v>Y</v>
      </c>
      <c r="O92" s="36" t="str">
        <v>Y</v>
      </c>
      <c r="P92" s="37" t="str">
        <v>Y</v>
      </c>
      <c r="Q92" s="36" t="str">
        <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v>
      </c>
      <c r="S92" s="125" t="inlineStr">
        <is>
          <r>
            <t>@谢一鸣</t>
          </r>
        </is>
      </c>
      <c r="T92" s="26" t="str">
        <v>Y</v>
      </c>
      <c r="U92" s="27">
        <v>4.24</v>
      </c>
      <c r="V92" s="15" t="str">
        <v>Y</v>
      </c>
      <c r="Y92" s="15" t="str">
        <v>N</v>
      </c>
      <c r="AA92" s="15" t="str">
        <v>上汽问题</v>
      </c>
      <c r="AD92" s="15" t="str">
        <v>Fail</v>
      </c>
      <c r="AE92" s="18" t="str">
        <v>上传参数错误</v>
      </c>
      <c r="AF92" s="128" t="str">
        <v>https://meego.larkoffice.com/telematics/issue/detail/7356070703</v>
      </c>
    </row>
    <row r="93" spans="1:32">
      <c r="A93" s="15" t="str">
        <v>智驾</v>
      </c>
      <c r="B93" s="45" t="str">
        <v>前方安全辅助</v>
      </c>
      <c r="C93" s="15" t="str">
        <v>adsd_0040</v>
      </c>
      <c r="F93" s="15" t="str">
        <v>前方安全辅助模式</v>
      </c>
      <c r="G93" s="15" t="str">
        <v>低频变化</v>
      </c>
      <c r="H93" s="26" t="str">
        <v>switch</v>
      </c>
      <c r="I93" s="15" t="str">
        <v>模式选项</v>
      </c>
      <c r="J93" s="18" t="str">
        <v>enum</v>
      </c>
      <c r="K93" s="15" t="str">
        <v>关闭，预警，预警+制动</v>
      </c>
      <c r="N93" s="15" t="str">
        <v>Y</v>
      </c>
      <c r="O93" s="36" t="str">
        <v>Y</v>
      </c>
      <c r="P93" s="37" t="str">
        <v>Y</v>
      </c>
      <c r="Q93" s="36" t="str">
        <v> @Target({ElementType.PARAMETER})
 @Retention(RetentionPolicy.SOURCE)
 public @interface PilotTotalSwitchType {
 /** FRONT_SECURITY_ASSIST = 0 : 前向安全辅助总开关*/
 int FRONT_SECURITY_ASSIST = 0; // 前向安全辅助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default void onPilotTotalSwitchChanged(@PilotTotalSwitchType int switchType,
 IntResult result) {
 }</v>
      </c>
      <c r="S93" s="143" t="inlineStr">
        <is>
          <r>
            <t>@谢一鸣</t>
          </r>
        </is>
      </c>
      <c r="T93" s="15" t="str">
        <v>Y</v>
      </c>
      <c r="U93" s="16">
        <v>4.24</v>
      </c>
      <c r="V93" s="15" t="str">
        <v>Y</v>
      </c>
      <c r="W93" s="109" t="inlineStr">
        <is>
          <r>
            <rPr>
              <strike/>
              <sz val="10"/>
              <color rgb="FF1F2329"/>
              <rFont val="Arial"/>
            </rPr>
            <t xml:space="preserve">4.24:相关问题已经反馈给上汽开发了 =》上汽需要我们给他们起票
</t>
          </r>
          <r>
            <rPr>
              <sz val="10"/>
              <color rgb="FFF54A45"/>
              <rFont val="Arial"/>
            </rPr>
            <t>05.26：接口只支持开启和关闭，无（关闭，预警，预警+制动）</t>
          </r>
        </is>
      </c>
      <c r="Y93" s="15" t="str">
        <v>B</v>
      </c>
      <c r="AD93" s="15" t="str">
        <v>Fail</v>
      </c>
      <c r="AE93" s="18" t="str">
        <v>上传参数错误</v>
      </c>
      <c r="AF93" s="128" t="str">
        <v>https://meego.larkoffice.com/telematics/issue/detail/7356046176</v>
      </c>
    </row>
    <row r="94" spans="1:30">
      <c r="A94" s="15" t="str">
        <v>车控功能</v>
      </c>
      <c r="B94" s="15" t="str">
        <v>驾驶</v>
      </c>
      <c r="C94" s="15" t="str">
        <v>vehicle_control_0003</v>
      </c>
      <c r="F94" s="15" t="str">
        <v>车辆行进状态</v>
      </c>
      <c r="G94" s="15" t="str">
        <v>低频变化</v>
      </c>
      <c r="H94" s="15" t="str">
        <v>switch</v>
      </c>
      <c r="I94" s="15" t="str">
        <v>模式选项</v>
      </c>
      <c r="J94" s="18" t="str">
        <v>enum</v>
      </c>
      <c r="K94" s="15" t="str">
        <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v>
      </c>
      <c r="M94" s="16">
        <v>1</v>
      </c>
      <c r="N94" s="15" t="str">
        <v>Y</v>
      </c>
      <c r="O94" s="36" t="str">
        <v>Y（驾驶模式）</v>
      </c>
      <c r="P94" s="37" t="str">
        <v>Y</v>
      </c>
      <c r="Q94" s="36" t="str">
        <v>int getDrivingMode(@NonNull IntResult result)
AdsCallbackFlag.DRIVING_MODE
onDrivingModeChanged</v>
      </c>
      <c r="S94" s="125" t="inlineStr">
        <is>
          <r>
            <t>@高宇新</t>
          </r>
        </is>
      </c>
      <c r="T94" s="26" t="str">
        <v>Y</v>
      </c>
      <c r="V94" s="15" t="str">
        <v>Y</v>
      </c>
      <c r="Y94" s="15" t="str">
        <v>Y</v>
      </c>
      <c r="AD94" s="15" t="str">
        <v>Pass</v>
      </c>
    </row>
    <row r="95" spans="1:30">
      <c r="A95" s="15" t="str">
        <v>车控功能</v>
      </c>
      <c r="C95" s="15" t="str">
        <v>vehicle_control_0003</v>
      </c>
      <c r="H95" s="15" t="str">
        <v>states</v>
      </c>
      <c r="I95" s="15" t="str">
        <v>状态</v>
      </c>
      <c r="J95" s="18" t="str">
        <v>enum</v>
      </c>
      <c r="K95" s="15" t="str">
        <v>D，P，R，N</v>
      </c>
      <c r="M95" s="16">
        <v>1</v>
      </c>
      <c r="N95" s="15" t="str">
        <v>Y</v>
      </c>
      <c r="O95" s="36" t="str">
        <v>Y</v>
      </c>
      <c r="P95" s="37" t="str">
        <v>Y</v>
      </c>
      <c r="Q95" s="36" t="str">
        <v>int getOrgGearInfo(@NonNull IntResult result)
VehicleCommonCallbackFlag.ORG_GEAR
onOrgGearInfoChanged</v>
      </c>
      <c r="S95" s="125" t="inlineStr">
        <is>
          <r>
            <t>@谢一鸣</t>
          </r>
        </is>
      </c>
      <c r="T95" s="26" t="str">
        <v>Y</v>
      </c>
      <c r="U95" s="16">
        <v>4.23</v>
      </c>
      <c r="V95" s="15" t="str">
        <v>Y </v>
      </c>
      <c r="Y95" s="15" t="str">
        <v>Y</v>
      </c>
      <c r="AD95" s="15" t="str">
        <v>Pass</v>
      </c>
    </row>
    <row r="96" spans="1:31">
      <c r="A96" s="15" t="str">
        <v>车控功能</v>
      </c>
      <c r="B96" s="15" t="str">
        <v>驾驶</v>
      </c>
      <c r="C96" s="15" t="str">
        <v>vehicle_control_0004</v>
      </c>
      <c r="F96" s="15" t="str">
        <v>车辆速度</v>
      </c>
      <c r="G96" s="15" t="str">
        <v>高频变化</v>
      </c>
      <c r="H96" s="15" t="str">
        <v>velocity</v>
      </c>
      <c r="I96" s="15" t="str">
        <v>速度</v>
      </c>
      <c r="J96" s="18" t="str">
        <v>str</v>
      </c>
      <c r="M96" s="16">
        <v>1</v>
      </c>
      <c r="N96" s="15" t="str">
        <v>Y</v>
      </c>
      <c r="O96" s="36" t="str">
        <v>Y</v>
      </c>
      <c r="P96" s="37" t="str">
        <v>Y</v>
      </c>
      <c r="Q96" s="36" t="str">
        <v>int getVehicleSpeed(@NonNull FloatResult result);
VehicleCommonCallbackFlag.SPEED
onVehicleSpeedChanged</v>
      </c>
      <c r="S96" s="125" t="inlineStr">
        <is>
          <r>
            <t>@田高琳</t>
          </r>
        </is>
      </c>
      <c r="T96" s="26" t="str">
        <v>Y</v>
      </c>
      <c r="U96" s="27">
        <v>4.22</v>
      </c>
      <c r="V96" s="126" t="str">
        <v>Y</v>
      </c>
      <c r="Y96" s="15" t="str">
        <v>Y</v>
      </c>
      <c r="AA96" s="15" t="str">
        <v>低速测试有数据变化，路测时在进行测试</v>
      </c>
      <c r="AD96" s="96" t="str">
        <v>Pass</v>
      </c>
      <c r="AE96" s="18" t="str">
        <v>@路测</v>
      </c>
    </row>
    <row r="97" spans="1:30">
      <c r="A97" s="15" t="str">
        <v>车控功能</v>
      </c>
      <c r="B97" s="15" t="str">
        <v>驾驶</v>
      </c>
      <c r="C97" s="15" t="str">
        <v>vehicle_control_0005</v>
      </c>
      <c r="D97" s="16">
        <v>3</v>
      </c>
      <c r="F97" s="15" t="str">
        <v>能量回收状态</v>
      </c>
      <c r="G97" s="15" t="str">
        <v>低频变化</v>
      </c>
      <c r="H97" s="15" t="str">
        <v>switch</v>
      </c>
      <c r="I97" s="15" t="str">
        <v>模式选项</v>
      </c>
      <c r="J97" s="18" t="str">
        <v>enum</v>
      </c>
      <c r="K97" s="93" t="str">
        <v>关闭，高，中，低， 自动</v>
      </c>
      <c r="M97" s="16">
        <v>1</v>
      </c>
      <c r="N97" s="15" t="str">
        <v>Y</v>
      </c>
      <c r="O97" s="36" t="str">
        <v>Y</v>
      </c>
      <c r="P97" s="37" t="str">
        <v>Y</v>
      </c>
      <c r="Q97" s="36" t="str">
        <v>int getEptRgtnLvl(@NonNull IntResult result) 
AdsCallbackFlag.PILOT_EPT_RGN_LEVEL
onEptRgtnLvlStatusChanged</v>
      </c>
      <c r="S97" s="125" t="inlineStr">
        <is>
          <r>
            <t>@谢一鸣</t>
          </r>
        </is>
      </c>
      <c r="T97" s="26" t="str">
        <v>Y</v>
      </c>
      <c r="U97" s="16">
        <v>4.23</v>
      </c>
      <c r="V97" s="15" t="str">
        <v>Y </v>
      </c>
      <c r="W97" s="15" t="str">
        <v>04.27 接口只有高中低</v>
      </c>
      <c r="Y97" s="15" t="str">
        <v>Y</v>
      </c>
      <c r="AD97" s="96" t="str">
        <v>Pass</v>
      </c>
    </row>
    <row r="98" spans="1:30">
      <c r="A98" s="15" t="str">
        <v>车控功能</v>
      </c>
      <c r="B98" s="15" t="str">
        <v>驾驶</v>
      </c>
      <c r="C98" s="15" t="str">
        <v>vehicle_control_0007</v>
      </c>
      <c r="F98" s="15" t="str">
        <v>悬架状态</v>
      </c>
      <c r="G98" s="15" t="str">
        <v>低频变化</v>
      </c>
      <c r="H98" s="15" t="str">
        <v>states</v>
      </c>
      <c r="I98" s="15" t="str">
        <v>状态</v>
      </c>
      <c r="J98" s="18" t="str">
        <v>enum</v>
      </c>
      <c r="K98" s="15" t="inlineStr">
        <is>
          <r>
            <rPr>
              <sz val="10"/>
              <color rgb="FF1F2329"/>
              <rFont val="Arial"/>
            </rPr>
            <t>高，中，低，</t>
          </r>
          <r>
            <rPr>
              <sz val="10"/>
              <color rgb="FFF54A45"/>
              <rFont val="Arial"/>
            </rPr>
            <t>高级，舒适，标准，运动</t>
          </r>
        </is>
      </c>
      <c r="N98" s="49" t="str">
        <v>Y</v>
      </c>
      <c r="O98" s="36" t="str">
        <v>N</v>
      </c>
      <c r="P98" s="37" t="str">
        <v>NA</v>
      </c>
      <c r="S98" s="125" t="inlineStr">
        <is>
          <r>
            <t>@谢一鸣</t>
          </r>
        </is>
      </c>
      <c r="T98" s="26" t="str">
        <v>Y</v>
      </c>
      <c r="U98" s="16">
        <v>4.24</v>
      </c>
      <c r="V98" s="15" t="str">
        <v>Y</v>
      </c>
      <c r="W98" s="45" t="inlineStr">
        <is>
          <r>
            <rPr>
              <sz val="10"/>
              <color rgb="FFF54A45"/>
              <rFont val="Arial"/>
            </rPr>
            <t xml:space="preserve">04.20：待两边产品澄清（两边产品定义不一致）
</t>
          </r>
          <r>
            <rPr>
              <sz val="10"/>
              <color rgb="FF1F2329"/>
              <rFont val="Arial"/>
            </rPr>
            <t xml:space="preserve"> 04.27 接口只有舒适、标准、运动 </t>
          </r>
        </is>
      </c>
      <c r="Y98" s="15" t="str">
        <v>Y</v>
      </c>
      <c r="AA98" s="96" t="str">
        <v>没找到页面操作的地方</v>
      </c>
      <c r="AD98" s="15" t="str">
        <v>Pass</v>
      </c>
    </row>
    <row r="99" spans="1:30">
      <c r="A99" s="15" t="str">
        <v>车控功能</v>
      </c>
      <c r="B99" s="15" t="str">
        <v>驾驶</v>
      </c>
      <c r="C99" s="15" t="str">
        <v>vehicle_control_0008</v>
      </c>
      <c r="F99" s="15" t="str">
        <v>轮胎状态</v>
      </c>
      <c r="G99" s="15" t="str">
        <v>低频变化</v>
      </c>
      <c r="H99" s="15" t="str">
        <v>pressure</v>
      </c>
      <c r="I99" s="15" t="str">
        <v>胎压</v>
      </c>
      <c r="J99" s="18" t="str">
        <v>str</v>
      </c>
      <c r="M99" s="16">
        <v>1</v>
      </c>
      <c r="N99" s="15" t="str">
        <v>Y</v>
      </c>
      <c r="O99" s="36" t="str">
        <v>Y</v>
      </c>
      <c r="P99" s="37" t="str">
        <v>Y</v>
      </c>
      <c r="Q99" s="36" t="str">
        <v> int getTirePressure(@TirePressurePos int pos, IntResult result);
VehicleCommonCallbackFlag.TIRE_PRESSURE
onTirePressureChanged(pos, value)</v>
      </c>
      <c r="S99" s="137" t="inlineStr">
        <is>
          <r>
            <t>@田高琳</t>
          </r>
        </is>
      </c>
      <c r="T99" s="72" t="str">
        <v>Y</v>
      </c>
      <c r="U99" s="23">
        <v>4.22</v>
      </c>
      <c r="V99" s="138" t="str">
        <v>Y</v>
      </c>
      <c r="Y99" s="15" t="str">
        <v>Y</v>
      </c>
      <c r="AD99" s="96" t="str">
        <v>Pass</v>
      </c>
    </row>
    <row r="100" spans="1:30">
      <c r="A100" s="15" t="str">
        <v>车控功能</v>
      </c>
      <c r="H100" s="15" t="str">
        <v>position</v>
      </c>
      <c r="I100" s="15" t="str">
        <v>位置</v>
      </c>
      <c r="J100" s="18" t="str">
        <v>enum</v>
      </c>
      <c r="K100" s="15" t="str">
        <v>左前，右前，左后，右后</v>
      </c>
      <c r="L100" s="24">
        <v>1</v>
      </c>
      <c r="M100" s="16">
        <v>1</v>
      </c>
      <c r="N100" s="15" t="str">
        <v>Y</v>
      </c>
      <c r="O100" s="36" t="str">
        <v>Y</v>
      </c>
      <c r="P100" s="37" t="str">
        <v>Y</v>
      </c>
      <c r="Q100" s="36" t="str">
        <v> int getTirePressure(@TirePressurePos int pos, IntResult result);
VehicleCommonCallbackFlag.TIRE_PRESSURE
onTirePressureChanged(pos, value)</v>
      </c>
      <c r="S100" s="140" t="inlineStr">
        <is>
          <r>
            <t>@田高琳</t>
          </r>
        </is>
      </c>
      <c r="T100" s="103" t="str">
        <v>Y</v>
      </c>
      <c r="U100" s="83">
        <v>4.22</v>
      </c>
      <c r="V100" s="141" t="str">
        <v>Y</v>
      </c>
      <c r="Y100" s="15" t="str">
        <v>Y</v>
      </c>
      <c r="AD100" s="96" t="str">
        <v>Pass</v>
      </c>
    </row>
    <row r="101" spans="1:31">
      <c r="A101" s="15" t="str">
        <v>车控功能</v>
      </c>
      <c r="B101" s="15" t="str">
        <v>充电</v>
      </c>
      <c r="C101" s="4" t="str">
        <v>vehicle_control_0009</v>
      </c>
      <c r="F101" s="15" t="str">
        <v>充电盖开关</v>
      </c>
      <c r="G101" s="15" t="str">
        <v>高频变化</v>
      </c>
      <c r="H101" s="15" t="str">
        <v>switch</v>
      </c>
      <c r="I101" s="15" t="str">
        <v>开关</v>
      </c>
      <c r="J101" s="18" t="str">
        <v>enum</v>
      </c>
      <c r="K101" s="15" t="str">
        <v>on，off</v>
      </c>
      <c r="M101" s="16">
        <v>1</v>
      </c>
      <c r="N101" s="15" t="str">
        <v>Y</v>
      </c>
      <c r="O101" s="36" t="str">
        <v>Y</v>
      </c>
      <c r="P101" s="37" t="str">
        <v>Y</v>
      </c>
      <c r="Q101" s="53" t="str">
        <v> /**
 * 充电小门开关设置
 * PermissionRequest(permissions = { zone.permission.vehicle.BMS_SET })
 * @param value 设置值 {@link ChargeDoorControl}
 * @return resultCode 返回结果码 {@link ResultCode}
 */
 int setChargeDoorControl(@ChargeDoorControl int value);
 0x0:"0_No_Request"
 0x1:"1_Request"</v>
      </c>
      <c r="S101" s="125" t="inlineStr">
        <is>
          <r>
            <t>@陈果果</t>
          </r>
        </is>
      </c>
      <c r="T101" s="26" t="str">
        <v>Y</v>
      </c>
      <c r="U101" s="27">
        <v>4.22</v>
      </c>
      <c r="V101" s="15" t="str">
        <v>Y</v>
      </c>
      <c r="Y101" s="15" t="str">
        <v>Y</v>
      </c>
      <c r="AA101" s="96" t="str">
        <v>目前与开发沟通该车型这个不需要上传，未上传认为通过</v>
      </c>
      <c r="AD101" s="96" t="str">
        <v>Pass</v>
      </c>
      <c r="AE101" s="18" t="str">
        <v>目前与开发沟通该车型这个不需要上传，未上传认为通过</v>
      </c>
    </row>
    <row r="102" spans="1:31">
      <c r="A102" s="15" t="str">
        <v>车控功能</v>
      </c>
      <c r="H102" s="15" t="str">
        <v>type</v>
      </c>
      <c r="I102" s="15" t="str">
        <v>类型</v>
      </c>
      <c r="J102" s="18" t="str">
        <v>enum</v>
      </c>
      <c r="K102" s="15" t="str">
        <v>快充，慢充，二合一</v>
      </c>
      <c r="L102" s="24">
        <v>1</v>
      </c>
      <c r="M102" s="16">
        <v>1</v>
      </c>
      <c r="N102" s="56" t="str">
        <v>Y(统一开关，没有快慢区分)</v>
      </c>
      <c r="O102" s="36" t="str">
        <v>N（充电盖统一开关，无快慢区分，快慢可参考充电状态信息）</v>
      </c>
      <c r="P102" s="37" t="str">
        <v>NA</v>
      </c>
      <c r="S102" s="125" t="inlineStr">
        <is>
          <r>
            <t>@陈果果</t>
          </r>
        </is>
      </c>
      <c r="T102" s="15" t="str">
        <v>Y</v>
      </c>
      <c r="V102" s="15" t="str">
        <v>Y</v>
      </c>
      <c r="Y102" s="15" t="str">
        <v>Y</v>
      </c>
      <c r="AA102" s="96" t="str">
        <v>目前与开发沟通该车型这个不需要上传，未上传认为通过</v>
      </c>
      <c r="AD102" s="96" t="str">
        <v>Pass</v>
      </c>
      <c r="AE102" s="18" t="str">
        <v>目前与开发沟通该车型这个不需要上传，未上传认为通过</v>
      </c>
    </row>
    <row r="103" spans="1:30">
      <c r="A103" s="15" t="str">
        <v>车控功能</v>
      </c>
      <c r="B103" s="15" t="str">
        <v>充电</v>
      </c>
      <c r="C103" s="15" t="str">
        <v>vehicle_control_0010</v>
      </c>
      <c r="F103" s="15" t="str">
        <v>充电状态</v>
      </c>
      <c r="G103" s="15" t="str">
        <v>用户交互后变化</v>
      </c>
      <c r="H103" s="15" t="str">
        <v>status</v>
      </c>
      <c r="I103" s="15" t="str">
        <v>状态</v>
      </c>
      <c r="J103" s="18" t="str">
        <v>enum</v>
      </c>
      <c r="K103" s="15" t="str">
        <v>充电中，未充电</v>
      </c>
      <c r="M103" s="16">
        <v>1</v>
      </c>
      <c r="N103" s="15" t="str">
        <v>Y</v>
      </c>
      <c r="O103" s="36" t="str">
        <v>Y</v>
      </c>
      <c r="P103" s="37" t="str">
        <v>Y</v>
      </c>
      <c r="Q103" s="53" t="str">
        <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v>
      </c>
      <c r="S103" s="125" t="inlineStr">
        <is>
          <r>
            <t>@陈果果</t>
          </r>
        </is>
      </c>
      <c r="T103" s="26" t="str">
        <v>Y</v>
      </c>
      <c r="U103" s="27">
        <v>4.23</v>
      </c>
      <c r="V103" s="15" t="str">
        <v>Y</v>
      </c>
      <c r="Y103" s="15" t="str">
        <v>Y</v>
      </c>
      <c r="AD103" s="15" t="str">
        <v>Pass</v>
      </c>
    </row>
    <row r="104" spans="1:30">
      <c r="A104" s="15" t="str">
        <v>车控功能</v>
      </c>
      <c r="H104" s="15" t="str">
        <v>type</v>
      </c>
      <c r="I104" s="15" t="str">
        <v>类型</v>
      </c>
      <c r="J104" s="18" t="str">
        <v>enum</v>
      </c>
      <c r="K104" s="15" t="str">
        <v>快充，慢充</v>
      </c>
      <c r="M104" s="16">
        <v>1</v>
      </c>
      <c r="N104" s="15" t="str">
        <v>Y</v>
      </c>
      <c r="O104" s="36" t="str">
        <v>Y</v>
      </c>
      <c r="P104" s="37" t="str">
        <v>Y</v>
      </c>
      <c r="Q104" s="53" t="str">
        <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v>
      </c>
      <c r="S104" s="125" t="inlineStr">
        <is>
          <r>
            <t>@陈果果</t>
          </r>
        </is>
      </c>
      <c r="T104" s="26" t="str">
        <v>Y</v>
      </c>
      <c r="U104" s="27">
        <v>4.23</v>
      </c>
      <c r="V104" s="15" t="str">
        <v>Y</v>
      </c>
      <c r="Y104" s="15" t="str">
        <v>Y</v>
      </c>
      <c r="AD104" s="15" t="str">
        <v>Pass</v>
      </c>
    </row>
    <row r="105" spans="1:30">
      <c r="A105" s="15" t="str">
        <v>车控功能</v>
      </c>
      <c r="H105" s="15" t="str">
        <v>duration</v>
      </c>
      <c r="I105" s="15" t="str">
        <v>剩余充电时长</v>
      </c>
      <c r="J105" s="18" t="str">
        <v>str</v>
      </c>
      <c r="M105" s="16">
        <v>1</v>
      </c>
      <c r="N105" s="15" t="str">
        <v>Y</v>
      </c>
      <c r="O105" s="36" t="str">
        <v>Y</v>
      </c>
      <c r="P105" s="37" t="str">
        <v>Y</v>
      </c>
      <c r="Q105" s="53" t="str">
        <v> /**
 * 充电剩余时间获取
 * PermissionRequest(permissions = { zone.permission.vehicle.DEVICE_GET })
 * @param result {@link IntResult#getResult} 0~1023 (min)
 * @return resultCode 返回结果码 {@link ResultCode}
 */
 int getChargeRemainTime(@NonNull IntResult result);</v>
      </c>
      <c r="S105" s="125" t="inlineStr">
        <is>
          <r>
            <t>@陈果果</t>
          </r>
        </is>
      </c>
      <c r="T105" s="26" t="str">
        <v>Y</v>
      </c>
      <c r="U105" s="27">
        <v>4.23</v>
      </c>
      <c r="V105" s="15" t="str">
        <v>Y</v>
      </c>
      <c r="Y105" s="15" t="str">
        <v>Y</v>
      </c>
      <c r="AD105" s="15" t="str">
        <v>Pass</v>
      </c>
    </row>
    <row r="106" spans="1:31">
      <c r="A106" s="15" t="str">
        <v>车控功能</v>
      </c>
      <c r="B106" s="15" t="str">
        <v>充电</v>
      </c>
      <c r="C106" s="15" t="str">
        <v>vehicle_control_0011</v>
      </c>
      <c r="F106" s="15" t="str">
        <v>充电设置</v>
      </c>
      <c r="G106" s="15" t="str">
        <v>低频变化</v>
      </c>
      <c r="H106" s="15" t="str">
        <v>limit</v>
      </c>
      <c r="I106" s="15" t="str">
        <v>充电上限</v>
      </c>
      <c r="J106" s="18" t="str">
        <v>str</v>
      </c>
      <c r="M106" s="16">
        <v>1</v>
      </c>
      <c r="N106" s="15" t="str">
        <v>Y</v>
      </c>
      <c r="O106" s="36" t="str">
        <v>Y</v>
      </c>
      <c r="P106" s="37" t="str">
        <v>Y</v>
      </c>
      <c r="Q106" s="53" t="str">
        <v> /**
 * 充电最大电流限制获取
 * PermissionRequest(permissions = { zone.permission.vehicle.DEVICE_GET })
 * @param result {@link IntResult#getResult} {@link ChargeAcThreshold}
 * @return resultCode 返回结果码 {@link ResultCode}
 */
 int getChargeAlertCurrentMaxThreshold(@NonNull IntResult result);</v>
      </c>
      <c r="S106" s="125" t="inlineStr">
        <is>
          <r>
            <t>@陈果果</t>
          </r>
        </is>
      </c>
      <c r="T106" s="26" t="str">
        <v>Y</v>
      </c>
      <c r="U106" s="27">
        <v>4.23</v>
      </c>
      <c r="V106" s="15" t="str">
        <v>Y</v>
      </c>
      <c r="Y106" s="15" t="str">
        <v>B</v>
      </c>
      <c r="AA106" s="96" t="str">
        <v>未找到设置的页面  </v>
      </c>
      <c r="AD106" s="15" t="str">
        <v>Block</v>
      </c>
      <c r="AE106" s="18" t="str">
        <v>未找到设置的地方</v>
      </c>
    </row>
    <row r="107" spans="1:31">
      <c r="A107" s="15" t="str">
        <v>车控功能</v>
      </c>
      <c r="B107" s="15" t="str">
        <v>充电</v>
      </c>
      <c r="C107" s="15" t="str">
        <v>vehicle_control_0012</v>
      </c>
      <c r="F107" s="45" t="str">
        <v>续航状态</v>
      </c>
      <c r="G107" s="15" t="str">
        <v>高频变化</v>
      </c>
      <c r="H107" s="45" t="str">
        <v>percentage_ev</v>
      </c>
      <c r="I107" s="45" t="str">
        <v>剩余电量</v>
      </c>
      <c r="J107" s="58" t="str">
        <v>str</v>
      </c>
      <c r="M107" s="85">
        <v>1</v>
      </c>
      <c r="N107" s="15" t="str">
        <v>Y</v>
      </c>
      <c r="O107" s="36" t="str">
        <v>Y 剩余电量百分比</v>
      </c>
      <c r="P107" s="37" t="str">
        <v>Y</v>
      </c>
      <c r="Q107" s="53" t="str">
        <v> /**
 * 电池电量百分比获取
 * PermissionRequest(permissions = { zone.permission.vehicle.DEVICE_GET })
 * @param result {@link IntResult#getResult}:0.0-100.0%
 * @return resultCode 返回结果码 {@link ResultCode}
 */
 int getBmsPackSocPercent(@NonNull FloatResult result);</v>
      </c>
      <c r="S107" s="125" t="inlineStr">
        <is>
          <r>
            <t>@尹泽陆</t>
          </r>
        </is>
      </c>
      <c r="T107" s="26" t="str">
        <v>Y</v>
      </c>
      <c r="V107" s="18" t="str">
        <v>Y</v>
      </c>
      <c r="Y107" s="15" t="str">
        <v>Y</v>
      </c>
      <c r="AD107" s="15" t="str">
        <v>Pass</v>
      </c>
      <c r="AE107" s="18" t="str">
        <v>@路测</v>
      </c>
    </row>
    <row r="108" spans="1:31">
      <c r="A108" s="15" t="str">
        <v>车控功能</v>
      </c>
      <c r="H108" s="45" t="str">
        <v>percentage_gas</v>
      </c>
      <c r="I108" s="45" t="str">
        <v>剩余油量</v>
      </c>
      <c r="J108" s="58" t="str">
        <v>str</v>
      </c>
      <c r="M108" s="85">
        <v>1</v>
      </c>
      <c r="N108" s="15" t="str">
        <v>Y</v>
      </c>
      <c r="O108" s="36" t="str">
        <v>Y （增程车型）</v>
      </c>
      <c r="P108" s="37" t="str">
        <v>Y</v>
      </c>
      <c r="Q108" s="53" t="str">
        <v> /**
 * 油量获取
 * @param result {@link IntResult#getResult}
 * @return resultCode 返回结果码 {@link ResultCode}
 */
 int getClstrDspdFuel(@NonNull IntResult result);
 /**
 * 油量变化通知
 *
 * @param result &lt;br&gt;
 * {@link IntResult#getCode()} {@link ResultCode}
 */
 default void onClstrDspdFuelChanged(IntResult result) {
 // TODO: 21-4-1 logic will be implemented by client.
 }</v>
      </c>
      <c r="S108" s="125" t="inlineStr">
        <is>
          <r>
            <t>@尹泽陆</t>
          </r>
        </is>
      </c>
      <c r="T108" s="26" t="str">
        <v>Y</v>
      </c>
      <c r="V108" s="18" t="str">
        <v>Y</v>
      </c>
      <c r="Y108" s="15" t="str">
        <v>Y</v>
      </c>
      <c r="AA108" s="15" t="str">
        <v>油量相关信息未上报</v>
      </c>
      <c r="AD108" s="15" t="str">
        <v>Pass</v>
      </c>
      <c r="AE108" s="18" t="str">
        <v>@路测</v>
      </c>
    </row>
    <row r="109" spans="1:31">
      <c r="A109" s="15" t="str">
        <v>车控功能</v>
      </c>
      <c r="H109" s="45" t="str">
        <v>mileage_total</v>
      </c>
      <c r="I109" s="45" t="str">
        <v>剩余总续航里程</v>
      </c>
      <c r="J109" s="58" t="str">
        <v>str</v>
      </c>
      <c r="M109" s="85">
        <v>1</v>
      </c>
      <c r="N109" s="15" t="str">
        <v>Y</v>
      </c>
      <c r="O109" s="36" t="str">
        <v>Y</v>
      </c>
      <c r="P109" s="37" t="str">
        <v>Y</v>
      </c>
      <c r="Q109" s="36" t="str">
        <v>通过油量和电量剩余续航计算</v>
      </c>
      <c r="S109" s="125" t="inlineStr">
        <is>
          <r>
            <t>@尹泽陆</t>
          </r>
        </is>
      </c>
      <c r="T109" s="26" t="str">
        <v>Y</v>
      </c>
      <c r="V109" s="18" t="str">
        <v>Y</v>
      </c>
      <c r="Y109" s="15" t="str">
        <v>Y</v>
      </c>
      <c r="AD109" s="15" t="str">
        <v>Pass</v>
      </c>
      <c r="AE109" s="18" t="str">
        <v>@路测</v>
      </c>
    </row>
    <row r="110" spans="1:31">
      <c r="A110" s="15" t="str">
        <v>车控功能</v>
      </c>
      <c r="H110" s="45" t="str">
        <v>mileage_ev</v>
      </c>
      <c r="I110" s="45" t="str">
        <v>剩余电续航里程</v>
      </c>
      <c r="J110" s="58" t="str">
        <v>str</v>
      </c>
      <c r="M110" s="85">
        <v>1</v>
      </c>
      <c r="N110" s="15" t="str">
        <v>Y</v>
      </c>
      <c r="O110" s="36" t="str">
        <v>Y</v>
      </c>
      <c r="P110" s="37" t="str">
        <v>Y</v>
      </c>
      <c r="Q110" s="53" t="str">
        <v> /**
 * 当前续驶里程获取
 * PermissionRequest(permissions = { zone.permission.vehicle.DEVICE_GET })
 * @param result {@link IntResult#getResult} 0-2046 (km)
 * @return resultCode 返回结果码 {@link ResultCode}
 */
 int getVehicleElectricRange(@NonNull IntResult result);</v>
      </c>
      <c r="S110" s="125" t="inlineStr">
        <is>
          <r>
            <t>@尹泽陆</t>
          </r>
        </is>
      </c>
      <c r="T110" s="26" t="str">
        <v>Y</v>
      </c>
      <c r="V110" s="18" t="str">
        <v>Y</v>
      </c>
      <c r="Y110" s="15" t="str">
        <v>Y</v>
      </c>
      <c r="AD110" s="15" t="str">
        <v>Pass</v>
      </c>
      <c r="AE110" s="18" t="str">
        <v>@路测</v>
      </c>
    </row>
    <row r="111" spans="1:31">
      <c r="A111" s="15" t="str">
        <v>车控功能</v>
      </c>
      <c r="H111" s="45" t="str">
        <v>mileage_gas</v>
      </c>
      <c r="I111" s="45" t="str">
        <v>剩余油续航里程</v>
      </c>
      <c r="J111" s="58" t="str">
        <v>str</v>
      </c>
      <c r="M111" s="85">
        <v>1</v>
      </c>
      <c r="N111" s="15" t="str">
        <v>Y</v>
      </c>
      <c r="O111" s="36" t="str">
        <v>Y （增程车型）</v>
      </c>
      <c r="P111" s="37" t="str">
        <v>Y</v>
      </c>
      <c r="Q111" s="53" t="str">
        <v> /**
 * 纯油剩余续航里程获取
 * PermissionRequest(permissions = { zone.permission.vehicle.DEVICE_GET })
 * @param result {@link FloatResult#getResult} 0.0-2046.0 (km)
 * @return resultCode 返回结果码 {@link ResultCode}
 */
 int getVehicleFuelRange(@NonNull FloatResult result);</v>
      </c>
      <c r="S111" s="125" t="inlineStr">
        <is>
          <r>
            <t>@尹泽陆</t>
          </r>
        </is>
      </c>
      <c r="T111" s="26" t="str">
        <v>Y</v>
      </c>
      <c r="V111" s="18" t="str">
        <v>Y</v>
      </c>
      <c r="Y111" s="15" t="str">
        <v>Y</v>
      </c>
      <c r="AD111" s="15" t="str">
        <v>Pass</v>
      </c>
      <c r="AE111" s="18" t="str">
        <v>@路测</v>
      </c>
    </row>
    <row r="112" spans="1:30">
      <c r="A112" s="15" t="str">
        <v>车控功能</v>
      </c>
      <c r="B112" s="15" t="str">
        <v>空调</v>
      </c>
      <c r="C112" s="15" t="str">
        <v>vehicle_control_0013</v>
      </c>
      <c r="F112" s="15" t="str">
        <v>车内空调状态</v>
      </c>
      <c r="G112" s="15" t="str">
        <v>低频变化</v>
      </c>
      <c r="H112" s="15" t="str">
        <v>switch</v>
      </c>
      <c r="I112" s="15" t="str">
        <v>开关</v>
      </c>
      <c r="J112" s="18" t="str">
        <v>enum</v>
      </c>
      <c r="K112" s="15" t="str">
        <v>on，off</v>
      </c>
      <c r="M112" s="16">
        <v>1</v>
      </c>
      <c r="N112" s="15" t="str">
        <v>Y</v>
      </c>
      <c r="O112" s="36" t="str">
        <v>Y</v>
      </c>
      <c r="P112" s="37" t="str">
        <v>Y</v>
      </c>
      <c r="Q112" s="36" t="str">
        <v> 空调开关：
 HvacCallbackFlag.HVAC_POWER
 int setHvacPowerStatus(@HvacPosition int pos, @NonNull SwitchStatus status);
 int getHvacPowerStatus(@HvacPosition int pos, @NonNull IntResult result)
 default void onHvacPowerStatusChanged(int pos, @NonNull IntResult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v>
      </c>
      <c r="S112" s="125" t="inlineStr">
        <is>
          <r>
            <t>@赵明珠</t>
          </r>
          <r>
            <t>@康楷朋</t>
          </r>
        </is>
      </c>
      <c r="T112" s="26" t="str">
        <v>Y</v>
      </c>
      <c r="U112" s="18" t="str">
        <v>/</v>
      </c>
      <c r="V112" s="15" t="str">
        <v>Y</v>
      </c>
      <c r="X112" s="15" t="str">
        <v>on，off</v>
      </c>
      <c r="Y112" s="15" t="str">
        <v>Y</v>
      </c>
      <c r="AD112" s="15" t="str">
        <v>Pass</v>
      </c>
    </row>
    <row r="113" spans="1:30">
      <c r="A113" s="15" t="str">
        <v>车控功能</v>
      </c>
      <c r="H113" s="15" t="str">
        <v>position</v>
      </c>
      <c r="I113" s="15" t="str">
        <v>位置</v>
      </c>
      <c r="J113" s="18" t="str">
        <v>str</v>
      </c>
      <c r="K113" s="45" t="str">
        <v>主驾，副驾，二排左，二排中，二排右，三排左，三排中，三排右</v>
      </c>
      <c r="L113" s="24">
        <v>1</v>
      </c>
      <c r="M113" s="16">
        <v>1</v>
      </c>
      <c r="N113" s="56" t="str">
        <v>Y</v>
      </c>
      <c r="O113" s="36" t="str">
        <v>N（空调统一开关，不区分位置）</v>
      </c>
      <c r="P113" s="37" t="str">
        <v>NA</v>
      </c>
      <c r="S113" s="125" t="inlineStr">
        <is>
          <r>
            <t>@赵明珠</t>
          </r>
          <r>
            <t>@康楷朋</t>
          </r>
        </is>
      </c>
      <c r="T113" s="15" t="str">
        <v>Y</v>
      </c>
      <c r="U113" s="18" t="str">
        <v>/</v>
      </c>
      <c r="V113" s="15" t="str">
        <v>Y</v>
      </c>
      <c r="X113" s="15" t="str">
        <v>主驾、副驾</v>
      </c>
      <c r="Y113" s="15" t="str">
        <v>Y</v>
      </c>
      <c r="AD113" s="15" t="str">
        <v>Pass</v>
      </c>
    </row>
    <row r="114" spans="1:30">
      <c r="A114" s="15" t="str">
        <v>车控功能</v>
      </c>
      <c r="H114" s="15" t="str">
        <v>temperature</v>
      </c>
      <c r="I114" s="15" t="str">
        <v>温度</v>
      </c>
      <c r="J114" s="18" t="str">
        <v>str</v>
      </c>
      <c r="M114" s="16">
        <v>1</v>
      </c>
      <c r="N114" s="15" t="str">
        <v>Y</v>
      </c>
      <c r="O114" s="36" t="str">
        <v>Y</v>
      </c>
      <c r="P114" s="37" t="str">
        <v>Y</v>
      </c>
      <c r="Q114" s="36" t="str">
        <v> 温度设置：
 HvacCallbackFlag.SEAT_TEMPE
 int setTemperature(@HvacPosition int seatPosition, float temperature);
 int getTemperature(@HvacPosition int seatPosition, @NonNull FloatResult result);
 default void onTemperatureChanged(int cab, FloatResult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v>
      </c>
      <c r="S114" s="125" t="inlineStr">
        <is>
          <r>
            <t>@赵明珠</t>
          </r>
          <r>
            <t>@康楷朋</t>
          </r>
        </is>
      </c>
      <c r="T114" s="26" t="str">
        <v>Y</v>
      </c>
      <c r="U114" s="18" t="str">
        <v>/</v>
      </c>
      <c r="V114" s="15" t="str">
        <v>Y</v>
      </c>
      <c r="X114" s="15" t="str">
        <v>24度</v>
      </c>
      <c r="Y114" s="15" t="str">
        <v>Y</v>
      </c>
      <c r="AD114" s="15" t="str">
        <v>Pass</v>
      </c>
    </row>
    <row r="115" spans="1:30">
      <c r="A115" s="15" t="str">
        <v>车控功能</v>
      </c>
      <c r="H115" s="15" t="str">
        <v>mode</v>
      </c>
      <c r="I115" s="15" t="str">
        <v>模式</v>
      </c>
      <c r="J115" s="18" t="str">
        <v>str</v>
      </c>
      <c r="K115" s="15" t="str">
        <v>AUTO模式</v>
      </c>
      <c r="M115" s="16">
        <v>1</v>
      </c>
      <c r="N115" s="15" t="str">
        <v>Y</v>
      </c>
      <c r="O115" s="36" t="str">
        <v>Y</v>
      </c>
      <c r="P115" s="37" t="str">
        <v>Y</v>
      </c>
      <c r="Q115" s="36" t="str">
        <v>AUTO模式设置：
HvacCallbackFlag.AUTO_MODE
int getAutoModeStatus(int var1, @NonNull IntResult var2)
int setAutoModeStatus(int var1, @NonNull SwitchStatus var2);
default void onAutoModeStatusChanged(pos: Int, result: IntResult)</v>
      </c>
      <c r="S115" s="125" t="inlineStr">
        <is>
          <r>
            <t>@赵明珠</t>
          </r>
          <r>
            <t>@康楷朋</t>
          </r>
        </is>
      </c>
      <c r="T115" s="26" t="str">
        <v>Y</v>
      </c>
      <c r="U115" s="18" t="str">
        <v>/</v>
      </c>
      <c r="V115" s="15" t="str">
        <v>Y</v>
      </c>
      <c r="X115" s="15" t="str">
        <v>自动、手动</v>
      </c>
      <c r="Y115" s="15" t="str">
        <v>Y</v>
      </c>
      <c r="AD115" s="15" t="str">
        <v>Pass</v>
      </c>
    </row>
    <row r="116" spans="1:30">
      <c r="A116" s="15" t="str">
        <v>车控功能</v>
      </c>
      <c r="H116" s="15" t="str">
        <v>states</v>
      </c>
      <c r="I116" s="15" t="str">
        <v>状态</v>
      </c>
      <c r="J116" s="18" t="str">
        <v>str</v>
      </c>
      <c r="K116" s="15" t="str">
        <v>（手动空调风量档位）</v>
      </c>
      <c r="M116" s="16">
        <v>1</v>
      </c>
      <c r="N116" s="56" t="str">
        <v>Y</v>
      </c>
      <c r="O116" s="36" t="str">
        <v>Y（手动调节1~11挡）</v>
      </c>
      <c r="P116" s="37" t="str">
        <v>Y</v>
      </c>
      <c r="Q116" s="36" t="str">
        <v> 风量设置：
 /** onBlowerLevelChanged回调注册Flag */
 HvacCallbackFlag.BLOWING_LEVEL,
 int setBlowerLevel(@HvacPosition int pos, int level)
 int getBlowerLevel(@HvacPosition int pos, @NonNull IntResult result)
 default void onBlowerLevelChanged(int pos, IntResult result) 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v>
      </c>
      <c r="S116" s="125" t="inlineStr">
        <is>
          <r>
            <t>@赵明珠</t>
          </r>
          <r>
            <t>@康楷朋</t>
          </r>
        </is>
      </c>
      <c r="T116" s="26" t="str">
        <v>Y</v>
      </c>
      <c r="U116" s="18" t="str">
        <v>/</v>
      </c>
      <c r="V116" s="15" t="str">
        <v>Y</v>
      </c>
      <c r="X116" s="15" t="str">
        <v>1档～11档</v>
      </c>
      <c r="Y116" s="15" t="str">
        <v>Y</v>
      </c>
      <c r="AD116" s="15" t="str">
        <v>Pass</v>
      </c>
    </row>
    <row r="117" spans="1:30">
      <c r="A117" s="15" t="str">
        <v>车控功能</v>
      </c>
      <c r="H117" s="15" t="str">
        <v>states</v>
      </c>
      <c r="I117" s="15" t="str">
        <v>状态</v>
      </c>
      <c r="J117" s="18" t="str">
        <v>str</v>
      </c>
      <c r="K117" s="15" t="str">
        <v>（自动空调风量档位）</v>
      </c>
      <c r="M117" s="16">
        <v>1</v>
      </c>
      <c r="N117" s="56" t="str">
        <v>Y</v>
      </c>
      <c r="O117" s="36" t="str">
        <v>Y（自动风量支持：轻柔/标准/强劲）</v>
      </c>
      <c r="P117" s="37" t="str">
        <v>Y</v>
      </c>
      <c r="Q117" s="36" t="str">
        <v>自动风量模式设置：
HvacCallbackFlag.AUTO_BLOW_LEVEL
int getAutoBlowLevel(@NonNull IntResult result);
int setAutoBlowLevel(@AutoBlowLevel int level);
default void onAutoBlowLevelChanged(IntResult result)</v>
      </c>
      <c r="S117" s="125" t="inlineStr">
        <is>
          <r>
            <t>@赵明珠</t>
          </r>
          <r>
            <t>@康楷朋</t>
          </r>
        </is>
      </c>
      <c r="T117" s="26" t="str">
        <v>Y</v>
      </c>
      <c r="U117" s="18" t="str">
        <v>/</v>
      </c>
      <c r="V117" s="15" t="str">
        <v>Y</v>
      </c>
      <c r="X117" s="15" t="str">
        <v>低档、中档、高档</v>
      </c>
      <c r="Y117" s="15" t="str">
        <v>Y</v>
      </c>
      <c r="AD117" s="15" t="str">
        <v>Pass</v>
      </c>
    </row>
    <row r="118" spans="1:32">
      <c r="A118" s="15" t="str">
        <v>车控功能</v>
      </c>
      <c r="B118" s="15" t="str">
        <v>空调</v>
      </c>
      <c r="C118" s="15" t="str">
        <v>vehicle_control_0014</v>
      </c>
      <c r="F118" s="15" t="str">
        <v>空调风向模式</v>
      </c>
      <c r="G118" s="15" t="str">
        <v>低频变化</v>
      </c>
      <c r="H118" s="15" t="str">
        <v>switch</v>
      </c>
      <c r="I118" s="15" t="str">
        <v>模式选项</v>
      </c>
      <c r="J118" s="18" t="str">
        <v>enum</v>
      </c>
      <c r="K118" s="15" t="str">
        <v>吹头，吹脚，吹脸，吹头吹脚，吹玻璃，吹头吹玻璃，吹头吹脚吹玻璃，吹脚吹玻璃</v>
      </c>
      <c r="M118" s="16">
        <v>1</v>
      </c>
      <c r="N118" s="15" t="str">
        <v>Y</v>
      </c>
      <c r="O118" s="36" t="str">
        <v>Y</v>
      </c>
      <c r="P118" s="37" t="str">
        <v>Y</v>
      </c>
      <c r="Q118" s="36" t="str">
        <v>
风向模式：
HvacCallbackFlag.AIRFLOW_MODE
int getAirflowMode(@HvacPosition int pos, @NonNull IntResult result)
int setAirflowMode(@HvacPosition int pos, @HvacAirflowMode int mode);
default void onAirflowModeChanged(int pos, IntResult result)
 public @interface HvacAirflowMode {
 /**FACE = 0 ：吹脸*/
 int FACE = 0;
 /**FACE_FOOT = 1 ：吹脸吹脚*/
 int FACE_FOOT = 1;
 /**FOOT = 2 ：吹脚*/
 int FOOT = 2;
 /**FOOT_DEFROST = 3 ：吹脚吹窗*/
 int FOOT_DEFROST = 3;
 /**DEFROST = 4 ：吹窗*/
 int DEFROST = 4;
 /**FACE_FOOT_DEFROST = 5 ：吹脸吹脚吹窗*/
 int FACE_FOOT_DEFROST = 5;
 /**FACE_DEFROST = 6 ：吹脸吹窗*/
 int FACE_DEFROST = 6;
 /**COMMAND_AIR_DISTRIBUTE_MODE = 7 ：自动模式*/
 int COMMAND_AIR_DISTRIBUTE_MODE = 7;
 }</v>
      </c>
      <c r="S118" s="125" t="inlineStr">
        <is>
          <r>
            <t>@赵明珠</t>
          </r>
          <r>
            <t>@康楷朋</t>
          </r>
        </is>
      </c>
      <c r="T118" s="26" t="str">
        <v>Y</v>
      </c>
      <c r="U118" s="18" t="str">
        <v>/</v>
      </c>
      <c r="V118" s="15" t="str">
        <v>Y</v>
      </c>
      <c r="X118" s="15" t="str">
        <v>吹头，吹脚，吹脸，吹头吹脚，吹玻璃，吹头吹玻璃，吹头吹脚吹玻璃，吹脚吹玻璃</v>
      </c>
      <c r="Y118" s="15" t="str">
        <v>Y</v>
      </c>
      <c r="AD118" s="15" t="str">
        <v>Fail</v>
      </c>
      <c r="AE118" s="18" t="str">
        <v>多一个字段</v>
      </c>
      <c r="AF118" s="128" t="str">
        <v>https://meego.larkoffice.com/telematics/issue/detail/7356121627</v>
      </c>
    </row>
    <row r="119" spans="1:30">
      <c r="A119" s="15" t="str">
        <v>车控功能</v>
      </c>
      <c r="B119" s="15" t="str">
        <v>空调</v>
      </c>
      <c r="C119" s="15" t="str">
        <v>vehicle_control_0015</v>
      </c>
      <c r="F119" s="15" t="str">
        <v>空调循环模式</v>
      </c>
      <c r="G119" s="15" t="str">
        <v>低频变化</v>
      </c>
      <c r="H119" s="15" t="str">
        <v>switch</v>
      </c>
      <c r="I119" s="15" t="str">
        <v>模式选项</v>
      </c>
      <c r="J119" s="18" t="str">
        <v>enum</v>
      </c>
      <c r="K119" s="15" t="str">
        <v>内循环，外循环，自动循环</v>
      </c>
      <c r="M119" s="16">
        <v>1</v>
      </c>
      <c r="N119" s="15" t="str">
        <v>Y</v>
      </c>
      <c r="O119" s="36" t="str">
        <v>Y</v>
      </c>
      <c r="P119" s="37" t="str">
        <v>Y</v>
      </c>
      <c r="Q119" s="36" t="str">
        <v>循环模式：
HvacCallbackFlag.CYCLE_MODE
int getCirculationMode(@NonNull IntResult result)
int setCirculationMode(int mode)
default void onCirculationModeChanged(IntResult result) </v>
      </c>
      <c r="S119" s="125" t="inlineStr">
        <is>
          <r>
            <t>@赵明珠</t>
          </r>
          <r>
            <t>@康楷朋</t>
          </r>
        </is>
      </c>
      <c r="T119" s="26" t="str">
        <v>Y</v>
      </c>
      <c r="U119" s="18" t="str">
        <v>/</v>
      </c>
      <c r="V119" s="15" t="str">
        <v>Y</v>
      </c>
      <c r="X119" s="15" t="str">
        <v>内循环，外循环，自动循环</v>
      </c>
      <c r="Y119" s="15" t="str">
        <v>Y</v>
      </c>
      <c r="AD119" s="15" t="str">
        <v>Pass</v>
      </c>
    </row>
    <row r="120" spans="1:30">
      <c r="A120" s="15" t="str">
        <v>车控功能</v>
      </c>
      <c r="B120" s="15" t="str">
        <v>空调</v>
      </c>
      <c r="C120" s="15" t="str">
        <v>vehicle_control_0016</v>
      </c>
      <c r="F120" s="15" t="str">
        <v>空调制冷开关状态</v>
      </c>
      <c r="G120" s="15" t="str">
        <v>低频变化</v>
      </c>
      <c r="H120" s="15" t="str">
        <v>switch</v>
      </c>
      <c r="I120" s="15" t="str">
        <v>开关</v>
      </c>
      <c r="J120" s="18" t="str">
        <v>enum</v>
      </c>
      <c r="K120" s="15" t="str">
        <v>on，off</v>
      </c>
      <c r="M120" s="16">
        <v>1</v>
      </c>
      <c r="N120" s="15" t="str">
        <v>Y</v>
      </c>
      <c r="O120" s="36" t="str">
        <v>Y</v>
      </c>
      <c r="P120" s="37" t="str">
        <v>Y</v>
      </c>
      <c r="Q120" s="36" t="str">
        <v>AC 制冷：
HvacCallbackFlag.AC
int getAcStatus(int var1, @NonNull IntResult var2)
int setAcStatus(int var1, @NonNull SwitchStatus var2);
default void onAcStatusChanged(IntResult result) </v>
      </c>
      <c r="S120" s="125" t="inlineStr">
        <is>
          <r>
            <t>@赵明珠</t>
          </r>
          <r>
            <t>@康楷朋</t>
          </r>
        </is>
      </c>
      <c r="T120" s="26" t="str">
        <v>Y</v>
      </c>
      <c r="U120" s="18" t="str">
        <v>/</v>
      </c>
      <c r="V120" s="15" t="str">
        <v>Y</v>
      </c>
      <c r="X120" s="15" t="str">
        <v>on，off</v>
      </c>
      <c r="Y120" s="15" t="str">
        <v>Y</v>
      </c>
      <c r="AD120" s="15" t="str">
        <v>Pass</v>
      </c>
    </row>
    <row r="121" spans="1:30">
      <c r="A121" s="15" t="str">
        <v>车控功能</v>
      </c>
      <c r="B121" s="15" t="str">
        <v>空调</v>
      </c>
      <c r="C121" s="15" t="str">
        <v>vehicle_control_0017</v>
      </c>
      <c r="F121" s="15" t="str">
        <v>除霜除雾开关状态</v>
      </c>
      <c r="G121" s="15" t="str">
        <v>低频变化</v>
      </c>
      <c r="H121" s="15" t="str">
        <v>switch</v>
      </c>
      <c r="I121" s="15" t="str">
        <v>开关</v>
      </c>
      <c r="J121" s="18" t="str">
        <v>enum</v>
      </c>
      <c r="K121" s="15" t="str">
        <v>on，off</v>
      </c>
      <c r="M121" s="16">
        <v>1</v>
      </c>
      <c r="N121" s="56" t="str">
        <v>Y</v>
      </c>
      <c r="O121" s="36" t="str">
        <v>Y</v>
      </c>
      <c r="P121" s="37" t="str">
        <v>Y</v>
      </c>
      <c r="Q121" s="36" t="str">
        <v>除霜除雾：
HvacCallbackFlag.DEFOGGING
int setDefoggingStatus(@AirConditionRow int row @NonNull SwitchStatus status)
int getDefoggingStatus(@AirConditionRow int row @NonNull SwitchStatus status)
void onDefoggingStatusChanged(@AirConditionRow int row @NonNull SwitchStatus status)</v>
      </c>
      <c r="S121" s="125" t="inlineStr">
        <is>
          <r>
            <t>@赵明珠</t>
          </r>
          <r>
            <t>@康楷朋</t>
          </r>
        </is>
      </c>
      <c r="T121" s="26" t="str">
        <v>Y</v>
      </c>
      <c r="U121" s="18" t="str">
        <v>/</v>
      </c>
      <c r="V121" s="15" t="str">
        <v>Y</v>
      </c>
      <c r="X121" s="15" t="str">
        <v>on，off</v>
      </c>
      <c r="Y121" s="15" t="str">
        <v>Y</v>
      </c>
      <c r="AD121" s="15" t="str">
        <v>Pass</v>
      </c>
    </row>
    <row r="122" spans="1:30">
      <c r="A122" s="15" t="str">
        <v>车控功能</v>
      </c>
      <c r="H122" s="15" t="str">
        <v>position</v>
      </c>
      <c r="I122" s="15" t="str">
        <v>位置</v>
      </c>
      <c r="J122" s="18" t="str">
        <v>enum</v>
      </c>
      <c r="K122" s="15" t="str">
        <v>前，后</v>
      </c>
      <c r="L122" s="24">
        <v>1</v>
      </c>
      <c r="M122" s="16">
        <v>1</v>
      </c>
      <c r="N122" s="56" t="str">
        <v>Y</v>
      </c>
      <c r="O122" s="36" t="str">
        <v>N（仅支持前除霜除雾，支持后视镜联动后风窗加热）</v>
      </c>
      <c r="P122" s="37" t="str">
        <v>NA</v>
      </c>
      <c r="Q122" s="36" t="str">
        <v>前除霜HvacPosition.FRONT_ROW
后除雾HvacPosition.REAR_ROW</v>
      </c>
      <c r="S122" s="125" t="inlineStr">
        <is>
          <r>
            <t>@赵明珠</t>
          </r>
          <r>
            <t>@康楷朋</t>
          </r>
        </is>
      </c>
      <c r="T122" s="15" t="str">
        <v>Y</v>
      </c>
      <c r="U122" s="18" t="str">
        <v>/</v>
      </c>
      <c r="V122" s="15" t="str">
        <v>Y</v>
      </c>
      <c r="X122" s="15" t="str">
        <v>前，后</v>
      </c>
      <c r="Y122" s="15" t="str">
        <v>Y</v>
      </c>
      <c r="AD122" s="15" t="str">
        <v>Pass</v>
      </c>
    </row>
    <row r="123" spans="1:30">
      <c r="A123" s="15" t="str">
        <v>车控功能</v>
      </c>
      <c r="B123" s="15" t="str">
        <v>空调</v>
      </c>
      <c r="C123" s="15" t="str">
        <v>vehicle_control_0021</v>
      </c>
      <c r="F123" s="15" t="str">
        <v>车内外温度状态</v>
      </c>
      <c r="G123" s="15" t="str">
        <v>用户交互后变化</v>
      </c>
      <c r="H123" s="15" t="str">
        <v>temperature</v>
      </c>
      <c r="I123" s="15" t="str">
        <v>温度</v>
      </c>
      <c r="J123" s="18" t="str">
        <v>str</v>
      </c>
      <c r="M123" s="16">
        <v>1</v>
      </c>
      <c r="N123" s="56" t="str">
        <v>Y</v>
      </c>
      <c r="O123" s="36" t="str">
        <v>Y （只有车外温度）</v>
      </c>
      <c r="P123" s="37" t="str">
        <v>Y</v>
      </c>
      <c r="Q123" s="36" t="str">
        <v>车外温度：
HvacRequestType.OUTSIDE_TEP
default void onOutsideTemperatureChanged(FloatResult result) {}
int getOutsideTemperature(@NonNull FloatResult result);</v>
      </c>
      <c r="S123" s="125" t="inlineStr">
        <is>
          <r>
            <t>@陈果果</t>
          </r>
        </is>
      </c>
      <c r="T123" s="26" t="str">
        <v>Y</v>
      </c>
      <c r="U123" s="27">
        <v>4.24</v>
      </c>
      <c r="V123" s="15" t="str">
        <v>Y</v>
      </c>
      <c r="X123" s="15" t="str">
        <v>20度</v>
      </c>
      <c r="Y123" s="15" t="str">
        <v>Y</v>
      </c>
      <c r="AD123" s="15" t="str">
        <v>Pass</v>
      </c>
    </row>
    <row r="124" spans="1:31">
      <c r="A124" s="15" t="str">
        <v>车控功能</v>
      </c>
      <c r="H124" s="15" t="str">
        <v>position</v>
      </c>
      <c r="I124" s="15" t="str">
        <v>位置</v>
      </c>
      <c r="J124" s="18" t="str">
        <v>enum</v>
      </c>
      <c r="K124" s="15" t="str">
        <v>车内，车外</v>
      </c>
      <c r="L124" s="24">
        <v>1</v>
      </c>
      <c r="M124" s="16">
        <v>1</v>
      </c>
      <c r="N124" s="104" t="str">
        <v>Y(只有车外)</v>
      </c>
      <c r="O124" s="36" t="str">
        <v>N （只要车外）</v>
      </c>
      <c r="P124" s="37" t="str">
        <v>NA</v>
      </c>
      <c r="S124" s="125" t="inlineStr">
        <is>
          <r>
            <t>@陈果果</t>
          </r>
        </is>
      </c>
      <c r="T124" s="26" t="str">
        <v>Y</v>
      </c>
      <c r="V124" s="15" t="str">
        <v>Y</v>
      </c>
      <c r="X124" s="15" t="str">
        <v>车外</v>
      </c>
      <c r="Y124" s="15" t="str">
        <v>Y</v>
      </c>
      <c r="AD124" s="15" t="str">
        <v>Pass</v>
      </c>
      <c r="AE124" s="18" t="str">
        <v>只有车外</v>
      </c>
    </row>
    <row r="125" spans="1:32">
      <c r="A125" s="15" t="str">
        <v>车控功能</v>
      </c>
      <c r="B125" s="15" t="str">
        <v>座椅系统及设置</v>
      </c>
      <c r="C125" s="4" t="str">
        <v>vehicle_control_0022</v>
      </c>
      <c r="F125" s="15" t="str">
        <v>座椅位置状态</v>
      </c>
      <c r="G125" s="15" t="str">
        <v>用户交互后变化</v>
      </c>
      <c r="H125" s="15" t="str">
        <v>position</v>
      </c>
      <c r="I125" s="15" t="str">
        <v>位置</v>
      </c>
      <c r="J125" s="18" t="str">
        <v>enum</v>
      </c>
      <c r="K125" s="45" t="str">
        <v>主驾，副驾，左后，右后，二排左，二排中，二排右，三排左，三排中，三排右</v>
      </c>
      <c r="L125" s="24">
        <v>1</v>
      </c>
      <c r="M125" s="16">
        <v>1</v>
      </c>
      <c r="N125" s="75" t="str">
        <v>Y</v>
      </c>
      <c r="O125" s="36" t="str">
        <v>Y</v>
      </c>
      <c r="P125" s="37" t="str">
        <v>Y</v>
      </c>
      <c r="Q125" s="36" t="str">
        <v>座椅位置百分比调节获取：
SeatRequestType.SEAT_ADJUSTMENT_POSITION
int getSeatAdjustmentPosition​(int seatType, int direction, IntResult result) 座椅位置获取
int setSeatAdjustmentPosition(@SeatType int seatType, @SeatDirection int direction, int position);
default void onSeatAdjustmentPositionChanged​(int seatType, int direction, IntResult result) 座椅位置通知
seatType - 设置值 SeatConstants.SeatType
DRIVER = 0: 主驾
COPILOT = 1: 副驾
REAR_LEFT = 2: 后左 || 二排左
REAR_RIGHT = 3: 后右 || 二排右
direction - 设置值 SeatConstants.SeatDirection
VERTICAL = 0: 垂直 （srs:坐垫后部垂直方向状态）(ue:1.1.3 整体位置、腰托)
HORIZONTAL = 1: 水平 （srs：水平方向状态）(ue:1.1.1 整体位置、腰托、腿托)
RECLINE = 2: 躺倒 (srs：靠背方向状态)(ue:1.1.5 靠背)
TILTING = 3: 倾斜 (srs：前抬升方向状态) (ue:1.1.1 坐垫倾角、1.1.3腿托)
position- 设置值 0-100
</v>
      </c>
      <c r="S125" s="125" t="inlineStr">
        <is>
          <r>
            <t>@陈果果</t>
          </r>
        </is>
      </c>
      <c r="T125" s="26" t="str">
        <v>Y</v>
      </c>
      <c r="U125" s="10">
        <v>4.24</v>
      </c>
      <c r="V125" s="15" t="str">
        <v>Y</v>
      </c>
      <c r="Y125" s="15" t="str">
        <v>Y</v>
      </c>
      <c r="AD125" s="15" t="str">
        <v>Pass</v>
      </c>
      <c r="AF125" s="125" t="str">
        <v>后排的是否要上传</v>
      </c>
    </row>
    <row r="126" spans="1:30">
      <c r="A126" s="15" t="str">
        <v>车控功能</v>
      </c>
      <c r="H126" s="15" t="str">
        <v>horizontal_movement</v>
      </c>
      <c r="I126" s="15" t="str">
        <v>水平位置</v>
      </c>
      <c r="J126" s="18" t="str">
        <v>str</v>
      </c>
      <c r="M126" s="16">
        <v>1</v>
      </c>
      <c r="N126" s="15" t="str">
        <v>Y（上报百分比）</v>
      </c>
      <c r="O126" s="36" t="str">
        <v>Y</v>
      </c>
      <c r="P126" s="37" t="str">
        <v>Y</v>
      </c>
      <c r="Q126" s="36" t="str">
        <v> 整体位置调节步进调节
int getSeatAdjustmentStatus​(int seatType, int direction, @NonNull IntResult result) 座椅调节获取
int setSeatAdjustmentStatus​(int seatType, int direction, int status) 座椅调节设置
default void onSeatAdjustmentStatusChanged​(int seatType, int direction, IntResult result) 座椅调节通知
SEAT_ADJUSTMENT_STATUS 座椅调节FLAG
 /**座椅方向*/
 @IntDef({SeatDirection.VERTICAL,
 SeatDirection.HORIZONTAL,
 SeatDirection.RECLINE,
 SeatDirection.TILTING,
 SeatDirection.LEFT_TILTING,
 SeatDirection.RIGHT_TILTING})
 @Target({ElementType.PARAMETER})
 @Retention(RetentionPolicy.SOURCE)
 public @interface SeatDirection {
 /**VERTICAL = 0: 垂直*/
 int VERTICAL = 0;
 /**HORIZONTAL = 1: 水平*/
 int HORIZONTAL = 1;
 /**RECLINE = 2: 躺倒*/
 int RECLINE = 2;
 /**TILTING = 3: 倾斜*/
 int TILTING = 3;
 /**LEFT_TILTING = 4: 左侧倾斜*/
 int LEFT_TILTING = 4;
 /**RIGHT_TILTING = 5: 右侧倾斜*/
 int RIGHT_TILTING = 5;
 }
status - 设置值 SeatConstants.SeatAdjustStatus
NOT_MOVING = 0: 静止中
UPWARD_MOVING = 1: 前移, 前倾，前靠，上移, 展开, 充气
DOWNWARD_MOVING = 2: 后移，后倾，后靠，下移, 合拢, 泄气</v>
      </c>
      <c r="S126" s="125" t="inlineStr">
        <is>
          <r>
            <t>@陈果果</t>
          </r>
        </is>
      </c>
      <c r="T126" s="26" t="str">
        <v>Y</v>
      </c>
      <c r="U126" s="16">
        <v>4.24</v>
      </c>
      <c r="V126" s="15" t="str">
        <v>Y</v>
      </c>
      <c r="Y126" s="15" t="str">
        <v>Y</v>
      </c>
      <c r="AD126" s="15" t="str">
        <v>Pass</v>
      </c>
    </row>
    <row r="127" spans="1:30">
      <c r="A127" s="15" t="str">
        <v>车控功能</v>
      </c>
      <c r="H127" s="15" t="str">
        <v>rotary_movement</v>
      </c>
      <c r="I127" s="15" t="str">
        <v>靠背位置</v>
      </c>
      <c r="J127" s="18" t="str">
        <v>str</v>
      </c>
      <c r="M127" s="16">
        <v>1</v>
      </c>
      <c r="N127" s="15" t="str">
        <v>Y（上报百分比）</v>
      </c>
      <c r="O127" s="36" t="str">
        <v>Y</v>
      </c>
      <c r="P127" s="37" t="str">
        <v>Y</v>
      </c>
      <c r="S127" s="125" t="inlineStr">
        <is>
          <r>
            <t>@陈果果</t>
          </r>
        </is>
      </c>
      <c r="T127" s="26" t="str">
        <v>Y</v>
      </c>
      <c r="U127" s="16">
        <v>4.24</v>
      </c>
      <c r="V127" s="15" t="str">
        <v>Y</v>
      </c>
      <c r="Y127" s="15" t="str">
        <v>Y</v>
      </c>
      <c r="AD127" s="15" t="str">
        <v>Pass</v>
      </c>
    </row>
    <row r="128" spans="1:30">
      <c r="A128" s="15" t="str">
        <v>车控功能</v>
      </c>
      <c r="H128" s="15" t="str">
        <v>vertical_movement</v>
      </c>
      <c r="I128" s="15" t="str">
        <v>高度位置</v>
      </c>
      <c r="J128" s="18" t="str">
        <v>str</v>
      </c>
      <c r="M128" s="16">
        <v>1</v>
      </c>
      <c r="N128" s="15" t="str">
        <v>Y（上报百分比）</v>
      </c>
      <c r="O128" s="36" t="str">
        <v>Y</v>
      </c>
      <c r="P128" s="37" t="str">
        <v>Y</v>
      </c>
      <c r="S128" s="125" t="inlineStr">
        <is>
          <r>
            <t>@陈果果</t>
          </r>
        </is>
      </c>
      <c r="T128" s="26" t="str">
        <v>Y</v>
      </c>
      <c r="U128" s="16">
        <v>4.24</v>
      </c>
      <c r="V128" s="15" t="str">
        <v>Y</v>
      </c>
      <c r="Y128" s="15" t="str">
        <v>Y</v>
      </c>
      <c r="AD128" s="15" t="str">
        <v>Pass</v>
      </c>
    </row>
    <row r="129" spans="1:30">
      <c r="A129" s="15" t="str">
        <v>车控功能</v>
      </c>
      <c r="H129" s="45" t="str">
        <v>legrest_position_horizontal</v>
      </c>
      <c r="I129" s="45" t="str">
        <v>腿托水平位置</v>
      </c>
      <c r="J129" s="58" t="str">
        <v>str</v>
      </c>
      <c r="N129" s="15" t="str">
        <v>Y（上报百分比）</v>
      </c>
      <c r="O129" s="36" t="str">
        <v>Y</v>
      </c>
      <c r="P129" s="37" t="str">
        <v>Y</v>
      </c>
      <c r="Q129" s="36" t="str">
        <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v>
      </c>
      <c r="S129" s="125" t="inlineStr">
        <is>
          <r>
            <t>@陈果果</t>
          </r>
        </is>
      </c>
      <c r="T129" s="26" t="str">
        <v>Y</v>
      </c>
      <c r="U129" s="16">
        <v>4.24</v>
      </c>
      <c r="V129" s="15" t="str">
        <v>Y</v>
      </c>
      <c r="Y129" s="15" t="str">
        <v>N</v>
      </c>
      <c r="AA129" s="15" t="str">
        <v>副驾正常，主驾没有数据上传</v>
      </c>
      <c r="AD129" s="15" t="str">
        <v>Pass</v>
      </c>
    </row>
    <row r="130" spans="1:30">
      <c r="A130" s="15" t="str">
        <v>车控功能</v>
      </c>
      <c r="H130" s="45" t="str">
        <v>legrest_position_vertical</v>
      </c>
      <c r="I130" s="45" t="str">
        <v>腿托高度位置</v>
      </c>
      <c r="J130" s="58" t="str">
        <v>str</v>
      </c>
      <c r="N130" s="15" t="str">
        <v>Y（上报百分比）</v>
      </c>
      <c r="O130" s="36" t="str">
        <v>Y</v>
      </c>
      <c r="P130" s="37" t="str">
        <v>Y</v>
      </c>
      <c r="Q130" s="36" t="str">
        <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v>
      </c>
      <c r="S130" s="125" t="inlineStr">
        <is>
          <r>
            <t>@陈果果</t>
          </r>
        </is>
      </c>
      <c r="T130" s="26" t="str">
        <v>Y</v>
      </c>
      <c r="U130" s="16">
        <v>5.15</v>
      </c>
      <c r="V130" s="4" t="str">
        <v>Y</v>
      </c>
      <c r="Y130" s="15" t="str">
        <v>N</v>
      </c>
      <c r="AA130" s="15" t="str">
        <v>副驾正常，主驾没有数据上传</v>
      </c>
      <c r="AD130" s="15" t="str">
        <v>Pass</v>
      </c>
    </row>
    <row r="131" spans="1:30">
      <c r="A131" s="15" t="str">
        <v>车控功能</v>
      </c>
      <c r="B131" s="15" t="str">
        <v>座椅系统及设置</v>
      </c>
      <c r="C131" s="15" t="str">
        <v>vehicle_control_0023</v>
      </c>
      <c r="F131" s="15" t="str">
        <v>座椅通风开关状态</v>
      </c>
      <c r="G131" s="15" t="str">
        <v>用户交互后变化</v>
      </c>
      <c r="H131" s="15" t="str">
        <v>states</v>
      </c>
      <c r="I131" s="15" t="str">
        <v>状态</v>
      </c>
      <c r="J131" s="18" t="str">
        <v>str</v>
      </c>
      <c r="K131" s="15" t="str">
        <v>关闭，1档，2档，3档</v>
      </c>
      <c r="M131" s="16">
        <v>1</v>
      </c>
      <c r="N131" s="15" t="str">
        <v>Y</v>
      </c>
      <c r="O131" s="36" t="str">
        <v>Y</v>
      </c>
      <c r="P131" s="37" t="str">
        <v>Y</v>
      </c>
      <c r="Q131" s="36" t="str">
        <v>座椅通风：
 SeatCallbackFlag.SEAT_VENTILATION
 int setSeatVentilationLevel(@SeatType int seatType, @SeatVentLevel int level);
 int getSeatVentilationLevel(@SeatType int seatType, @NonNull IntResult result);
 default void onSeatVentilationLevelChanged(int seatType, IntResult result) {</v>
      </c>
      <c r="S131" s="125" t="inlineStr">
        <is>
          <r>
            <t>@陈果果</t>
          </r>
        </is>
      </c>
      <c r="T131" s="26" t="str">
        <v>Y</v>
      </c>
      <c r="V131" s="15" t="str">
        <v>Y</v>
      </c>
      <c r="Y131" s="15" t="str">
        <v>Y</v>
      </c>
      <c r="AD131" s="15" t="str">
        <v>Pass</v>
      </c>
    </row>
    <row r="132" spans="1:30">
      <c r="A132" s="15" t="str">
        <v>车控功能</v>
      </c>
      <c r="H132" s="15" t="str">
        <v>position</v>
      </c>
      <c r="I132" s="15" t="str">
        <v>位置</v>
      </c>
      <c r="J132" s="18" t="str">
        <v>str</v>
      </c>
      <c r="K132" s="45" t="str">
        <v>主驾，副驾，左后，右后，二排左，二排中，二排右，三排左，三排中，三排右</v>
      </c>
      <c r="L132" s="24">
        <v>1</v>
      </c>
      <c r="M132" s="16">
        <v>1</v>
      </c>
      <c r="N132" s="15" t="str">
        <v>Y</v>
      </c>
      <c r="O132" s="36" t="str">
        <v>Y</v>
      </c>
      <c r="P132" s="37" t="str">
        <v>Y</v>
      </c>
      <c r="Q132" s="36" t="str">
        <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v>
      </c>
      <c r="S132" s="125" t="inlineStr">
        <is>
          <r>
            <t>@陈果果</t>
          </r>
        </is>
      </c>
      <c r="T132" s="26" t="str">
        <v>Y</v>
      </c>
      <c r="V132" s="15" t="str">
        <v>Y</v>
      </c>
      <c r="Y132" s="15" t="str">
        <v>Y</v>
      </c>
      <c r="AD132" s="15" t="str">
        <v>Pass</v>
      </c>
    </row>
    <row r="133" spans="1:30">
      <c r="A133" s="15" t="str">
        <v>车控功能</v>
      </c>
      <c r="B133" s="15" t="str">
        <v>座椅系统及设置</v>
      </c>
      <c r="C133" s="15" t="str">
        <v>vehicle_control_0024</v>
      </c>
      <c r="F133" s="15" t="str">
        <v>座椅加热状态</v>
      </c>
      <c r="G133" s="15" t="str">
        <v>用户交互后变化</v>
      </c>
      <c r="H133" s="15" t="str">
        <v>states</v>
      </c>
      <c r="I133" s="15" t="str">
        <v>状态</v>
      </c>
      <c r="J133" s="18" t="str">
        <v>str</v>
      </c>
      <c r="K133" s="15" t="str">
        <v>关闭，1档，2档，3档</v>
      </c>
      <c r="M133" s="16">
        <v>1</v>
      </c>
      <c r="N133" s="15" t="str">
        <v>Y</v>
      </c>
      <c r="O133" s="36" t="str">
        <v>Y</v>
      </c>
      <c r="P133" s="37" t="str">
        <v>Y</v>
      </c>
      <c r="Q133" s="36" t="str">
        <v>座椅加热：
SeatCallbackFlag.SEAT_HEAT_LEVEL
int setSeatHeatLevel(@SeatType int seatType, @SeatHeatLevel int level);
 int getSeatHeatLevel(@SeatType int seatType, @NonNull IntResult result);
default void onSeatHeatLevelChanged(int seatType, IntResult result)</v>
      </c>
      <c r="S133" s="125" t="inlineStr">
        <is>
          <r>
            <t>@陈果果</t>
          </r>
        </is>
      </c>
      <c r="T133" s="26" t="str">
        <v>Y</v>
      </c>
      <c r="V133" s="15" t="str">
        <v>Y</v>
      </c>
      <c r="Y133" s="15" t="str">
        <v>Y</v>
      </c>
      <c r="AD133" s="15" t="str">
        <v>Pass</v>
      </c>
    </row>
    <row r="134" spans="1:30">
      <c r="A134" s="15" t="str">
        <v>车控功能</v>
      </c>
      <c r="H134" s="15" t="str">
        <v>position</v>
      </c>
      <c r="I134" s="15" t="str">
        <v>位置</v>
      </c>
      <c r="J134" s="18" t="str">
        <v>str</v>
      </c>
      <c r="K134" s="45" t="str">
        <v>主驾，副驾，左后，右后，二排左，二排中，二排右，三排左，三排中，三排右</v>
      </c>
      <c r="L134" s="24">
        <v>1</v>
      </c>
      <c r="M134" s="16">
        <v>1</v>
      </c>
      <c r="N134" s="15" t="str">
        <v>Y</v>
      </c>
      <c r="O134" s="36" t="str">
        <v>Y</v>
      </c>
      <c r="P134" s="37" t="str">
        <v>Y</v>
      </c>
      <c r="Q134" s="36" t="str">
        <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v>
      </c>
      <c r="S134" s="125" t="inlineStr">
        <is>
          <r>
            <t>@陈果果</t>
          </r>
        </is>
      </c>
      <c r="T134" s="26" t="str">
        <v>Y</v>
      </c>
      <c r="V134" s="15" t="str">
        <v>Y</v>
      </c>
      <c r="Y134" s="15" t="str">
        <v>Y</v>
      </c>
      <c r="AD134" s="15" t="str">
        <v>Pass</v>
      </c>
    </row>
    <row r="135" spans="1:30">
      <c r="A135" s="15" t="str">
        <v>车控功能</v>
      </c>
      <c r="B135" s="15" t="str">
        <v>座椅系统及设置</v>
      </c>
      <c r="C135" s="15" t="str">
        <v>vehicle_control_0025</v>
      </c>
      <c r="F135" s="15" t="str">
        <v>座椅按摩模式</v>
      </c>
      <c r="G135" s="15" t="str">
        <v>用户交互后变化</v>
      </c>
      <c r="H135" s="15" t="str">
        <v>states</v>
      </c>
      <c r="I135" s="15" t="str">
        <v>状态</v>
      </c>
      <c r="J135" s="18" t="str">
        <v>enum</v>
      </c>
      <c r="K135" s="15" t="str">
        <v>关闭，1档，2档，3档</v>
      </c>
      <c r="M135" s="16">
        <v>1</v>
      </c>
      <c r="N135" s="15" t="str">
        <v>Y</v>
      </c>
      <c r="O135" s="36" t="str">
        <v>Y</v>
      </c>
      <c r="P135" s="37" t="str">
        <v>Y</v>
      </c>
      <c r="Q135" s="105" t="str">
        <v>座椅按摩开关：
SeatCallbackFlag.SEAT_MASSAGE_POWER
int getSeatMassageStatus(@SeatType int seatType, @NonNull IntResult result);
int setSeatMassageStatus(@SeatType int seatType, @NonNull SwitchStatus status);
default void onSeatMassageStatusChanged(int seatType, IntResult result)</v>
      </c>
      <c r="S135" s="125" t="inlineStr">
        <is>
          <r>
            <t>@陈果果</t>
          </r>
        </is>
      </c>
      <c r="T135" s="26" t="str">
        <v>Y</v>
      </c>
      <c r="V135" s="15" t="str">
        <v>Y</v>
      </c>
      <c r="Y135" s="15" t="str">
        <v>Y</v>
      </c>
      <c r="AD135" s="15" t="str">
        <v>Pass</v>
      </c>
    </row>
    <row r="136" spans="1:30">
      <c r="A136" s="15" t="str">
        <v>车控功能</v>
      </c>
      <c r="H136" s="15" t="str">
        <v>position</v>
      </c>
      <c r="I136" s="15" t="str">
        <v>位置</v>
      </c>
      <c r="J136" s="18" t="str">
        <v>str</v>
      </c>
      <c r="K136" s="45" t="str">
        <v>主驾，副驾，左后，右后，前排，后排，二排左，二排中，二排右，左三排，三排中，右三排</v>
      </c>
      <c r="L136" s="24">
        <v>1</v>
      </c>
      <c r="M136" s="16">
        <v>1</v>
      </c>
      <c r="N136" s="15" t="str">
        <v>Y</v>
      </c>
      <c r="O136" s="36" t="str">
        <v>Y</v>
      </c>
      <c r="P136" s="37" t="str">
        <v>Y</v>
      </c>
      <c r="Q136" s="36" t="str">
        <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v>
      </c>
      <c r="S136" s="125" t="inlineStr">
        <is>
          <r>
            <t>@陈果果</t>
          </r>
        </is>
      </c>
      <c r="T136" s="26" t="str">
        <v>Y</v>
      </c>
      <c r="V136" s="15" t="str">
        <v>Y</v>
      </c>
      <c r="Y136" s="15" t="str">
        <v>Y</v>
      </c>
      <c r="AD136" s="15" t="str">
        <v>Pass</v>
      </c>
    </row>
    <row r="137" spans="1:30">
      <c r="A137" s="15" t="str">
        <v>车控功能</v>
      </c>
      <c r="H137" s="15" t="str">
        <v>mode</v>
      </c>
      <c r="I137" s="15" t="str">
        <v>模式选项</v>
      </c>
      <c r="J137" s="18" t="str">
        <v>enum</v>
      </c>
      <c r="K137" s="45" t="str">
        <v>脉冲，波浪，猫步，单排，舒缓，蝶形，腰部，蛇形</v>
      </c>
      <c r="M137" s="16">
        <v>1</v>
      </c>
      <c r="N137" s="15" t="str">
        <v>Y</v>
      </c>
      <c r="O137" s="36" t="str">
        <v>Y</v>
      </c>
      <c r="P137" s="37" t="str">
        <v>Y</v>
      </c>
      <c r="Q137" s="36" t="str">
        <v>座椅按摩模式：
SeatCallbackFlag.SEAT_MASSAGE_MODE 
int getSeatMassageMode(@SeatType int seatType, @NonNull IntResult result);
 int setSeatMassageMode(@SeatType int seatType, int mode);
default void onSeatMassageModeChanged(int seatType, IntResult result) </v>
      </c>
      <c r="S137" s="125" t="inlineStr">
        <is>
          <r>
            <t>@陈果果</t>
          </r>
        </is>
      </c>
      <c r="T137" s="15" t="str">
        <v>Y</v>
      </c>
      <c r="U137" s="16">
        <v>4.24</v>
      </c>
      <c r="V137" s="15" t="str">
        <v>Y</v>
      </c>
      <c r="Y137" s="15" t="str">
        <v>Y</v>
      </c>
      <c r="AD137" s="15" t="str">
        <v>Pass</v>
      </c>
    </row>
    <row r="138" spans="1:32">
      <c r="A138" s="15" t="str">
        <v>车控功能</v>
      </c>
      <c r="B138" s="15" t="str">
        <v>座椅系统及设置</v>
      </c>
      <c r="C138" s="15" t="str">
        <v>vehicle_control_0026</v>
      </c>
      <c r="F138" s="15" t="str">
        <v>安全带插扣状态</v>
      </c>
      <c r="G138" s="15" t="str">
        <v>用户交互后变化</v>
      </c>
      <c r="H138" s="15" t="str">
        <v>status</v>
      </c>
      <c r="I138" s="15" t="str">
        <v>插扣状态</v>
      </c>
      <c r="J138" s="18" t="str">
        <v>enum</v>
      </c>
      <c r="K138" s="15" t="str">
        <v>扣好，未扣好</v>
      </c>
      <c r="M138" s="10">
        <v>1</v>
      </c>
      <c r="N138" s="15" t="str">
        <v>Y</v>
      </c>
      <c r="O138" s="36" t="str">
        <v>Y</v>
      </c>
      <c r="P138" s="37" t="str">
        <v>Y</v>
      </c>
      <c r="Q138" s="36" t="str">
        <v>安全带get接口
ISeatInterface
int getSeatSbltAtc(@SeatType int seatType, @NonNull IntResult result);
安全带状态回调接口
ISeatCallback
default void onSeatSbltAtcChanged(int seatType, @NonNull IntResult result) {}</v>
      </c>
      <c r="S138" s="125" t="inlineStr">
        <is>
          <r>
            <t>@陈果果</t>
          </r>
        </is>
      </c>
      <c r="T138" s="26" t="str">
        <v>Y</v>
      </c>
      <c r="U138" s="16">
        <v>4.24</v>
      </c>
      <c r="V138" s="15" t="str">
        <v>Y</v>
      </c>
      <c r="Y138" s="15" t="str">
        <v>Y</v>
      </c>
      <c r="AA138" s="15" t="str">
        <v>上汽问题</v>
      </c>
      <c r="AD138" s="15" t="str">
        <v>Fail</v>
      </c>
      <c r="AF138" s="144" t="str">
        <v>这个是不是删除了，和117重复
https://meego.larkoffice.com/telematics/issue/detail/7356490802</v>
      </c>
    </row>
    <row r="139" spans="1:32">
      <c r="A139" s="15" t="str">
        <v>车控功能</v>
      </c>
      <c r="H139" s="15" t="str">
        <v>position</v>
      </c>
      <c r="I139" s="15" t="str">
        <v>位置</v>
      </c>
      <c r="J139" s="18" t="str">
        <v>str</v>
      </c>
      <c r="L139" s="24">
        <v>1</v>
      </c>
      <c r="M139" s="16">
        <v>1</v>
      </c>
      <c r="N139" s="15" t="str">
        <v>Y</v>
      </c>
      <c r="O139" s="36" t="str">
        <v>Y</v>
      </c>
      <c r="P139" s="37" t="str">
        <v>Y</v>
      </c>
      <c r="Q139" s="36" t="str">
        <v>public @interface SeatType
{ /**DRIVER = 0: 主驾*/ int DRIVER = 0; /**COPILOT = 1: 副驾*/ int COPILOT = 1; /**REAR_LEFT = 2: 后左 || 二排左*/ int REAR_LEFT = 2; /**REAR_RIGHT = 3: 后右 || 二排右*/ int REAR_RIGHT = 3; /**REAR = 4: 后排*/ int REAR = 4; /**REAR_MIDDLE = 5: 后中*/ int REAR_MIDDLE = 5; /**ROW_3_LEFT = 6: 三排左*/ int ROW_3_LEFT = 6; /**ROW_3_RIGHT = 7: 三排右*/ int ROW_3_RIGHT = 7; }</v>
      </c>
      <c r="S139" s="125" t="inlineStr">
        <is>
          <r>
            <t>@陈果果</t>
          </r>
        </is>
      </c>
      <c r="T139" s="26" t="str">
        <v>Y</v>
      </c>
      <c r="U139" s="16">
        <v>4.24</v>
      </c>
      <c r="V139" s="15" t="str">
        <v>Y</v>
      </c>
      <c r="Y139" s="15" t="str">
        <v>Y</v>
      </c>
      <c r="AD139" s="15" t="str">
        <v>Fail</v>
      </c>
      <c r="AF139" s="145"/>
    </row>
    <row r="140" spans="1:30">
      <c r="A140" s="15" t="str">
        <v>车控功能</v>
      </c>
      <c r="B140" s="15" t="str">
        <v>门窗类</v>
      </c>
      <c r="C140" s="15" t="str">
        <v>vehicle_control_0027</v>
      </c>
      <c r="F140" s="15" t="str">
        <v>车窗状态</v>
      </c>
      <c r="G140" s="15" t="str">
        <v>用户交互后变化</v>
      </c>
      <c r="H140" s="15" t="str">
        <v>switch</v>
      </c>
      <c r="I140" s="15" t="str">
        <v>开关</v>
      </c>
      <c r="J140" s="18" t="str">
        <v>enum</v>
      </c>
      <c r="K140" s="15" t="str">
        <v>on，off</v>
      </c>
      <c r="M140" s="16">
        <v>1</v>
      </c>
      <c r="N140" s="15" t="str">
        <v>Y</v>
      </c>
      <c r="O140" s="36" t="str">
        <v>Y(只有全开、全关和暂停)</v>
      </c>
      <c r="P140" s="37" t="str">
        <v>Y</v>
      </c>
      <c r="Q140" s="36" t="str">
        <v>/**
 * 车窗锁激活状态获取
 * PermissionRequest(permissions = { zone.permission.vehicle.DEVICE_GET })
 * @param result result
 * @param position : 车窗位置 {@link WindowPosition}
 * @return {@link com.zone.api.vehicle.common.result.ResultCode}
 */
 @ResultCode
 int getWndLclOpDsbld(@WindowPosition int position, @NonNull IntResult result);</v>
      </c>
      <c r="S140" s="125" t="inlineStr">
        <is>
          <r>
            <t>@赵明珠</t>
          </r>
          <r>
            <t>@康楷朋</t>
          </r>
        </is>
      </c>
      <c r="T140" s="26" t="str">
        <v>Y</v>
      </c>
      <c r="U140" s="18" t="str">
        <v>/</v>
      </c>
      <c r="V140" s="15" t="str">
        <v>Y</v>
      </c>
      <c r="X140" s="15" t="str">
        <v>on，off</v>
      </c>
      <c r="Y140" s="15" t="str">
        <v>Y</v>
      </c>
      <c r="AD140" s="15" t="str">
        <v>Pass</v>
      </c>
    </row>
    <row r="141" spans="1:30">
      <c r="A141" s="15" t="str">
        <v>车控功能</v>
      </c>
      <c r="H141" s="15" t="str">
        <v>degree</v>
      </c>
      <c r="I141" s="15" t="str">
        <v>开启程度</v>
      </c>
      <c r="J141" s="18" t="str">
        <v>str</v>
      </c>
      <c r="M141" s="16">
        <v>1</v>
      </c>
      <c r="N141" s="49" t="str">
        <v>Y</v>
      </c>
      <c r="O141" s="106" t="str">
        <v>N(车窗没有开启程度)</v>
      </c>
      <c r="P141" s="107" t="str">
        <v>Y</v>
      </c>
      <c r="Q141" s="36" t="str">
        <v> /**
 * 指定位置车窗的开度获取
 * PermissionRequest(permissions = { zone.permission.vehicle.DEVICE_GET })
 * @param position ： 区域 {@link WindowPosition}
 * @param result {@link IntResult#getResult()} {0(全关)-100(全开)}
 * @return {@link com.zone.api.vehicle.common.result.ResultCode}
 */
 @ResultCode
 int getWindowOpeningDegree(@WindowPosition int position, @NonNull IntResult result);
 /**
 * 指定位置车窗的开度
 * PermissionRequest(permissions = { zone.permission.vehicle.DOOR_WINDOW_LOCK_SET })
 * @param position ： 区域 {@link WindowPosition}
 * @param degree {0(全关)-100(全开)}
 * @return {@link com.zone.api.vehicle.common.result.ResultCode}
 */
 @ResultCode
 int setWindowOpeningDegree(@WindowPosition int position, int degree);
</v>
      </c>
      <c r="S141" s="125" t="inlineStr">
        <is>
          <r>
            <t>@赵明珠</t>
          </r>
          <r>
            <t>@康楷朋</t>
          </r>
        </is>
      </c>
      <c r="T141" s="15" t="str">
        <v>Y</v>
      </c>
      <c r="U141" s="18" t="str">
        <v>/</v>
      </c>
      <c r="V141" s="15" t="str">
        <v>Y</v>
      </c>
      <c r="X141" s="15" t="str">
        <v>0-100 数值</v>
      </c>
      <c r="Y141" s="15" t="str">
        <v>Y</v>
      </c>
      <c r="AD141" s="15" t="str">
        <v>Pass</v>
      </c>
    </row>
    <row r="142" spans="1:30">
      <c r="A142" s="15" t="str">
        <v>车控功能</v>
      </c>
      <c r="H142" s="15" t="str">
        <v>position</v>
      </c>
      <c r="I142" s="15" t="str">
        <v>位置</v>
      </c>
      <c r="J142" s="18" t="str">
        <v>enum</v>
      </c>
      <c r="K142" s="15" t="str">
        <v>主驾，副驾，左后，右后，天窗</v>
      </c>
      <c r="L142" s="24">
        <v>1</v>
      </c>
      <c r="M142" s="16">
        <v>1</v>
      </c>
      <c r="N142" s="15" t="str">
        <v>Y</v>
      </c>
      <c r="O142" s="36" t="str">
        <v>Y(没有天窗功能)</v>
      </c>
      <c r="P142" s="37" t="str">
        <v>Y</v>
      </c>
      <c r="Q142" s="36" t="str">
        <v> /**
 * 指定位置车窗移动状态获取
 * PermissionRequest(permissions = { zone.permission.vehicle.DEVICE_GET })
 * @param position ： 区域 {@link WindowPosition}
 * @param result {@link IntResult#getResult()} {@link WindowStatus}
 * @return {@link com.zone.api.vehicle.common.result.ResultCode}
 */
 @ResultCode
 int getWindowStatus(@WindowPosition int position, @NonNull IntResult result);
 /**
 * 指定位置车窗移动状态设置
 * PermissionRequest(permissions = { zone.permission.vehicle.DOOR_WINDOW_LOCK_SET })
 * @param position ： 区域 {@link WindowPosition}
 * @param ope {@link WindowOpeType}
 * @return {@link com.zone.api.vehicle.common.result.ResultCode}
 */
 @ResultCode
 int setWindowStatus(@WindowPosition int position, @WindowOpeType int ope);</v>
      </c>
      <c r="S142" s="125" t="inlineStr">
        <is>
          <r>
            <t>@赵明珠</t>
          </r>
          <r>
            <t>@康楷朋</t>
          </r>
        </is>
      </c>
      <c r="T142" s="26" t="str">
        <v>Y</v>
      </c>
      <c r="U142" s="18" t="str">
        <v>/</v>
      </c>
      <c r="V142" s="15" t="str">
        <v>Y</v>
      </c>
      <c r="X142" s="15" t="str">
        <v>主驾，副驾，左后，右后（天窗没有上报）</v>
      </c>
      <c r="Y142" s="15" t="str">
        <v>Y</v>
      </c>
      <c r="AD142" s="15" t="str">
        <v>Pass</v>
      </c>
    </row>
    <row r="143" spans="1:30">
      <c r="A143" s="15" t="str">
        <v>车控功能</v>
      </c>
      <c r="B143" s="15" t="str">
        <v>门窗类</v>
      </c>
      <c r="C143" s="15" t="str">
        <v>vehicle_control_0028</v>
      </c>
      <c r="F143" s="15" t="str">
        <v>车门状态</v>
      </c>
      <c r="G143" s="15" t="str">
        <v>低频变化</v>
      </c>
      <c r="H143" s="15" t="str">
        <v>switch</v>
      </c>
      <c r="I143" s="15" t="str">
        <v>开关</v>
      </c>
      <c r="J143" s="18" t="str">
        <v>enum</v>
      </c>
      <c r="K143" s="15" t="str">
        <v>on，off</v>
      </c>
      <c r="M143" s="16">
        <v>1</v>
      </c>
      <c r="N143" s="15" t="str">
        <v>Y</v>
      </c>
      <c r="O143" s="36" t="str">
        <v>Y</v>
      </c>
      <c r="P143" s="37" t="str">
        <v>Y</v>
      </c>
      <c r="Q143" s="36" t="str">
        <v> 
/**
 * 电动门状态获取
 * PermissionRequest(permissions = { zone.permission.vehicle.DEVICE_GET })
 * @param position : 区域 {@link DoorLockPostion}
 * @param result {@link IntResult#getResult()} {@link DoorOpenStatus}
 * @return {@link com.zone.api.vehicle.common.result.ResultCode}
 */
 @ResultCode
 int getDoorOpenStatus(@DoorLockPostion int position, @NonNull IntResult result
开关/开启程度：
前备箱-EV车：
开关
int getPwrHoodSysSts(@NonNull IntResult result)
DoorLockCallbackFlag.PWR_HOOD_SYS_STS
onPwrHoodSysStsChanged
开启程度
int getPowerHoodPosSet(@NonNull IntResult result)
DoorLockCallbackFlag.POWER_HOOD_POS_SET
onPowerHoodPosSetChanged
尾门：
开关
int getTailgateStatus(@NonNull IntResult result)
DoorLockCallbackFlag.TAILGATE_STATUS
onTailgateStatusChanged
开启程度
int getTailgatePosition(@NonNull FloatResult result)
DoorLockCallbackFlag.TAILGATE_POSITION
onTailgatePositionChanged</v>
      </c>
      <c r="S143" s="125" t="inlineStr">
        <is>
          <r>
            <t>@赵明珠</t>
          </r>
          <r>
            <t>@康楷朋</t>
          </r>
        </is>
      </c>
      <c r="T143" s="26" t="str">
        <v>Y</v>
      </c>
      <c r="U143" s="18" t="str">
        <v>/</v>
      </c>
      <c r="V143" s="15" t="str">
        <v>Y</v>
      </c>
      <c r="Y143" s="15" t="str">
        <v>Y</v>
      </c>
      <c r="AD143" s="15" t="str">
        <v>Pass</v>
      </c>
    </row>
    <row r="144" spans="1:23">
      <c r="A144" s="15" t="str">
        <v>车控功能</v>
      </c>
      <c r="H144" s="15" t="str">
        <v>degree</v>
      </c>
      <c r="I144" s="15" t="str">
        <v>开启程度</v>
      </c>
      <c r="J144" s="18" t="str">
        <v>str</v>
      </c>
      <c r="M144" s="16">
        <v>1</v>
      </c>
      <c r="N144" s="15" t="str">
        <v>Y</v>
      </c>
      <c r="O144" s="36" t="str">
        <v>Y (只支持前备箱-EV车和尾门有开启程度)</v>
      </c>
      <c r="P144" s="37" t="str">
        <v>Y</v>
      </c>
      <c r="S144" s="143" t="inlineStr">
        <is>
          <r>
            <t>@余明明</t>
          </r>
        </is>
      </c>
      <c r="T144" s="75" t="str">
        <v>N</v>
      </c>
      <c r="V144" s="125" t="str">
        <v>当前车不支持</v>
      </c>
      <c r="W144" s="4" t="inlineStr">
        <is>
          <r>
            <rPr>
              <strike/>
              <sz val="10"/>
              <color rgb="FF1F2329"/>
              <rFont val="Arial"/>
            </rPr>
            <t xml:space="preserve">无法获取具体数值待上汽接口支持
04.20：找上汽询问具体进度
</t>
          </r>
          <r>
            <rPr>
              <sz val="10"/>
              <color rgb="FF1F2329"/>
              <rFont val="Arial"/>
            </rPr>
            <t>当前车门是机械的，获取不了开合进度</t>
          </r>
        </is>
      </c>
    </row>
    <row r="145" spans="1:30">
      <c r="A145" s="15" t="str">
        <v>车控功能</v>
      </c>
      <c r="H145" s="15" t="str">
        <v>position</v>
      </c>
      <c r="I145" s="15" t="str">
        <v>位置</v>
      </c>
      <c r="J145" s="18" t="str">
        <v>enum</v>
      </c>
      <c r="K145" s="15" t="inlineStr">
        <is>
          <r>
            <rPr>
              <sz val="10"/>
              <color rgb="FF1F2329"/>
              <rFont val="Arial"/>
            </rPr>
            <t>主驾，副驾，左后，右后，尾门，</t>
          </r>
          <r>
            <rPr>
              <sz val="10"/>
              <color rgb="FFF54A45"/>
              <rFont val="Arial"/>
            </rPr>
            <t>前备箱</t>
          </r>
        </is>
      </c>
      <c r="L145" s="24">
        <v>1</v>
      </c>
      <c r="M145" s="16">
        <v>1</v>
      </c>
      <c r="N145" s="15" t="str">
        <v>Y</v>
      </c>
      <c r="O145" s="36" t="str">
        <v>Y</v>
      </c>
      <c r="P145" s="37" t="str">
        <v>Y</v>
      </c>
      <c r="S145" s="125" t="inlineStr">
        <is>
          <r>
            <t>@赵明珠</t>
          </r>
          <r>
            <t>@康楷朋</t>
          </r>
        </is>
      </c>
      <c r="T145" s="26" t="str">
        <v>Y</v>
      </c>
      <c r="U145" s="18" t="str">
        <v>/</v>
      </c>
      <c r="V145" s="15" t="str">
        <v>Y</v>
      </c>
      <c r="X145" s="15" t="str">
        <v>主驾，副驾，左后，右后、尾门</v>
      </c>
      <c r="Y145" s="15" t="str">
        <v>Y</v>
      </c>
      <c r="AD145" s="15" t="str">
        <v>Pass</v>
      </c>
    </row>
    <row r="146" spans="1:30">
      <c r="A146" s="15" t="str">
        <v>车控功能</v>
      </c>
      <c r="B146" s="15" t="str">
        <v>门窗类</v>
      </c>
      <c r="C146" s="15" t="str">
        <v>vehicle_control_0029</v>
      </c>
      <c r="F146" s="15" t="str">
        <v>车门锁状态</v>
      </c>
      <c r="G146" s="15" t="str">
        <v>低频变化</v>
      </c>
      <c r="H146" s="15" t="str">
        <v>switch</v>
      </c>
      <c r="I146" s="15" t="str">
        <v>开关</v>
      </c>
      <c r="J146" s="18" t="str">
        <v>enum</v>
      </c>
      <c r="K146" s="15" t="str">
        <v>on，off</v>
      </c>
      <c r="M146" s="16">
        <v>1</v>
      </c>
      <c r="N146" s="15" t="str">
        <v>Y</v>
      </c>
      <c r="O146" s="36" t="str">
        <v>Y</v>
      </c>
      <c r="P146" s="37" t="str">
        <v>Y</v>
      </c>
      <c r="Q146" s="36" t="str">
        <v> /**
 * 中控锁闭锁/解锁设置
 * PermissionRequest(permissions = { zone.permission.vehicle.DOOR_WINDOW_LOCK_SET }) 
 * @param status : 中控锁指令 {@link DoorLockStatus}
 * @return {@link com.zone.api.vehicle.common.result.ResultCode}
 */
 @ResultCode
 int setCentralCtrlDoorLock(@DoorLockStatus int status);
 /**
 * 中控锁状态获取
 * PermissionRequest(permissions = { zone.permission.vehicle.DEVICE_GET })
 * @param result {@link IntResult#getResult()} {@link DoorLockStatus}
 * @return {@link com.zone.api.vehicle.common.result.ResultCode}
 */
 @ResultCode
 int getCentralCtrlDoorLock(@NonNull IntResult result);</v>
      </c>
      <c r="S146" s="125" t="inlineStr">
        <is>
          <r>
            <t>@赵明珠</t>
          </r>
          <r>
            <t>@康楷朋</t>
          </r>
        </is>
      </c>
      <c r="T146" s="26" t="str">
        <v>Y</v>
      </c>
      <c r="U146" s="18" t="str">
        <v>/</v>
      </c>
      <c r="V146" s="15" t="str">
        <v>Y</v>
      </c>
      <c r="X146" s="15" t="str">
        <v>on，off</v>
      </c>
      <c r="Y146" s="15" t="str">
        <v>Y</v>
      </c>
      <c r="AD146" s="15" t="str">
        <v>Pass</v>
      </c>
    </row>
    <row r="147" spans="1:30">
      <c r="A147" s="15" t="str">
        <v>车控功能</v>
      </c>
      <c r="H147" s="15" t="str">
        <v>position</v>
      </c>
      <c r="I147" s="15" t="str">
        <v>位置</v>
      </c>
      <c r="J147" s="18" t="str">
        <v>enum</v>
      </c>
      <c r="K147" s="15" t="str">
        <v>主驾，副驾，左后，右后，整车</v>
      </c>
      <c r="L147" s="24">
        <v>1</v>
      </c>
      <c r="M147" s="16">
        <v>1</v>
      </c>
      <c r="N147" s="56" t="str">
        <v>Y（默认整车）</v>
      </c>
      <c r="O147" s="87" t="str">
        <v>N</v>
      </c>
      <c r="P147" s="37" t="str">
        <v>NA</v>
      </c>
      <c r="S147" s="125" t="inlineStr">
        <is>
          <r>
            <t>@赵明珠</t>
          </r>
          <r>
            <t>@康楷朋</t>
          </r>
        </is>
      </c>
      <c r="T147" s="15" t="str">
        <v>Y</v>
      </c>
      <c r="U147" s="18" t="str">
        <v>/</v>
      </c>
      <c r="V147" s="15" t="str">
        <v>Y</v>
      </c>
      <c r="X147" s="15" t="str">
        <v>全车</v>
      </c>
      <c r="Y147" s="15" t="str">
        <v>Y</v>
      </c>
      <c r="AD147" s="15" t="str">
        <v>Pass</v>
      </c>
    </row>
    <row r="148" spans="1:30">
      <c r="A148" s="15" t="str">
        <v>车控功能</v>
      </c>
      <c r="B148" s="15" t="str">
        <v>后视镜类</v>
      </c>
      <c r="C148" s="15" t="str">
        <v>vehicle_control_0031</v>
      </c>
      <c r="F148" s="15" t="str">
        <v>后视镜状态</v>
      </c>
      <c r="G148" s="15" t="str">
        <v>低频变化</v>
      </c>
      <c r="H148" s="15" t="str">
        <v>fold_switch</v>
      </c>
      <c r="I148" s="15" t="str">
        <v>折叠状态</v>
      </c>
      <c r="J148" s="18" t="str">
        <v>enum</v>
      </c>
      <c r="K148" s="15" t="str">
        <v>on，off</v>
      </c>
      <c r="M148" s="16">
        <v>1</v>
      </c>
      <c r="N148" s="15" t="str">
        <v>Y</v>
      </c>
      <c r="O148" s="36" t="str">
        <v>Y</v>
      </c>
      <c r="P148" s="37" t="str">
        <v>Y</v>
      </c>
      <c r="Q148" s="36" t="str">
        <v> /**
 * 后视镜折叠状态设置
 * PermissionRequest(permissions = { zone.permission.vehicle.DOOR_WINDOW_LOCK_SET }) 
 * @param status 设置值 {@link SwitchStatus}
 * @return resultCode 返回结果码 {@link ResultCode}
 */
 int setRearMirrorFoldStatus(@NonNull SwitchStatus status);
 /**
 * 后视镜折叠状态获取
 * PermissionRequest(permissions = { zone.permission.vehicle.DEVICE_GET })
 * @param result {@link IntResult#getResult} {@link SwitchHmiStatus}
 * @return resultCode 返回结果码 {@link ResultCode}
 */
 int getRearMirrorFoldStatus(@NonNull IntResult result);</v>
      </c>
      <c r="S148" s="125" t="inlineStr">
        <is>
          <r>
            <t>@谢一鸣</t>
          </r>
        </is>
      </c>
      <c r="T148" s="26" t="str">
        <v>Y</v>
      </c>
      <c r="U148" s="27">
        <v>4.24</v>
      </c>
      <c r="V148" s="15" t="str">
        <v>Y</v>
      </c>
      <c r="Y148" s="15" t="str">
        <v>Y</v>
      </c>
      <c r="AD148" s="15" t="str">
        <v>Pass</v>
      </c>
    </row>
    <row r="149" spans="1:32">
      <c r="A149" s="15" t="str">
        <v>车控功能</v>
      </c>
      <c r="H149" s="15" t="str">
        <v>heat_status</v>
      </c>
      <c r="I149" s="15" t="str">
        <v>加热状态</v>
      </c>
      <c r="J149" s="18" t="str">
        <v>enum</v>
      </c>
      <c r="K149" s="15" t="str">
        <v>on，off</v>
      </c>
      <c r="M149" s="16">
        <v>1</v>
      </c>
      <c r="N149" s="15" t="str">
        <v>Y</v>
      </c>
      <c r="O149" s="36" t="str">
        <v>Y(根据车型配置)</v>
      </c>
      <c r="P149" s="37" t="str">
        <v>Y</v>
      </c>
      <c r="Q149" s="36" t="str">
        <v>int getRearMirrorHeat(@NonNull IntResult result);
RearMirrorCallbackFlag.REAR_MIRROR_HEAT（）
onRearMirrorHeatChanged</v>
      </c>
      <c r="S149" s="143" t="inlineStr">
        <is>
          <r>
            <t>@谢一鸣</t>
          </r>
        </is>
      </c>
      <c r="T149" s="15" t="str">
        <v>N</v>
      </c>
      <c r="U149" s="16">
        <v>4.22</v>
      </c>
      <c r="V149" s="15" t="str">
        <v>Y</v>
      </c>
      <c r="W149" s="100" t="str">
        <v>04.22:实车未收到状态回调，上汽反馈还未完成
05.26：未收到回调 =》05.27：提供了新的接口，还未验证 =》06.14：上汽毛富龙依然未收到回调
0624 问下产品，是否可以让上汽拆成两个，避免后续其他车型变化，还要再改
0706 仁杰反馈当下可用就按当下实现，待一鸣实现</v>
      </c>
      <c r="X149" s="15" t="str">
        <v>on，off</v>
      </c>
      <c r="Y149" s="15" t="str">
        <v>Y</v>
      </c>
      <c r="AD149" s="15" t="str">
        <v>Fail</v>
      </c>
      <c r="AE149" s="18" t="str">
        <v>无上报</v>
      </c>
      <c r="AF149" s="128" t="str">
        <v>https://meego.larkoffice.com/telematics/issue/detail/7356070708</v>
      </c>
    </row>
    <row r="150" spans="1:30">
      <c r="A150" s="15" t="str">
        <v>车控功能</v>
      </c>
      <c r="B150" s="15" t="str">
        <v>雨刮类</v>
      </c>
      <c r="C150" s="15" t="str">
        <v>vehicle_control_0032</v>
      </c>
      <c r="F150" s="15" t="str">
        <v>雨刮状态</v>
      </c>
      <c r="G150" s="15" t="str">
        <v>低频变化</v>
      </c>
      <c r="H150" s="15" t="str">
        <v>states</v>
      </c>
      <c r="I150" s="15" t="str">
        <v>状态</v>
      </c>
      <c r="J150" s="18" t="str">
        <v>enum</v>
      </c>
      <c r="K150" s="15" t="inlineStr">
        <is>
          <r>
            <rPr>
              <sz val="10"/>
              <color rgb="FF1F2329"/>
              <rFont val="Arial"/>
            </rPr>
            <t>关闭，1档，2档，3档，</t>
          </r>
          <r>
            <rPr>
              <sz val="10"/>
              <color rgb="FFF54A45"/>
              <rFont val="Arial"/>
            </rPr>
            <t>自动档</t>
          </r>
        </is>
      </c>
      <c r="N150" s="15" t="str">
        <v>Y</v>
      </c>
      <c r="O150" s="36" t="str">
        <v>Y（只有关闭和打开）</v>
      </c>
      <c r="P150" s="37" t="str">
        <v>Y</v>
      </c>
      <c r="Q150" s="53" t="str">
        <v>int getFrtWiperSwSts(@NonNull IntResult result);
WindowCallbackFlag.WINDOW_FRONT_WIPER_SW_STS
default void onFrtWiperSwStsChanged(IntResult result) { // TODO: 21-4-1 logic will be implemented by client. }</v>
      </c>
      <c r="S150" s="125" t="inlineStr">
        <is>
          <r>
            <t>@谢一鸣</t>
          </r>
        </is>
      </c>
      <c r="T150" s="103" t="str">
        <v>Y</v>
      </c>
      <c r="U150" s="21">
        <v>4.22</v>
      </c>
      <c r="V150" s="20" t="str">
        <v>Y</v>
      </c>
      <c r="W150" s="96" t="str">
        <v>04.22:实车未收到状态回调，上汽反馈还未完成 =》 04.27：上汽建议起票
05.26：实车雨刮又出问题，无法打开雨刮=》05.27：提供了新的接口，还未验证</v>
      </c>
      <c r="Y150" s="15" t="str">
        <v>N</v>
      </c>
      <c r="AA150" s="15" t="str">
        <v>只有打开关闭一档二挡的状态</v>
      </c>
      <c r="AD150" s="15" t="str">
        <v>Pass</v>
      </c>
    </row>
    <row r="151" spans="1:31">
      <c r="A151" s="15" t="str">
        <v>车控功能</v>
      </c>
      <c r="B151" s="15" t="str">
        <v>方向盘类</v>
      </c>
      <c r="C151" s="15" t="str">
        <v>vehicle_control_0033</v>
      </c>
      <c r="F151" s="15" t="str">
        <v>方向盘加热状态</v>
      </c>
      <c r="G151" s="15" t="str">
        <v>低频变化</v>
      </c>
      <c r="H151" s="15" t="str">
        <v>states</v>
      </c>
      <c r="I151" s="15" t="str">
        <v>状态</v>
      </c>
      <c r="J151" s="18" t="str">
        <v>enum</v>
      </c>
      <c r="K151" s="15" t="str">
        <v>关闭，1档，2档，3档</v>
      </c>
      <c r="M151" s="16">
        <v>1</v>
      </c>
      <c r="N151" s="15" t="str">
        <v>Y</v>
      </c>
      <c r="O151" s="36" t="str">
        <v>Y</v>
      </c>
      <c r="P151" s="37" t="str">
        <v>Y</v>
      </c>
      <c r="Q151" s="53" t="str">
        <v>int setSteeringWheelHeatingLevel(@HvacSteeringWheelHeatingLevel int level); 方向盘加热开关设置
int getSteeringWheelHeatingLevel(IntResult result); 方向盘加热开关状态获取
default void onSteeringWheelHeatingLevelChanged(IntResult result) 方向盘加热开关状态通知
STEERING_WHEEL_HEATING_LEVEL 方向盘加热开关状态通知FLAG
HvacSteeringWheelHeatingLevel 
 /**OFF = 0 ：关闭*/
 int OFF = 0;
 /**LEVEL_1 = 1 ：暂未使用*/
 int LEVEL_1 = 1;
 /**LEVEL_2 = 2 ：暂未使用*/
 int LEVEL_2 = 2;
 /**LEVEL_3 = 3 ：开启*/
 int LEVEL_3 = 3;</v>
      </c>
      <c r="S151" s="125" t="inlineStr">
        <is>
          <r>
            <t>@尹泽陆</t>
          </r>
        </is>
      </c>
      <c r="T151" s="26" t="str">
        <v>Y</v>
      </c>
      <c r="V151" s="15" t="str">
        <v>Y</v>
      </c>
      <c r="Y151" s="15" t="str">
        <v>B</v>
      </c>
      <c r="AA151" s="15" t="str">
        <v>页面操作只有开启和关闭，没有档位</v>
      </c>
      <c r="AD151" s="15" t="str">
        <v>Block</v>
      </c>
      <c r="AE151" s="18" t="str">
        <v>无1，2档</v>
      </c>
    </row>
    <row r="152" spans="1:30">
      <c r="A152" s="15" t="str">
        <v>车控功能</v>
      </c>
      <c r="B152" s="15" t="str">
        <v>多媒体控制</v>
      </c>
      <c r="C152" s="15" t="str">
        <v>vehicle_control_0035</v>
      </c>
      <c r="F152" s="15" t="str">
        <v>音量状态</v>
      </c>
      <c r="G152" s="15" t="str">
        <v>低频变化</v>
      </c>
      <c r="H152" s="15" t="str">
        <v>object</v>
      </c>
      <c r="I152" s="15" t="str">
        <v>控制对象名称</v>
      </c>
      <c r="J152" s="18" t="str">
        <v>enum</v>
      </c>
      <c r="K152" s="15" t="str">
        <v>导航，媒体，语音，电话</v>
      </c>
      <c r="L152" s="24">
        <v>1</v>
      </c>
      <c r="M152" s="16">
        <v>1</v>
      </c>
      <c r="N152" s="15" t="str">
        <v>Y</v>
      </c>
      <c r="O152" s="36" t="str">
        <v>Y</v>
      </c>
      <c r="P152" s="37" t="str">
        <v>Y</v>
      </c>
      <c r="Q152" s="111" t="str">
        <v>设置各种音量使用public boolean setGroupVolumeAsync(int groupId, int index, int flags) 接口，
 设置静音使用public boolean setGroupMute(int groupId, boolean mute, int flags)
groupId指音量类型（如下），
index 是音量step值，mute是指是否静音，
flags 如果不需要弹窗建议使用VOLUME_CHANGE_FLAG_NO_TOAST_UI，需要弹窗可以使用VOLUME_CHANGE_FLAG_IMPORTANT_SHOW_UI
都有对应的get和notify接口</v>
      </c>
      <c r="S152" s="124" t="inlineStr">
        <is>
          <r>
            <t>@田高琳</t>
          </r>
        </is>
      </c>
      <c r="T152" s="26" t="str">
        <v>Y</v>
      </c>
      <c r="U152" s="27">
        <v>4.22</v>
      </c>
      <c r="V152" s="126" t="str">
        <v>Y</v>
      </c>
      <c r="X152" s="15" t="str">
        <v>多媒体、导航、语音、通话、来电铃声</v>
      </c>
      <c r="Y152" s="15" t="str">
        <v>Y</v>
      </c>
      <c r="AD152" s="15" t="str">
        <v>Pass</v>
      </c>
    </row>
    <row r="153" spans="1:30">
      <c r="A153" s="15" t="str">
        <v>车控功能</v>
      </c>
      <c r="H153" s="15" t="str">
        <v>states</v>
      </c>
      <c r="I153" s="15" t="str">
        <v>状态</v>
      </c>
      <c r="J153" s="18" t="str">
        <v>str</v>
      </c>
      <c r="M153" s="16">
        <v>1</v>
      </c>
      <c r="N153" s="15" t="str">
        <v>Y</v>
      </c>
      <c r="O153" s="36" t="str">
        <v>Y</v>
      </c>
      <c r="P153" s="37" t="str">
        <v>Y</v>
      </c>
      <c r="S153" s="124" t="inlineStr">
        <is>
          <r>
            <t>@田高琳</t>
          </r>
        </is>
      </c>
      <c r="T153" s="26" t="str">
        <v>Y</v>
      </c>
      <c r="U153" s="27">
        <v>4.22</v>
      </c>
      <c r="V153" s="126" t="str">
        <v>Y</v>
      </c>
      <c r="X153" s="15" t="str">
        <v>0～30</v>
      </c>
      <c r="Y153" s="15" t="str">
        <v>Y</v>
      </c>
      <c r="AD153" s="15" t="str">
        <v>Pass</v>
      </c>
    </row>
    <row r="154" spans="1:32">
      <c r="A154" s="15" t="str">
        <v>车控功能</v>
      </c>
      <c r="B154" s="15" t="str">
        <v>仪表及其它辅助系统</v>
      </c>
      <c r="C154" s="15" t="str">
        <v>vehicle_control_0040</v>
      </c>
      <c r="F154" s="15" t="str">
        <v>车机时间</v>
      </c>
      <c r="G154" s="15" t="str">
        <v>低频变化</v>
      </c>
      <c r="H154" s="15" t="str">
        <v>date</v>
      </c>
      <c r="I154" s="15" t="str">
        <v>时间</v>
      </c>
      <c r="J154" s="18" t="str">
        <v>str</v>
      </c>
      <c r="M154" s="16">
        <v>1</v>
      </c>
      <c r="N154" s="15" t="str">
        <v>Y</v>
      </c>
      <c r="O154" s="36" t="str">
        <v>Y</v>
      </c>
      <c r="P154" s="37" t="str">
        <v>Y</v>
      </c>
      <c r="Q154" s="53" t="str">
        <v>原生系统能力</v>
      </c>
      <c r="S154" s="125" t="inlineStr">
        <is>
          <r>
            <t>@杨忠谕</t>
          </r>
        </is>
      </c>
      <c r="T154" s="26" t="str">
        <v>Y</v>
      </c>
      <c r="U154" s="112">
        <v>46132</v>
      </c>
      <c r="V154" s="15" t="str">
        <v>Y</v>
      </c>
      <c r="Y154" s="15" t="str">
        <v>Y</v>
      </c>
      <c r="AD154" s="15" t="str">
        <v>Fail</v>
      </c>
      <c r="AE154" s="18" t="str">
        <v>数据库无数据，实时日志也未找到对应的数据</v>
      </c>
      <c r="AF154" s="128" t="str">
        <v>https://meego.larkoffice.com/telematics/issue/detail/7356117145</v>
      </c>
    </row>
    <row r="155" spans="1:32">
      <c r="A155" s="15" t="str">
        <v>车控功能</v>
      </c>
      <c r="B155" s="15" t="str">
        <v>仪表及其它辅助系统</v>
      </c>
      <c r="C155" s="15" t="str">
        <v>vehicle_control_0042</v>
      </c>
      <c r="F155" s="15" t="str">
        <v>行驶里程</v>
      </c>
      <c r="G155" s="15" t="str">
        <v>低频变化</v>
      </c>
      <c r="H155" s="15" t="str">
        <v>object</v>
      </c>
      <c r="I155" s="15" t="str">
        <v>里程类型</v>
      </c>
      <c r="J155" s="18" t="str">
        <v>enum</v>
      </c>
      <c r="K155" s="15" t="str">
        <v>总里程，本次行驶里程(km)</v>
      </c>
      <c r="L155" s="24">
        <v>1</v>
      </c>
      <c r="M155" s="16">
        <v>1</v>
      </c>
      <c r="N155" s="15" t="str">
        <v>Y</v>
      </c>
      <c r="O155" s="36" t="str">
        <v>Y （两个信号）</v>
      </c>
      <c r="P155" s="37" t="str">
        <v>Y</v>
      </c>
      <c r="Q155" s="111" t="str">
        <v> /**
 * 显示里程获取
 * PermissionRequest(permissions = { zone.permission.vehicle.DEVICE_GET })
 * @param result {@link IntResult#getResult}: 0-999999 (km)
 *
 * @return resultCode 返回结果码 {@link ResultCode}
 */
 int getODODispInfo(@NonNull IntResult result);</v>
      </c>
      <c r="S155" s="124" t="inlineStr">
        <is>
          <r>
            <t>@田高琳</t>
          </r>
        </is>
      </c>
      <c r="T155" s="26" t="str">
        <v>Y</v>
      </c>
      <c r="U155" s="27">
        <v>4.22</v>
      </c>
      <c r="V155" s="126" t="str">
        <v>Y</v>
      </c>
      <c r="Y155" s="15" t="str">
        <v>N</v>
      </c>
      <c r="AD155" s="15" t="str">
        <v>Fail</v>
      </c>
      <c r="AE155" s="18" t="str">
        <v>@路测</v>
      </c>
      <c r="AF155" s="131" t="str">
        <v>https://meego.larkoffice.com/telematics/issue/detail/7356071140</v>
      </c>
    </row>
    <row r="156" spans="1:32">
      <c r="A156" s="15" t="str">
        <v>车控功能</v>
      </c>
      <c r="H156" s="15" t="str">
        <v>distance</v>
      </c>
      <c r="I156" s="15" t="str">
        <v>里程</v>
      </c>
      <c r="J156" s="18" t="str">
        <v>str</v>
      </c>
      <c r="M156" s="16">
        <v>1</v>
      </c>
      <c r="N156" s="15" t="str">
        <v>Y</v>
      </c>
      <c r="O156" s="36" t="str">
        <v>Y</v>
      </c>
      <c r="P156" s="37" t="str">
        <v>Y</v>
      </c>
      <c r="Q156" s="111" t="str">
        <v> /**
 * 行驶里程更新通知.
 *
 * @param period:计算timing {@link CalculatePeriod}
 * @param result &lt;br&gt;
 * {@link FloatResult#getResult}: {任意值} &lt;br&gt;
 * {@link IntResult#getCode()} {@link ResultCode}
 */
 default void onTripInfoChanged(@CalculatePeriod int period, @NonNull FloatResult result) {
 }</v>
      </c>
      <c r="S156" s="124" t="inlineStr">
        <is>
          <r>
            <t>@田高琳</t>
          </r>
        </is>
      </c>
      <c r="T156" s="26" t="str">
        <v>Y</v>
      </c>
      <c r="U156" s="27">
        <v>4.22</v>
      </c>
      <c r="V156" s="126" t="str">
        <v>Y</v>
      </c>
      <c r="Y156" s="15" t="str">
        <v>N</v>
      </c>
      <c r="AD156" s="15" t="str">
        <v>Fail</v>
      </c>
      <c r="AE156" s="18" t="str">
        <v>@路测</v>
      </c>
      <c r="AF156" s="132"/>
    </row>
    <row r="157" spans="1:32">
      <c r="A157" s="15" t="str">
        <v>车控功能</v>
      </c>
      <c r="B157" s="15" t="str">
        <v>场景与模式</v>
      </c>
      <c r="C157" s="15" t="str">
        <v>vehicle_control_0043</v>
      </c>
      <c r="F157" s="15" t="str">
        <v>车辆使用模式</v>
      </c>
      <c r="G157" s="15" t="str">
        <v>低频变化</v>
      </c>
      <c r="H157" s="15" t="str">
        <v>states</v>
      </c>
      <c r="I157" s="15" t="str">
        <v>模式</v>
      </c>
      <c r="J157" s="18" t="str">
        <v>enum</v>
      </c>
      <c r="K157" s="15" t="str">
        <v>洗车模式，拖车模式，寻车模式，维修模式，露营模式，影院模式，关怀模式，露营模式，隐私模式</v>
      </c>
      <c r="N157" s="15" t="str">
        <v>Y</v>
      </c>
      <c r="O157" s="36" t="str">
        <v>Y</v>
      </c>
      <c r="P157" s="37" t="str">
        <v>Y</v>
      </c>
      <c r="Q157" s="53" t="str">
        <v>智能场景模式参考场景SDK（已提供）
 com.zone.api.smartscene.SmartSceneEventListener
void onSceneWindowShow(int sceneId, int displayId) 
描述: 场景开启后，通知指定屏幕显示场景画面
参数:
sceneId : 开启的场景id
displayId : 屏幕id
void onSceneHide(int sceneId) 
描述: 场景退出后，通知场景画面退出
参数:
sceneId : 开启的场景id
+++++++++++++++++++++++++++++++++++++++++++++++++++++++++++
车辆模式参考车控SDK（车辆模式）（@周莉）
在车控未找到此接口</v>
      </c>
      <c r="S157" s="125" t="inlineStr">
        <is>
          <r>
            <t>@杨忠谕</t>
          </r>
        </is>
      </c>
      <c r="T157" s="26" t="str">
        <v>Y</v>
      </c>
      <c r="U157" s="112">
        <v>46132</v>
      </c>
      <c r="V157" s="15" t="str">
        <v>Y</v>
      </c>
      <c r="Y157" s="15" t="str">
        <v>Y</v>
      </c>
      <c r="AD157" s="15" t="str">
        <v>Fail</v>
      </c>
      <c r="AE157" s="18" t="str">
        <v>字段错误</v>
      </c>
      <c r="AF157" s="132" t="str">
        <v>https://meego.larkoffice.com/telematics/issue/detail/7356094676</v>
      </c>
    </row>
    <row r="158" spans="1:30">
      <c r="A158" s="15" t="str">
        <v>车控功能</v>
      </c>
      <c r="B158" s="15" t="str">
        <v>屏幕类</v>
      </c>
      <c r="C158" s="15" t="str">
        <v>vehicle_control_0044</v>
      </c>
      <c r="F158" s="15" t="str">
        <v>屏幕状态</v>
      </c>
      <c r="G158" s="15" t="str">
        <v>低频变化</v>
      </c>
      <c r="H158" s="15" t="str">
        <v>position</v>
      </c>
      <c r="I158" s="15" t="str">
        <v>位置</v>
      </c>
      <c r="J158" s="46" t="str">
        <v>enum</v>
      </c>
      <c r="K158" s="15" t="str">
        <v>中控屏、副驾屏、仪表、后排屏、左后屏、右后屏、前排屏、全部屏、PAD、语音屏、后排吸顶屏</v>
      </c>
      <c r="L158" s="24">
        <v>1</v>
      </c>
      <c r="N158" s="15" t="str">
        <v>Y</v>
      </c>
      <c r="O158" s="36" t="str">
        <v>Y</v>
      </c>
      <c r="P158" s="37" t="str">
        <v>Y</v>
      </c>
      <c r="Q158" s="53" t="str">
        <v>接口类：BackLightManager
获取背光开关状态：public int getBackLightSwitchStatus(int displayID)
设置背光开关状态：public int setBackLightSwitchStatus(int displayID, boolean isOn, int priority, int reason)
获取背光亮度：public int getBackLightBrightness(int displayID)
设置背光亮度：public int setBackLightBrightness(int displayID, int brightness, int priority, int requestorID)
都有对应的get和notify接口</v>
      </c>
      <c r="S158" s="125" t="inlineStr">
        <is>
          <r>
            <t>@谢一鸣</t>
          </r>
        </is>
      </c>
      <c r="T158" s="26" t="str">
        <v>Y</v>
      </c>
      <c r="U158" s="27">
        <v>4.21</v>
      </c>
      <c r="V158" s="15" t="str">
        <v>Y</v>
      </c>
      <c r="X158" s="15" t="str">
        <v>中控屏，仪表</v>
      </c>
      <c r="Y158" s="15" t="str">
        <v>Y</v>
      </c>
      <c r="AD158" s="15" t="str">
        <v>Pass</v>
      </c>
    </row>
    <row r="159" spans="1:30">
      <c r="A159" s="15" t="str">
        <v>车控功能</v>
      </c>
      <c r="H159" s="15" t="str">
        <v>states</v>
      </c>
      <c r="I159" s="15" t="str">
        <v>亮度</v>
      </c>
      <c r="J159" s="46" t="str">
        <v>str</v>
      </c>
      <c r="N159" s="15" t="str">
        <v>Y</v>
      </c>
      <c r="O159" s="36" t="str">
        <v>Y</v>
      </c>
      <c r="P159" s="37" t="str">
        <v>Y</v>
      </c>
      <c r="S159" s="125" t="inlineStr">
        <is>
          <r>
            <t>@谢一鸣</t>
          </r>
        </is>
      </c>
      <c r="T159" s="26" t="str">
        <v>Y</v>
      </c>
      <c r="U159" s="27">
        <v>4.21</v>
      </c>
      <c r="V159" s="15" t="str">
        <v>Y</v>
      </c>
      <c r="X159" s="113">
        <v>100100</v>
      </c>
      <c r="Y159" s="15" t="str">
        <v>Y</v>
      </c>
      <c r="AD159" s="15" t="str">
        <v>Pass</v>
      </c>
    </row>
    <row r="160" spans="1:32">
      <c r="A160" s="15" t="str">
        <v>车控功能</v>
      </c>
      <c r="H160" s="15" t="str">
        <v>states</v>
      </c>
      <c r="I160" s="15" t="str">
        <v>熄灭状态</v>
      </c>
      <c r="J160" s="46" t="str">
        <v>str</v>
      </c>
      <c r="K160" s="15" t="str">
        <v>亮屏、熄屏/锁屏</v>
      </c>
      <c r="N160" s="15" t="str">
        <v>Y</v>
      </c>
      <c r="O160" s="36" t="str">
        <v>Y</v>
      </c>
      <c r="P160" s="37" t="str">
        <v>Y</v>
      </c>
      <c r="S160" s="125" t="inlineStr">
        <is>
          <r>
            <t>@谢一鸣</t>
          </r>
        </is>
      </c>
      <c r="T160" s="26" t="str">
        <v>Y</v>
      </c>
      <c r="U160" s="27">
        <v>4.21</v>
      </c>
      <c r="V160" s="15" t="str">
        <v>Y</v>
      </c>
      <c r="Y160" s="15" t="str">
        <v>Y</v>
      </c>
      <c r="AD160" s="15" t="str">
        <v>Fail</v>
      </c>
      <c r="AF160" s="128" t="str">
        <v>https://meego.larkoffice.com/telematics/issue/detail/7356119180</v>
      </c>
    </row>
    <row r="161" spans="1:32">
      <c r="A161" s="15" t="str">
        <v>车控功能</v>
      </c>
      <c r="B161" s="15" t="str">
        <v>应用类</v>
      </c>
      <c r="C161" s="15" t="str">
        <v>vehicle_control_0045</v>
      </c>
      <c r="F161" s="15" t="str">
        <v>应用状态</v>
      </c>
      <c r="G161" s="45" t="str">
        <v>高频变化</v>
      </c>
      <c r="H161" s="15" t="str">
        <v>app</v>
      </c>
      <c r="I161" s="15" t="str">
        <v>应用名称</v>
      </c>
      <c r="J161" s="18" t="str">
        <v>enum</v>
      </c>
      <c r="K161" s="15" t="str">
        <v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v>
      </c>
      <c r="L161" s="24">
        <v>1</v>
      </c>
      <c r="N161" s="15" t="str">
        <v>Y</v>
      </c>
      <c r="O161" s="36" t="str">
        <v>Y</v>
      </c>
      <c r="P161" s="37" t="str">
        <v>Y</v>
      </c>
      <c r="Q161" s="53" t="str">
        <v>原生系统能力</v>
      </c>
      <c r="S161" s="125" t="inlineStr">
        <is>
          <r>
            <t>@尹泽陆</t>
          </r>
        </is>
      </c>
      <c r="T161" s="75" t="str">
        <v>Y</v>
      </c>
      <c r="V161" s="75" t="str">
        <v>Y</v>
      </c>
      <c r="Y161" s="15" t="str">
        <v>Y</v>
      </c>
      <c r="AD161" s="15" t="str">
        <v>Pass</v>
      </c>
      <c r="AF161" s="137" t="str">
        <v>更新时间太慢</v>
      </c>
    </row>
    <row r="162" spans="1:32">
      <c r="A162" s="15" t="str">
        <v>车控功能</v>
      </c>
      <c r="H162" s="15" t="str">
        <v>position</v>
      </c>
      <c r="I162" s="15" t="str">
        <v>位置</v>
      </c>
      <c r="J162" s="46" t="str">
        <v>enum</v>
      </c>
      <c r="K162" s="15" t="str">
        <v>中控屏、副驾屏、仪表、后排屏、左后屏、右后屏、前排屏、全部屏、PAD、语音屏、后排吸顶屏</v>
      </c>
      <c r="N162" s="15" t="str">
        <v>Y</v>
      </c>
      <c r="O162" s="36" t="str">
        <v>Y</v>
      </c>
      <c r="P162" s="37" t="str">
        <v>Y</v>
      </c>
      <c r="Q162" s="53" t="str">
        <v>原生系统能力</v>
      </c>
      <c r="S162" s="125" t="inlineStr">
        <is>
          <r>
            <t>@尹泽陆</t>
          </r>
        </is>
      </c>
      <c r="T162" s="75" t="str">
        <v>Y</v>
      </c>
      <c r="V162" s="75" t="str">
        <v>Y</v>
      </c>
      <c r="Y162" s="17" t="str">
        <v>Y</v>
      </c>
      <c r="AD162" s="15" t="str">
        <v>Pass</v>
      </c>
      <c r="AF162" s="140"/>
    </row>
    <row r="163" spans="1:30">
      <c r="A163" s="15" t="str">
        <v>车控功能</v>
      </c>
      <c r="B163" s="15" t="str">
        <v>驾驶</v>
      </c>
      <c r="C163" s="15" t="str">
        <v>vehicle_control_0046</v>
      </c>
      <c r="F163" s="15" t="str">
        <v>动力和电源状态</v>
      </c>
      <c r="G163" s="45" t="str">
        <v>低频变化</v>
      </c>
      <c r="H163" s="15" t="str">
        <v>states</v>
      </c>
      <c r="I163" s="15" t="str">
        <v>状态</v>
      </c>
      <c r="J163" s="18" t="str">
        <v>enum</v>
      </c>
      <c r="K163" s="15" t="inlineStr">
        <is>
          <r>
            <rPr>
              <sz val="10"/>
              <color rgb="FF1F2329"/>
              <rFont val="Arial"/>
            </rPr>
            <t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</t>
          </r>
          <r>
            <rPr>
              <sz val="10"/>
              <color rgb="FFF54A45"/>
              <rFont val="Arial"/>
            </rPr>
            <t>智能泊车，智能驾驶，舒适模式（上车未启动车辆，静止状态下在车内使用舒适娱乐功能，动力未就绪）</t>
          </r>
        </is>
      </c>
      <c r="M163" s="16">
        <v>1</v>
      </c>
      <c r="N163" s="15" t="str">
        <v>Y</v>
      </c>
      <c r="O163" s="106" t="str">
        <v>Y（电源状态：usgmode）
(动力源：纯电/混动)</v>
      </c>
      <c r="P163" s="37" t="str">
        <v>Y</v>
      </c>
      <c r="Q163" s="36" t="str">
        <v>动力源
int getEptPwrMd(IntResult result)
AdsCallbackFlag.EPTPWRMD
onEptPwrMdChanged
电源模式
int getVehicleUsgMode(@NonNull IntResult result)
VehicleCommonCallbackFlag.USG_MODE
onVehicleUsgModeChanged</v>
      </c>
      <c r="S163" s="125" t="inlineStr">
        <is>
          <r>
            <t>@谢一鸣</t>
          </r>
        </is>
      </c>
      <c r="T163" s="15" t="str">
        <v>Y</v>
      </c>
      <c r="U163" s="27">
        <v>4.24</v>
      </c>
      <c r="V163" s="15" t="str">
        <v>Y</v>
      </c>
      <c r="W163" s="15" t="str">
        <v>动力源分到vehicle_control_0053
只上报电源状态
休眠模式==休眠模式
待机模式==待机模式
XOTA==远程OTA
舒适模式==舒适模式（用户上车未启动车辆，
静止状态下在车内使用舒适娱乐等功能，
动力未就绪）
正常驾驶==正常工作模式
智能泊车==智能泊车（新增）
智能驾驶==智能驾驶（新增）</v>
      </c>
      <c r="Y163" s="15" t="str">
        <v>Y</v>
      </c>
      <c r="AA163" s="15" t="str">
        <v>正常模式上传正常</v>
      </c>
      <c r="AD163" s="26" t="str">
        <v>Pass</v>
      </c>
    </row>
    <row r="164" spans="1:30">
      <c r="A164" s="45" t="str">
        <v>车控功能</v>
      </c>
      <c r="B164" s="45" t="str">
        <v>车载家装家电类</v>
      </c>
      <c r="C164" s="15" t="str">
        <v>vehicle_control_0048</v>
      </c>
      <c r="F164" s="45" t="str">
        <v>冰箱状态</v>
      </c>
      <c r="G164" s="45" t="str">
        <v>低频变化</v>
      </c>
      <c r="H164" s="45" t="str">
        <v>states_work</v>
      </c>
      <c r="I164" s="45" t="str">
        <v>电源和工作状态</v>
      </c>
      <c r="J164" s="58" t="str">
        <v>enum</v>
      </c>
      <c r="K164" s="45" t="str">
        <v>关闭，制冷，制热</v>
      </c>
      <c r="N164" s="15" t="str">
        <v>Y</v>
      </c>
      <c r="O164" s="36" t="str">
        <v>Y</v>
      </c>
      <c r="P164" s="37" t="str">
        <v>Y</v>
      </c>
      <c r="Q164" s="36" t="str">
        <v> public int getFridgePowerStatus(@NonNull IntResult result) 
FridgeCallbackFlag.FRIDGE_POWER_STATUS
onFridgePowerStatusChanged</v>
      </c>
      <c r="S164" s="125" t="inlineStr">
        <is>
          <r>
            <t>@杨忠谕</t>
          </r>
        </is>
      </c>
      <c r="T164" s="26" t="str">
        <v>Y</v>
      </c>
      <c r="U164" s="112">
        <v>46132</v>
      </c>
      <c r="V164" s="15" t="str">
        <v>Y</v>
      </c>
      <c r="Y164" s="15" t="str">
        <v>Y</v>
      </c>
      <c r="AD164" s="15" t="str">
        <v>Pass</v>
      </c>
    </row>
    <row r="165" spans="1:30">
      <c r="A165" s="45" t="str">
        <v>车控功能</v>
      </c>
      <c r="G165" s="45" t="str">
        <v>低频变化</v>
      </c>
      <c r="H165" s="45" t="str">
        <v>temperature</v>
      </c>
      <c r="I165" s="45" t="str">
        <v>温度</v>
      </c>
      <c r="J165" s="58" t="str">
        <v>str</v>
      </c>
      <c r="N165" s="15" t="str">
        <v>Y</v>
      </c>
      <c r="O165" s="36" t="str">
        <v>Y</v>
      </c>
      <c r="P165" s="37" t="str">
        <v>Y</v>
      </c>
      <c r="Q165" s="36" t="str">
        <v>public int getFridgeTemp(@NonNull IntResult result) 
FridgeCallbackFlag.FRIDGE_TEMP
onFridgeTempChanged</v>
      </c>
      <c r="S165" s="125" t="inlineStr">
        <is>
          <r>
            <t>@杨忠谕</t>
          </r>
        </is>
      </c>
      <c r="T165" s="26" t="str">
        <v>Y</v>
      </c>
      <c r="U165" s="112">
        <v>46132</v>
      </c>
      <c r="V165" s="15" t="str">
        <v>Y</v>
      </c>
      <c r="Y165" s="15" t="str">
        <v>Y</v>
      </c>
      <c r="AD165" s="15" t="str">
        <v>Pass</v>
      </c>
    </row>
    <row r="166" spans="1:30">
      <c r="A166" s="45" t="str">
        <v>车控功能</v>
      </c>
      <c r="G166" s="45" t="str">
        <v>低频变化</v>
      </c>
      <c r="H166" s="45" t="str">
        <v>switch_door</v>
      </c>
      <c r="I166" s="45" t="str">
        <v>冰箱门开关</v>
      </c>
      <c r="J166" s="58" t="str">
        <v>enum</v>
      </c>
      <c r="K166" s="45" t="str">
        <v>打开，关闭</v>
      </c>
      <c r="N166" s="15" t="str">
        <v>Y</v>
      </c>
      <c r="O166" s="36" t="str">
        <v>Y</v>
      </c>
      <c r="P166" s="37" t="str">
        <v>Y</v>
      </c>
      <c r="Q166" s="36" t="str">
        <v>int getFridgeDoorStatus(@NonNull IntResult result) 
FridgeCallbackFlag.FRIDGE_DOOR_STATUS
onFridgeDoorStatusChanged</v>
      </c>
      <c r="S166" s="125" t="inlineStr">
        <is>
          <r>
            <t>@杨忠谕</t>
          </r>
        </is>
      </c>
      <c r="T166" s="26" t="str">
        <v>Y</v>
      </c>
      <c r="U166" s="112">
        <v>46132</v>
      </c>
      <c r="V166" s="15" t="str">
        <v>Y</v>
      </c>
      <c r="Y166" s="15" t="str">
        <v>Y</v>
      </c>
      <c r="AD166" s="15" t="str">
        <v>Pass</v>
      </c>
    </row>
    <row r="167" spans="1:30">
      <c r="A167" s="45" t="str">
        <v>车控功能</v>
      </c>
      <c r="G167" s="45" t="str">
        <v>低频变化</v>
      </c>
      <c r="H167" s="45" t="str">
        <v>switch_remain</v>
      </c>
      <c r="I167" s="45" t="str">
        <v>物品遗留检查开关</v>
      </c>
      <c r="J167" s="58" t="str">
        <v>enum</v>
      </c>
      <c r="K167" s="45" t="str">
        <v>打开，关闭</v>
      </c>
      <c r="N167" s="15" t="str">
        <v>Y</v>
      </c>
      <c r="O167" s="36" t="str">
        <v>Y</v>
      </c>
      <c r="P167" s="37" t="str">
        <v>Y</v>
      </c>
      <c r="Q167" s="36" t="str">
        <v>int getFridgeItemDetectionStatus(@NonNull IntResult result)
FridgeCallbackFlag.FRIDGE_ITEM_DETECTION_STATUS
onFridgeItemDetectionStatusChanged</v>
      </c>
      <c r="S167" s="125" t="inlineStr">
        <is>
          <r>
            <t>@杨忠谕</t>
          </r>
        </is>
      </c>
      <c r="T167" s="26" t="str">
        <v>Y</v>
      </c>
      <c r="U167" s="112">
        <v>46132</v>
      </c>
      <c r="V167" s="15" t="str">
        <v>Y</v>
      </c>
      <c r="Y167" s="15" t="str">
        <v>Y</v>
      </c>
      <c r="AD167" s="15" t="str">
        <v>Pass</v>
      </c>
    </row>
    <row r="168" spans="1:30">
      <c r="A168" s="45" t="str">
        <v>车控功能</v>
      </c>
      <c r="G168" s="45" t="str">
        <v>低频变化</v>
      </c>
      <c r="H168" s="45" t="str">
        <v>switch_purify</v>
      </c>
      <c r="I168" s="45" t="str">
        <v>净味杀菌开关</v>
      </c>
      <c r="J168" s="58" t="str">
        <v>enum</v>
      </c>
      <c r="K168" s="45" t="str">
        <v>打开，关闭</v>
      </c>
      <c r="N168" s="15" t="str">
        <v>Y</v>
      </c>
      <c r="O168" s="36" t="str">
        <v>Y</v>
      </c>
      <c r="P168" s="37" t="str">
        <v>Y</v>
      </c>
      <c r="Q168" s="36" t="str">
        <v>int getFridgeSterilizationStatus(@NonNull IntResult result)
FridgeCallbackFlag.FRIDGE_STERILIZATION_STATUS
onFridgeSterilizationStatusChanged</v>
      </c>
      <c r="S168" s="125" t="inlineStr">
        <is>
          <r>
            <t>@杨忠谕</t>
          </r>
        </is>
      </c>
      <c r="T168" s="26" t="str">
        <v>Y</v>
      </c>
      <c r="U168" s="112">
        <v>46132</v>
      </c>
      <c r="V168" s="15" t="str">
        <v>Y</v>
      </c>
      <c r="Y168" s="15" t="str">
        <v>Y</v>
      </c>
      <c r="AD168" s="15" t="str">
        <v>Pass</v>
      </c>
    </row>
    <row r="169" spans="1:31">
      <c r="A169" s="45" t="str">
        <v>车控功能</v>
      </c>
      <c r="G169" s="45" t="str">
        <v>低频变化</v>
      </c>
      <c r="H169" s="45" t="str">
        <v>switch_defrost</v>
      </c>
      <c r="I169" s="45" t="str">
        <v>脱冰开关</v>
      </c>
      <c r="J169" s="58" t="str">
        <v>enum</v>
      </c>
      <c r="K169" s="45" t="str">
        <v>打开，关闭</v>
      </c>
      <c r="N169" s="15" t="str">
        <v>Y</v>
      </c>
      <c r="O169" s="36" t="str">
        <v>Y</v>
      </c>
      <c r="P169" s="37" t="str">
        <v>Y</v>
      </c>
      <c r="Q169" s="36" t="str">
        <v>getFridgeIceMakingProgressStatus(@NonNull IntResult result) 
FridgeCallbackFlag.FRIDGE_ICE_MAKING_PROGRESS
onFridgeIceMakingProgressStatusChanged</v>
      </c>
      <c r="S169" s="125" t="inlineStr">
        <is>
          <r>
            <t>@杨忠谕</t>
          </r>
        </is>
      </c>
      <c r="T169" s="26" t="str">
        <v>Y</v>
      </c>
      <c r="U169" s="112">
        <v>46132</v>
      </c>
      <c r="V169" s="15" t="str">
        <v>Y</v>
      </c>
      <c r="Y169" s="15" t="str">
        <v>B</v>
      </c>
      <c r="AA169" s="15" t="str">
        <v>页面无法操作</v>
      </c>
      <c r="AD169" s="15" t="str">
        <v>Block</v>
      </c>
      <c r="AE169" s="18" t="str">
        <v>页面点击无反应</v>
      </c>
    </row>
    <row r="170" spans="1:31">
      <c r="A170" s="45" t="str">
        <v>车控功能</v>
      </c>
      <c r="G170" s="45" t="str">
        <v>低频变化</v>
      </c>
      <c r="H170" s="45" t="str">
        <v>switch_ice</v>
      </c>
      <c r="I170" s="45" t="str">
        <v>制冰开关</v>
      </c>
      <c r="J170" s="58" t="str">
        <v>enum</v>
      </c>
      <c r="K170" s="45" t="str">
        <v>打开，关闭</v>
      </c>
      <c r="N170" s="15" t="str">
        <v>Y</v>
      </c>
      <c r="O170" s="36" t="str">
        <v>Y</v>
      </c>
      <c r="P170" s="37" t="str">
        <v>Y</v>
      </c>
      <c r="Q170" s="36" t="str">
        <v>getFridgeIceMakingProgressStatus(@NonNull IntResult result) 
FridgeCallbackFlag.FRIDGE_ICE_MAKING_PROGRESS
onFridgeIceMakingProgressStatusChanged</v>
      </c>
      <c r="S170" s="125" t="inlineStr">
        <is>
          <r>
            <t>@杨忠谕</t>
          </r>
        </is>
      </c>
      <c r="T170" s="26" t="str">
        <v>Y</v>
      </c>
      <c r="U170" s="112">
        <v>46132</v>
      </c>
      <c r="V170" s="15" t="str">
        <v>Y</v>
      </c>
      <c r="Y170" s="15" t="str">
        <v>B</v>
      </c>
      <c r="AA170" s="15" t="str">
        <v>页面无法操作</v>
      </c>
      <c r="AD170" s="15" t="str">
        <v>Block</v>
      </c>
      <c r="AE170" s="18" t="str">
        <v>页面点击无反应</v>
      </c>
    </row>
    <row r="171" spans="1:30">
      <c r="A171" s="45" t="str">
        <v>车控功能</v>
      </c>
      <c r="G171" s="45" t="str">
        <v>低频变化</v>
      </c>
      <c r="H171" s="45" t="str">
        <v>switch_auto_on</v>
      </c>
      <c r="I171" s="45" t="str">
        <v>上电自动开启开关</v>
      </c>
      <c r="J171" s="58" t="str">
        <v>enum</v>
      </c>
      <c r="K171" s="45" t="str">
        <v>打开，关闭</v>
      </c>
      <c r="N171" s="15" t="str">
        <v>Y</v>
      </c>
      <c r="O171" s="36" t="str">
        <v>Y</v>
      </c>
      <c r="P171" s="37" t="str">
        <v>Y</v>
      </c>
      <c r="Q171" s="36" t="str">
        <v>int getFridgeAutoPowerOnStatus(@NonNull IntResult result)
FridgeCallbackFlag.FRIDGE_AUTO_POWER_ON_STATUS
onFridgeAutoPowerOnStatusChanged</v>
      </c>
      <c r="S171" s="125" t="inlineStr">
        <is>
          <r>
            <t>@杨忠谕</t>
          </r>
        </is>
      </c>
      <c r="T171" s="26" t="str">
        <v>Y</v>
      </c>
      <c r="U171" s="112">
        <v>46132</v>
      </c>
      <c r="V171" s="15" t="str">
        <v>Y</v>
      </c>
      <c r="Y171" s="15" t="str">
        <v>Y</v>
      </c>
      <c r="AD171" s="15" t="str">
        <v>Pass</v>
      </c>
    </row>
    <row r="172" spans="1:30">
      <c r="A172" s="45" t="str">
        <v>车控功能</v>
      </c>
      <c r="G172" s="45" t="str">
        <v>低频变化</v>
      </c>
      <c r="H172" s="45" t="str">
        <v>switch_keep_temp</v>
      </c>
      <c r="I172" s="45" t="str">
        <v>离车恒温开关</v>
      </c>
      <c r="J172" s="58" t="str">
        <v>enum</v>
      </c>
      <c r="K172" s="45" t="str">
        <v>打开，关闭</v>
      </c>
      <c r="N172" s="15" t="str">
        <v>Y</v>
      </c>
      <c r="O172" s="36" t="str">
        <v>Y</v>
      </c>
      <c r="P172" s="37" t="str">
        <v>Y</v>
      </c>
      <c r="Q172" s="36" t="str">
        <v>int getFridgeLeaveCarStatus(@NonNull IntResult result) 
FridgeCallbackFlag.FRIDGE_LEAVE_CAR_STATUS
onFridgeLeaveCarStatusChanged</v>
      </c>
      <c r="S172" s="125" t="inlineStr">
        <is>
          <r>
            <t>@杨忠谕</t>
          </r>
        </is>
      </c>
      <c r="T172" s="26" t="str">
        <v>Y</v>
      </c>
      <c r="U172" s="112">
        <v>46132</v>
      </c>
      <c r="V172" s="15" t="str">
        <v>Y</v>
      </c>
      <c r="Y172" s="15" t="str">
        <v>Y</v>
      </c>
      <c r="AD172" s="15" t="str">
        <v>Pass</v>
      </c>
    </row>
    <row r="173" spans="1:30">
      <c r="A173" s="45" t="str">
        <v>车控功能</v>
      </c>
      <c r="B173" s="45" t="str">
        <v>车载家装家电类</v>
      </c>
      <c r="C173" s="45" t="str">
        <v>vehicle_control_0049</v>
      </c>
      <c r="F173" s="45" t="str">
        <v>遮阳帘状态</v>
      </c>
      <c r="G173" s="45" t="str">
        <v>低频变化</v>
      </c>
      <c r="H173" s="45" t="str">
        <v>position</v>
      </c>
      <c r="I173" s="45" t="str">
        <v>位置</v>
      </c>
      <c r="J173" s="58" t="str">
        <v>enum</v>
      </c>
      <c r="K173" s="45" t="str">
        <v>车顶、车顶前、车顶后、主驾，副驾，二排左，二排右，三排左，三排右</v>
      </c>
      <c r="L173" s="146">
        <v>1</v>
      </c>
      <c r="N173" s="15" t="str">
        <v>Y</v>
      </c>
      <c r="O173" s="36" t="str">
        <v>Y</v>
      </c>
      <c r="P173" s="37" t="str">
        <v>Y</v>
      </c>
      <c r="Q173" s="36" t="str">
        <v>int getSunroofStatus(@WindowFRPosition int pos, @NonNull IntResult result);
WindowCallbackFlag.SUNROOF_STATUS
void onSunroofStatusChanged(@WindowFRPosition int pos, @NonNull IntResult result) </v>
      </c>
      <c r="S173" s="125" t="inlineStr">
        <is>
          <r>
            <t>@尹泽陆</t>
          </r>
        </is>
      </c>
      <c r="T173" s="48" t="str">
        <v>Y</v>
      </c>
      <c r="V173" s="75" t="str">
        <v>Y</v>
      </c>
      <c r="Y173" s="15" t="str">
        <v>Y</v>
      </c>
      <c r="AD173" s="15" t="str">
        <v>Pass</v>
      </c>
    </row>
    <row r="174" spans="1:30">
      <c r="A174" s="45" t="str">
        <v>车控功能</v>
      </c>
      <c r="H174" s="45" t="str">
        <v>states</v>
      </c>
      <c r="I174" s="45" t="str">
        <v>开度</v>
      </c>
      <c r="J174" s="58" t="str">
        <v>str</v>
      </c>
      <c r="N174" s="15" t="str">
        <v>Y</v>
      </c>
      <c r="O174" s="36" t="str">
        <v>Y</v>
      </c>
      <c r="P174" s="37" t="str">
        <v>Y</v>
      </c>
      <c r="Q174" s="36" t="str">
        <v>int getSunroofPosition(@WindowFRPosition int pos, IntResult result);
WindowCallbackFlag.SUNROOF_POSITION
void onSunroofPositionChanged(@WindowFRPosition int pos, IntResult result)
</v>
      </c>
      <c r="R174" s="114" t="str">
        <v>int getSunroofPosition(@WindowFRPosition int pos, IntResult result);
WindowCallbackFlag.SUNROOF_POSITION
void onSunroofPositionChanged(@WindowFRPosition int pos, IntResult result)
</v>
      </c>
      <c r="S174" s="125" t="inlineStr">
        <is>
          <r>
            <t>@尹泽陆</t>
          </r>
        </is>
      </c>
      <c r="T174" s="48" t="str">
        <v>Y</v>
      </c>
      <c r="V174" s="75" t="str">
        <v>Y</v>
      </c>
      <c r="Y174" s="15" t="str">
        <v>Y</v>
      </c>
      <c r="AD174" s="15" t="str">
        <v>Pass</v>
      </c>
    </row>
    <row r="175" spans="1:31">
      <c r="A175" s="45" t="str">
        <v>车控功能</v>
      </c>
      <c r="B175" s="45" t="str">
        <v>拍摄类</v>
      </c>
      <c r="C175" s="45" t="str">
        <v>vehicle_control_0050</v>
      </c>
      <c r="F175" s="45" t="str">
        <v>DVR状态</v>
      </c>
      <c r="G175" s="45" t="str">
        <v>低频变化</v>
      </c>
      <c r="H175" s="45" t="str">
        <v>type</v>
      </c>
      <c r="I175" s="45" t="str">
        <v>录制视角</v>
      </c>
      <c r="J175" s="58" t="str">
        <v>enum</v>
      </c>
      <c r="K175" s="45" t="str">
        <v>主视角，全视角</v>
      </c>
      <c r="N175" s="15" t="str">
        <v>Y</v>
      </c>
      <c r="O175" s="36" t="str">
        <v>Y（主视角/全视角）</v>
      </c>
      <c r="P175" s="37" t="str">
        <v>Y</v>
      </c>
      <c r="Q175" s="36" t="str">
        <v>public void onDvrSettingValue(String key, int value)
key：Constants.KEY_DVR_RECORD_VIEW_TYPE
value：0是主视角，1是全视角
注册callback时自动回调，没有主动查询</v>
      </c>
      <c r="S175" s="125" t="inlineStr">
        <is>
          <r>
            <t>@谢一鸣</t>
          </r>
        </is>
      </c>
      <c r="T175" s="26" t="str">
        <v>Y</v>
      </c>
      <c r="U175" s="115">
        <v>46142</v>
      </c>
      <c r="V175" s="15" t="str">
        <v>Y</v>
      </c>
      <c r="Y175" s="15" t="str">
        <v>B</v>
      </c>
      <c r="AA175" s="45" t="str">
        <v>与主线字段不一致，需要转需求</v>
      </c>
      <c r="AD175" s="45" t="str">
        <v>Block</v>
      </c>
      <c r="AE175" s="58" t="str">
        <v>与主线字段不一致，需要转需求</v>
      </c>
    </row>
    <row r="176" spans="1:31">
      <c r="A176" s="45" t="str">
        <v>车控功能</v>
      </c>
      <c r="H176" s="45" t="str">
        <v>switch_audio</v>
      </c>
      <c r="I176" s="45" t="str">
        <v>录音开关</v>
      </c>
      <c r="J176" s="58" t="str">
        <v>enum</v>
      </c>
      <c r="K176" s="45" t="str">
        <v>开启，关闭</v>
      </c>
      <c r="N176" s="15" t="str">
        <v>Y</v>
      </c>
      <c r="O176" s="36" t="str">
        <v>Y</v>
      </c>
      <c r="P176" s="37" t="str">
        <v>Y</v>
      </c>
      <c r="Q176" s="36" t="str">
        <v>public void onAudioRecordSwitchStatus(int status) 
注册callback时自动回调，没有主动查询</v>
      </c>
      <c r="S176" s="125" t="inlineStr">
        <is>
          <r>
            <t>@谢一鸣</t>
          </r>
        </is>
      </c>
      <c r="T176" s="26" t="str">
        <v>Y</v>
      </c>
      <c r="U176" s="115">
        <v>46142</v>
      </c>
      <c r="V176" s="15" t="str">
        <v>Y</v>
      </c>
      <c r="Y176" s="15" t="str">
        <v>B</v>
      </c>
      <c r="AA176" s="45" t="str">
        <v>需要转需求</v>
      </c>
      <c r="AD176" s="45" t="str">
        <v>Block</v>
      </c>
      <c r="AE176" s="58" t="str">
        <v>需要转需求</v>
      </c>
    </row>
    <row r="177" spans="1:31">
      <c r="A177" s="45" t="str">
        <v>车控功能</v>
      </c>
      <c r="H177" s="45" t="str">
        <v>switch_video</v>
      </c>
      <c r="I177" s="45" t="str">
        <v>录制开关</v>
      </c>
      <c r="J177" s="58" t="str">
        <v>enum</v>
      </c>
      <c r="K177" s="45" t="str">
        <v>开启，关闭</v>
      </c>
      <c r="N177" s="15" t="str">
        <v>Y</v>
      </c>
      <c r="O177" s="36" t="str">
        <v>Y</v>
      </c>
      <c r="P177" s="37" t="str">
        <v>Y</v>
      </c>
      <c r="Q177" s="36" t="str">
        <v>public void onNormalRecordSwitchStatus(int status)
注册callback时自动回调，没有主动查询</v>
      </c>
      <c r="S177" s="125" t="inlineStr">
        <is>
          <r>
            <t>@谢一鸣</t>
          </r>
        </is>
      </c>
      <c r="T177" s="26" t="str">
        <v>Y</v>
      </c>
      <c r="U177" s="115">
        <v>46142</v>
      </c>
      <c r="V177" s="15" t="str">
        <v>Y</v>
      </c>
      <c r="Y177" s="15" t="str">
        <v>B</v>
      </c>
      <c r="AA177" s="45" t="str">
        <v>需要转需求</v>
      </c>
      <c r="AD177" s="45" t="str">
        <v>Block</v>
      </c>
      <c r="AE177" s="58" t="str">
        <v>需要转需求</v>
      </c>
    </row>
    <row r="178" spans="1:30">
      <c r="A178" s="45" t="str">
        <v>车控功能</v>
      </c>
      <c r="B178" s="45" t="str">
        <v>拍摄类</v>
      </c>
      <c r="C178" s="45" t="str">
        <v>vehicle_control_0051</v>
      </c>
      <c r="F178" s="45" t="str">
        <v>OMS状态</v>
      </c>
      <c r="G178" s="45" t="str">
        <v>低频变化</v>
      </c>
      <c r="H178" s="45" t="str">
        <v>switch_work</v>
      </c>
      <c r="I178" s="45" t="str">
        <v>摄像头开关</v>
      </c>
      <c r="J178" s="58" t="str">
        <v>enum</v>
      </c>
      <c r="K178" s="45" t="str">
        <v>开启，关闭</v>
      </c>
      <c r="N178" s="15" t="str">
        <v>Y</v>
      </c>
      <c r="O178" s="36" t="str">
        <v>Y</v>
      </c>
      <c r="P178" s="37" t="str">
        <v>Y</v>
      </c>
      <c r="Q178" s="36" t="str">
        <v>OMSManager
public boolean setOMSSwitchStatus(byte type, int enable)
type: OMSSwitchDefine.SW_MAIN
enable: OMSSwitchDefine.State.SW_ON
int getOMSSwitchStatus(byte type)
onSwitchStatusChange(byte type, int enable)</v>
      </c>
      <c r="S178" s="125" t="inlineStr">
        <is>
          <r>
            <t>@谢一鸣</t>
          </r>
        </is>
      </c>
      <c r="T178" s="26" t="str">
        <v>Y</v>
      </c>
      <c r="U178" s="115">
        <v>46142</v>
      </c>
      <c r="V178" s="15" t="str">
        <v>Y</v>
      </c>
      <c r="Y178" s="15" t="str">
        <v>Y</v>
      </c>
      <c r="AD178" s="15" t="str">
        <v>Pass</v>
      </c>
    </row>
    <row r="179" spans="1:31">
      <c r="A179" s="45" t="str">
        <v>车控功能</v>
      </c>
      <c r="B179" s="45" t="str">
        <v>拍摄类</v>
      </c>
      <c r="C179" s="45" t="str">
        <v>vehicle_control_0052</v>
      </c>
      <c r="F179" s="45" t="str">
        <v>DMS状态</v>
      </c>
      <c r="G179" s="45" t="str">
        <v>低频变化</v>
      </c>
      <c r="H179" s="45" t="str">
        <v>switch_work</v>
      </c>
      <c r="I179" s="45" t="str">
        <v> 驾驶员监测开关</v>
      </c>
      <c r="J179" s="58" t="str">
        <v>enum</v>
      </c>
      <c r="K179" s="45" t="str">
        <v>开启，关闭</v>
      </c>
      <c r="N179" s="15" t="str">
        <v>Y</v>
      </c>
      <c r="O179" s="36" t="str">
        <v>Y</v>
      </c>
      <c r="P179" s="37" t="str">
        <v>Y</v>
      </c>
      <c r="Q179" s="36" t="str">
        <v>DmsManager
//setDms总开关：
public final fun setDmsSwitchSts(type: kotlin.Byte, status: kotlin.Boolean): kotlin.Unit { /* compiled code */ }
type: 
DmsSwitchType.PP01_SW_MAIN
enable: true / false
//getDms总开关状态
public final fun getDmsSwitchStatus(type: kotlin.Byte): kotlin.Boolean { /* compiled code */ }
type: 
DmsSwitchType.PP01_SW_MAIN
//notification：
DmsCommonSwChangedListener.onDmsSwitchStatusChange(type: kotlin.Byte, status: kotlin.Byte)
status = status.toBoolean()
if(type == DmsSwitchType.PP01_SW_MAIN){
 if(status){
 //DMS总开关开
 }else {
 //DMS总开关关
 }
}
</v>
      </c>
      <c r="S179" s="125" t="inlineStr">
        <is>
          <r>
            <t>@谢一鸣</t>
          </r>
        </is>
      </c>
      <c r="T179" s="26" t="str">
        <v>Y</v>
      </c>
      <c r="U179" s="115">
        <v>46142</v>
      </c>
      <c r="V179" s="15" t="str">
        <v>Y</v>
      </c>
      <c r="Y179" s="15" t="str">
        <v>Y</v>
      </c>
      <c r="AD179" s="15" t="str">
        <v>Pass</v>
      </c>
      <c r="AE179" s="46" t="str">
        <v> [{"switch_work": "关闭", "type_fatigue": "辅助驾驶下提醒", "type_distraction": "辅助驾驶下提醒"}]    当关闭的时候这两个应该怎么传 </v>
      </c>
    </row>
    <row r="180" spans="1:31">
      <c r="A180" s="45" t="str">
        <v>车控功能</v>
      </c>
      <c r="G180" s="45" t="str">
        <v>低频变化</v>
      </c>
      <c r="H180" s="45" t="str">
        <v>type_fatigue</v>
      </c>
      <c r="I180" s="45" t="str">
        <v>疲劳提醒类型</v>
      </c>
      <c r="J180" s="58" t="str">
        <v>enum</v>
      </c>
      <c r="K180" s="45" t="str">
        <v>辅助驾驶下提醒，始终提醒</v>
      </c>
      <c r="N180" s="15" t="str">
        <v>Y</v>
      </c>
      <c r="O180" s="36" t="str">
        <v>Y</v>
      </c>
      <c r="P180" s="37" t="str">
        <v>Y</v>
      </c>
      <c r="Q180" s="36" t="str">
        <v>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if(status){
 //疲劳提醒-始终提醒
 }else {
 //疲劳提醒-辅助驾驶下提醒
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if(status){
 //分心提醒-始终提醒
 }else {
 //分心提醒-辅助驾驶下提醒
 }
}//疲劳提醒：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       if(status){
                        //疲劳提醒-始终提醒
        }else {
                        //疲劳提醒-辅助驾驶下提醒
       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       if(status){
                        //分心提醒-始终提醒
        }else {
                        //分心提醒-辅助驾驶下提醒
        }
}</v>
      </c>
      <c r="S180" s="125" t="inlineStr">
        <is>
          <r>
            <t>@谢一鸣</t>
          </r>
        </is>
      </c>
      <c r="T180" s="26" t="str">
        <v>Y</v>
      </c>
      <c r="U180" s="115">
        <v>46142</v>
      </c>
      <c r="V180" s="15" t="str">
        <v>Y</v>
      </c>
      <c r="Y180" s="15" t="str">
        <v>Y</v>
      </c>
      <c r="AD180" s="15" t="str">
        <v>Pass</v>
      </c>
      <c r="AE180" s="147"/>
    </row>
    <row r="181" spans="1:31">
      <c r="A181" s="45" t="str">
        <v>车控功能</v>
      </c>
      <c r="G181" s="45" t="str">
        <v>低频变化</v>
      </c>
      <c r="H181" s="45" t="str">
        <v>type_distraction</v>
      </c>
      <c r="I181" s="45" t="str">
        <v>分心提醒类型</v>
      </c>
      <c r="J181" s="58" t="str">
        <v>enum</v>
      </c>
      <c r="K181" s="45" t="str">
        <v>辅助驾驶下提醒，始终提醒</v>
      </c>
      <c r="N181" s="15" t="str">
        <v>Y</v>
      </c>
      <c r="O181" s="36" t="str">
        <v>Y</v>
      </c>
      <c r="P181" s="37" t="str">
        <v>Y</v>
      </c>
      <c r="S181" s="125" t="inlineStr">
        <is>
          <r>
            <t>@谢一鸣</t>
          </r>
        </is>
      </c>
      <c r="T181" s="15" t="str">
        <v>Y</v>
      </c>
      <c r="V181" s="15" t="str">
        <v>Y</v>
      </c>
      <c r="Y181" s="15" t="str">
        <v>Y</v>
      </c>
      <c r="AD181" s="45" t="str">
        <v>Pass</v>
      </c>
      <c r="AE181" s="47"/>
    </row>
    <row r="182" spans="1:31">
      <c r="A182" s="45" t="str">
        <v>车控功能</v>
      </c>
      <c r="B182" s="45" t="str">
        <v>拍摄类</v>
      </c>
      <c r="C182" s="45" t="str">
        <v>vehicle_control_0056</v>
      </c>
      <c r="F182" s="45" t="str">
        <v>哨兵模式状态</v>
      </c>
      <c r="G182" s="45" t="str">
        <v>低频变化</v>
      </c>
      <c r="H182" s="45" t="str">
        <v>switch</v>
      </c>
      <c r="I182" s="45" t="str">
        <v>开关</v>
      </c>
      <c r="J182" s="58" t="str">
        <v>enum</v>
      </c>
      <c r="K182" s="45" t="str">
        <v>开启，关闭</v>
      </c>
      <c r="N182" s="15" t="str">
        <v>Y</v>
      </c>
      <c r="O182" s="36" t="str">
        <v>Y</v>
      </c>
      <c r="P182" s="37" t="str">
        <v>Y</v>
      </c>
      <c r="S182" s="125" t="inlineStr">
        <is>
          <r>
            <t>@谢一鸣</t>
          </r>
        </is>
      </c>
      <c r="V182" s="15" t="str">
        <v>Y</v>
      </c>
      <c r="Y182" s="45" t="str">
        <v>B</v>
      </c>
      <c r="AA182" s="45" t="str">
        <v>新增信号，需要转需求</v>
      </c>
      <c r="AD182" s="45" t="str">
        <v>Block</v>
      </c>
      <c r="AE182" s="58" t="str">
        <v>需要转需求</v>
      </c>
    </row>
    <row r="183" spans="1:30">
      <c r="A183" s="45" t="str">
        <v>交互状态</v>
      </c>
      <c r="B183" s="45" t="str">
        <v>播报</v>
      </c>
      <c r="C183" s="45" t="str">
        <v>interaction_0001</v>
      </c>
      <c r="F183" s="45" t="str">
        <v>ASR识别状态</v>
      </c>
      <c r="G183" s="45" t="str">
        <v>高频变化</v>
      </c>
      <c r="H183" s="45" t="str">
        <v>states</v>
      </c>
      <c r="I183" s="45" t="str">
        <v>状态</v>
      </c>
      <c r="J183" s="148" t="str">
        <v>enum</v>
      </c>
      <c r="K183" s="45" t="str">
        <v>用户正在说话，无人说话</v>
      </c>
      <c r="N183" s="15" t="str">
        <v>Y</v>
      </c>
      <c r="O183" s="87" t="str">
        <v>Y</v>
      </c>
      <c r="P183" s="37" t="str">
        <v>Y</v>
      </c>
      <c r="S183" s="125" t="inlineStr">
        <is>
          <r>
            <t>@汪帅</t>
          </r>
        </is>
      </c>
      <c r="T183" s="15" t="str">
        <v>Y</v>
      </c>
      <c r="V183" s="15" t="str">
        <v>Y</v>
      </c>
      <c r="Y183" s="45" t="str">
        <v>Y</v>
      </c>
      <c r="AD183" s="45" t="str">
        <v>Pass</v>
      </c>
    </row>
    <row r="184" spans="1:30">
      <c r="A184" s="45" t="str">
        <v>交互状态</v>
      </c>
      <c r="B184" s="45" t="str">
        <v>播报</v>
      </c>
      <c r="C184" s="45" t="str">
        <v>interaction_0002</v>
      </c>
      <c r="F184" s="45" t="str">
        <v>TTS播报状态</v>
      </c>
      <c r="G184" s="45" t="str">
        <v>高频变化</v>
      </c>
      <c r="H184" s="45" t="str">
        <v>states</v>
      </c>
      <c r="I184" s="45" t="str">
        <v>状态</v>
      </c>
      <c r="J184" s="148" t="str">
        <v>enum</v>
      </c>
      <c r="K184" s="45" t="str">
        <v>开始播放，正常结束播放，播放被打断，播放出错</v>
      </c>
      <c r="N184" s="15" t="str">
        <v>Y</v>
      </c>
      <c r="O184" s="87" t="str">
        <v>Y</v>
      </c>
      <c r="P184" s="37" t="str">
        <v>Y</v>
      </c>
      <c r="S184" s="125" t="inlineStr">
        <is>
          <r>
            <t>@汪帅</t>
          </r>
        </is>
      </c>
      <c r="T184" s="15" t="str">
        <v>Y</v>
      </c>
      <c r="V184" s="15" t="str">
        <v>Y</v>
      </c>
      <c r="Y184" s="45" t="str">
        <v>Y</v>
      </c>
      <c r="AD184" s="45" t="str">
        <v>Pass</v>
      </c>
    </row>
    <row r="185" spans="1:30">
      <c r="A185" s="15" t="str">
        <v>道路导航</v>
      </c>
      <c r="B185" s="15" t="str">
        <v>状态</v>
      </c>
      <c r="C185" s="15" t="str">
        <v>navigation_0001</v>
      </c>
      <c r="F185" s="15" t="str">
        <v>导航状态</v>
      </c>
      <c r="G185" s="15" t="str">
        <v>用户交互后变化</v>
      </c>
      <c r="H185" s="15" t="str">
        <v>status</v>
      </c>
      <c r="I185" s="15" t="str">
        <v>导航状态</v>
      </c>
      <c r="J185" s="47" t="str">
        <v>enum</v>
      </c>
      <c r="K185" s="15" t="str">
        <v>未发起导航，导航中，巡航中</v>
      </c>
      <c r="M185" s="16">
        <v>1</v>
      </c>
      <c r="N185" s="15" t="str">
        <v>Y</v>
      </c>
      <c r="O185" s="36" t="str">
        <v>Y</v>
      </c>
      <c r="P185" s="37" t="str">
        <v>Y</v>
      </c>
      <c r="Q185" s="116" t="str">
        <v>onNaviStatusChanged(int i, int i1)</v>
      </c>
      <c r="S185" s="125" t="inlineStr">
        <is>
          <r>
            <t>@赵明珠</t>
          </r>
          <r>
            <t xml:space="preserve">
</t>
          </r>
          <r>
            <t>@余明明</t>
          </r>
        </is>
      </c>
      <c r="T185" s="26" t="str">
        <v>Y</v>
      </c>
      <c r="V185" s="15" t="str">
        <v>Y</v>
      </c>
      <c r="X185" s="15" t="str">
        <v>导航中、未发起导航</v>
      </c>
      <c r="Y185" s="15" t="str">
        <v>Y</v>
      </c>
      <c r="AD185" s="15" t="str">
        <v>Pass</v>
      </c>
    </row>
    <row r="186" spans="1:31">
      <c r="A186" s="15" t="str">
        <v>道路导航</v>
      </c>
      <c r="B186" s="15" t="str">
        <v>位置</v>
      </c>
      <c r="C186" s="15" t="str">
        <v>navigation_0002</v>
      </c>
      <c r="F186" s="15" t="str">
        <v>当前位置</v>
      </c>
      <c r="G186" s="15" t="str">
        <v>高频变化</v>
      </c>
      <c r="H186" s="15" t="str">
        <v> address</v>
      </c>
      <c r="I186" s="15" t="str">
        <v>地址</v>
      </c>
      <c r="J186" s="18" t="str">
        <v>str</v>
      </c>
      <c r="M186" s="16">
        <v>1</v>
      </c>
      <c r="N186" s="15" t="str">
        <v>Y</v>
      </c>
      <c r="O186" s="36" t="str">
        <v>Y</v>
      </c>
      <c r="P186" s="37" t="str">
        <v>Y</v>
      </c>
      <c r="Q186" s="116" t="str">
        <v>CoordinateInfo getLastLocation()；reverseGeoSearch();
searchResult.mPoiResult.get(0).mName</v>
      </c>
      <c r="S186" s="125" t="inlineStr">
        <is>
          <r>
            <t>@余明明</t>
          </r>
        </is>
      </c>
      <c r="T186" s="26" t="str">
        <v>Y</v>
      </c>
      <c r="V186" s="26" t="str">
        <v>Y</v>
      </c>
      <c r="X186" s="15" t="str">
        <v>当前地址</v>
      </c>
      <c r="Y186" s="15" t="str">
        <v>Y</v>
      </c>
      <c r="AD186" s="15" t="str">
        <v>Pass</v>
      </c>
      <c r="AE186" s="18" t="str">
        <v>@路测</v>
      </c>
    </row>
    <row r="187" spans="1:30">
      <c r="A187" s="15" t="str">
        <v>道路导航</v>
      </c>
      <c r="B187" s="15" t="str">
        <v>位置</v>
      </c>
      <c r="C187" s="15" t="str">
        <v>navigation_0003</v>
      </c>
      <c r="F187" s="15" t="str">
        <v>收藏地址位置</v>
      </c>
      <c r="G187" s="15" t="str">
        <v>高频变化</v>
      </c>
      <c r="H187" s="15" t="str">
        <v>type</v>
      </c>
      <c r="I187" s="15" t="str">
        <v>类型</v>
      </c>
      <c r="J187" s="18" t="str">
        <v>enum</v>
      </c>
      <c r="K187" s="15" t="str">
        <v>家，公司</v>
      </c>
      <c r="L187" s="24">
        <v>1</v>
      </c>
      <c r="M187" s="16">
        <v>1</v>
      </c>
      <c r="N187" s="15" t="str">
        <v>Y</v>
      </c>
      <c r="O187" s="36" t="str">
        <v>Y</v>
      </c>
      <c r="P187" s="37" t="str">
        <v>Y</v>
      </c>
      <c r="Q187" s="116" t="str">
        <v>getHomePoi()
getCompanyPoi()</v>
      </c>
      <c r="S187" s="125" t="inlineStr">
        <is>
          <r>
            <t>@赵明珠</t>
          </r>
          <r>
            <t xml:space="preserve">
</t>
          </r>
          <r>
            <t>@余明明</t>
          </r>
        </is>
      </c>
      <c r="T187" s="26" t="str">
        <v>Y</v>
      </c>
      <c r="V187" s="15" t="str">
        <v>Y</v>
      </c>
      <c r="X187" s="15" t="str">
        <v>家、公司</v>
      </c>
      <c r="Y187" s="15" t="str">
        <v>Y</v>
      </c>
      <c r="AD187" s="15" t="str">
        <v>Pass</v>
      </c>
    </row>
    <row r="188" spans="8:30">
      <c r="H188" s="56" t="str">
        <v>poi_name</v>
      </c>
      <c r="I188" s="56" t="str">
        <v>地点名称</v>
      </c>
      <c r="J188" s="133" t="str">
        <v>str</v>
      </c>
      <c r="AD188" s="15" t="str">
        <v>Pass</v>
      </c>
    </row>
    <row r="189" spans="1:30">
      <c r="A189" s="15" t="str">
        <v>道路导航</v>
      </c>
      <c r="H189" s="15" t="str">
        <v>address</v>
      </c>
      <c r="I189" s="15" t="str">
        <v>地址</v>
      </c>
      <c r="J189" s="18" t="str">
        <v>str</v>
      </c>
      <c r="M189" s="16">
        <v>1</v>
      </c>
      <c r="N189" s="15" t="str">
        <v>Y</v>
      </c>
      <c r="O189" s="36" t="str">
        <v>Y</v>
      </c>
      <c r="P189" s="37" t="str">
        <v>Y</v>
      </c>
      <c r="S189" s="125" t="inlineStr">
        <is>
          <r>
            <t>@赵明珠</t>
          </r>
          <r>
            <t xml:space="preserve">
</t>
          </r>
          <r>
            <t>@余明明</t>
          </r>
        </is>
      </c>
      <c r="T189" s="26" t="str">
        <v>Y</v>
      </c>
      <c r="V189" s="15" t="str">
        <v>Y</v>
      </c>
      <c r="X189" s="15" t="str">
        <v>家、公司</v>
      </c>
      <c r="Y189" s="15" t="str">
        <v>Y</v>
      </c>
      <c r="AD189" s="15" t="str">
        <v>Pass</v>
      </c>
    </row>
    <row r="190" spans="1:30">
      <c r="A190" s="15" t="str">
        <v>道路导航</v>
      </c>
      <c r="B190" s="15" t="str">
        <v>位置</v>
      </c>
      <c r="C190" s="15" t="str">
        <v>navigation_0004</v>
      </c>
      <c r="F190" s="15" t="str">
        <v>目的地位置</v>
      </c>
      <c r="G190" s="15" t="str">
        <v>高频变化</v>
      </c>
      <c r="H190" s="15" t="str">
        <v>address</v>
      </c>
      <c r="I190" s="15" t="str">
        <v>地址</v>
      </c>
      <c r="J190" s="18" t="str">
        <v>str</v>
      </c>
      <c r="M190" s="16">
        <v>1</v>
      </c>
      <c r="N190" s="15" t="str">
        <v>Y</v>
      </c>
      <c r="O190" s="36" t="str">
        <v>Y</v>
      </c>
      <c r="P190" s="37" t="str">
        <v>Y</v>
      </c>
      <c r="Q190" s="117" t="str">
        <v>Result&lt;RoutePoint&gt; getEndPointInfo(int mapId)</v>
      </c>
      <c r="S190" s="125" t="inlineStr">
        <is>
          <r>
            <t>@赵明珠</t>
          </r>
          <r>
            <t xml:space="preserve">
</t>
          </r>
          <r>
            <t>@余明明</t>
          </r>
        </is>
      </c>
      <c r="T190" s="26" t="str">
        <v>Y</v>
      </c>
      <c r="V190" s="15" t="str">
        <v>Y</v>
      </c>
      <c r="Y190" s="15" t="str">
        <v>Y</v>
      </c>
      <c r="AD190" s="15" t="str">
        <v>Pass</v>
      </c>
    </row>
    <row r="191" spans="8:30">
      <c r="H191" s="56" t="str">
        <v>poi_name</v>
      </c>
      <c r="I191" s="56" t="str">
        <v>地点名称</v>
      </c>
      <c r="J191" s="133" t="str">
        <v>str</v>
      </c>
      <c r="AD191" s="15" t="str">
        <v>Pass</v>
      </c>
    </row>
    <row r="192" spans="1:31">
      <c r="A192" s="15" t="str">
        <v>道路导航</v>
      </c>
      <c r="H192" s="15" t="str">
        <v>distance</v>
      </c>
      <c r="I192" s="15" t="str">
        <v>剩余距离</v>
      </c>
      <c r="J192" s="18" t="str">
        <v>str</v>
      </c>
      <c r="K192" s="15" t="str">
        <v>m</v>
      </c>
      <c r="M192" s="16">
        <v>1</v>
      </c>
      <c r="N192" s="15" t="str">
        <v>Y</v>
      </c>
      <c r="O192" s="36" t="str">
        <v>Y</v>
      </c>
      <c r="P192" s="37" t="str">
        <v>Y</v>
      </c>
      <c r="S192" s="125" t="inlineStr">
        <is>
          <r>
            <t>@余明明</t>
          </r>
        </is>
      </c>
      <c r="T192" s="26" t="str">
        <v>Y</v>
      </c>
      <c r="U192" s="115">
        <v>46151</v>
      </c>
      <c r="V192" s="26" t="str">
        <v>Y</v>
      </c>
      <c r="Y192" s="15" t="str">
        <v>Y</v>
      </c>
      <c r="AD192" s="15" t="str">
        <v>Pass</v>
      </c>
      <c r="AE192" s="18" t="str">
        <v>@路测</v>
      </c>
    </row>
    <row r="193" spans="1:31">
      <c r="A193" s="15" t="str">
        <v>道路导航</v>
      </c>
      <c r="H193" s="15" t="str">
        <v>duration</v>
      </c>
      <c r="I193" s="15" t="str">
        <v>剩余时长</v>
      </c>
      <c r="J193" s="18" t="str">
        <v>str</v>
      </c>
      <c r="K193" s="15" t="str">
        <v>s</v>
      </c>
      <c r="M193" s="16">
        <v>1</v>
      </c>
      <c r="N193" s="15" t="str">
        <v>Y</v>
      </c>
      <c r="O193" s="36" t="str">
        <v>Y</v>
      </c>
      <c r="P193" s="37" t="str">
        <v>Y</v>
      </c>
      <c r="S193" s="125" t="inlineStr">
        <is>
          <r>
            <t>@余明明</t>
          </r>
        </is>
      </c>
      <c r="T193" s="26" t="str">
        <v>Y</v>
      </c>
      <c r="U193" s="115">
        <v>46151</v>
      </c>
      <c r="V193" s="26" t="str">
        <v>Y</v>
      </c>
      <c r="Y193" s="15" t="str">
        <v>Y</v>
      </c>
      <c r="AD193" s="15" t="str">
        <v>Pass</v>
      </c>
      <c r="AE193" s="18" t="str">
        <v>@路测</v>
      </c>
    </row>
    <row r="194" spans="1:31">
      <c r="A194" s="15" t="str">
        <v>道路导航</v>
      </c>
      <c r="H194" s="15" t="str">
        <v>capacity</v>
      </c>
      <c r="I194" s="15" t="str">
        <v>剩余电量</v>
      </c>
      <c r="J194" s="18" t="str">
        <v>str</v>
      </c>
      <c r="K194" s="15" t="str">
        <v>%</v>
      </c>
      <c r="M194" s="16">
        <v>1</v>
      </c>
      <c r="N194" s="15" t="str">
        <v>Y</v>
      </c>
      <c r="O194" s="36" t="str">
        <v>Y（仅纯电车型有）</v>
      </c>
      <c r="P194" s="37" t="str">
        <v>Y</v>
      </c>
      <c r="S194" s="125" t="inlineStr">
        <is>
          <r>
            <t>@余明明</t>
          </r>
        </is>
      </c>
      <c r="T194" s="26" t="str">
        <v>Y</v>
      </c>
      <c r="U194" s="115">
        <v>46151</v>
      </c>
      <c r="V194" s="26" t="str">
        <v>Y</v>
      </c>
      <c r="W194" s="15" t="str">
        <v>0615在254通过地图版本466自测，有电量值返回</v>
      </c>
      <c r="Y194" s="15" t="str">
        <v>B</v>
      </c>
      <c r="AD194" s="15" t="str">
        <v>Pass</v>
      </c>
      <c r="AE194" s="18" t="str">
        <v>@路测</v>
      </c>
    </row>
    <row r="195" spans="1:31">
      <c r="A195" s="15" t="str">
        <v>道路导航</v>
      </c>
      <c r="H195" s="15" t="str">
        <v>time</v>
      </c>
      <c r="I195" s="15" t="str">
        <v>到达时间</v>
      </c>
      <c r="J195" s="18" t="str">
        <v>str</v>
      </c>
      <c r="K195" s="15" t="str">
        <v>hh:mm</v>
      </c>
      <c r="M195" s="16">
        <v>1</v>
      </c>
      <c r="N195" s="15" t="str">
        <v>Y</v>
      </c>
      <c r="O195" s="36" t="str">
        <v>Y</v>
      </c>
      <c r="P195" s="37" t="str">
        <v>Y</v>
      </c>
      <c r="S195" s="125" t="inlineStr">
        <is>
          <r>
            <t>@余明明</t>
          </r>
        </is>
      </c>
      <c r="T195" s="26" t="str">
        <v>Y</v>
      </c>
      <c r="U195" s="115">
        <v>46151</v>
      </c>
      <c r="V195" s="26" t="str">
        <v>Y</v>
      </c>
      <c r="Y195" s="15" t="str">
        <v>Y</v>
      </c>
      <c r="AD195" s="15" t="str">
        <v>Pass</v>
      </c>
      <c r="AE195" s="18" t="str">
        <v>@路测</v>
      </c>
    </row>
    <row r="196" spans="1:30">
      <c r="A196" s="15" t="str">
        <v>道路导航</v>
      </c>
      <c r="B196" s="15" t="str">
        <v>位置</v>
      </c>
      <c r="C196" s="15" t="str">
        <v>navigation_0007</v>
      </c>
      <c r="F196" s="15" t="str">
        <v>途经点位置</v>
      </c>
      <c r="G196" s="15" t="str">
        <v>高频变化</v>
      </c>
      <c r="H196" s="15" t="str">
        <v>address</v>
      </c>
      <c r="I196" s="15" t="str">
        <v>地址</v>
      </c>
      <c r="J196" s="18" t="str">
        <v>str</v>
      </c>
      <c r="M196" s="16">
        <v>1</v>
      </c>
      <c r="N196" s="15" t="str">
        <v>Y</v>
      </c>
      <c r="O196" s="36" t="str">
        <v>Y</v>
      </c>
      <c r="P196" s="37" t="str">
        <v>Y</v>
      </c>
      <c r="Q196" s="117" t="str">
        <v>List&lt;RoutePoint&gt; getViaPoi(int mapId)</v>
      </c>
      <c r="S196" s="125" t="inlineStr">
        <is>
          <r>
            <t>@余明明</t>
          </r>
        </is>
      </c>
      <c r="T196" s="26" t="str">
        <v>Y</v>
      </c>
      <c r="U196" s="115">
        <v>46151</v>
      </c>
      <c r="V196" s="26" t="str">
        <v>Y</v>
      </c>
      <c r="Y196" s="15" t="str">
        <v>Y</v>
      </c>
      <c r="AD196" s="15" t="str">
        <v>Pass</v>
      </c>
    </row>
    <row r="197" spans="1:30">
      <c r="A197" s="15" t="str">
        <v>道路导航</v>
      </c>
      <c r="H197" s="15" t="str">
        <v>index</v>
      </c>
      <c r="I197" s="15" t="str">
        <v>途经点序号</v>
      </c>
      <c r="J197" s="18" t="str">
        <v>str</v>
      </c>
      <c r="L197" s="24">
        <v>1</v>
      </c>
      <c r="M197" s="16">
        <v>1</v>
      </c>
      <c r="N197" s="15" t="str">
        <v>Y</v>
      </c>
      <c r="O197" s="36" t="str">
        <v>Y</v>
      </c>
      <c r="P197" s="37" t="str">
        <v>Y</v>
      </c>
      <c r="S197" s="125" t="inlineStr">
        <is>
          <r>
            <t>@余明明</t>
          </r>
        </is>
      </c>
      <c r="T197" s="26" t="str">
        <v>Y</v>
      </c>
      <c r="U197" s="115">
        <v>46151</v>
      </c>
      <c r="V197" s="26" t="str">
        <v>Y</v>
      </c>
      <c r="Y197" s="15" t="str">
        <v>Y</v>
      </c>
      <c r="AD197" s="15" t="str">
        <v>Pass</v>
      </c>
    </row>
    <row r="198" spans="8:30">
      <c r="H198" s="56" t="str">
        <v>poi_name</v>
      </c>
      <c r="I198" s="56" t="str">
        <v>地点名称</v>
      </c>
      <c r="J198" s="133" t="str">
        <v>str</v>
      </c>
      <c r="AD198" s="15" t="str">
        <v>Pass</v>
      </c>
    </row>
    <row r="199" spans="1:32">
      <c r="A199" s="15" t="str">
        <v>道路导航</v>
      </c>
      <c r="H199" s="15" t="str">
        <v>distance</v>
      </c>
      <c r="I199" s="15" t="str">
        <v>剩余距离</v>
      </c>
      <c r="J199" s="18" t="str">
        <v>str</v>
      </c>
      <c r="K199" s="15" t="str">
        <v>m</v>
      </c>
      <c r="M199" s="16">
        <v>1</v>
      </c>
      <c r="N199" s="15" t="str">
        <v>Y</v>
      </c>
      <c r="O199" s="36" t="str">
        <v>Y</v>
      </c>
      <c r="P199" s="37" t="str">
        <v>Y</v>
      </c>
      <c r="S199" s="125" t="inlineStr">
        <is>
          <r>
            <t>@余明明</t>
          </r>
        </is>
      </c>
      <c r="T199" s="26" t="str">
        <v>N</v>
      </c>
      <c r="U199" s="115">
        <v>46151</v>
      </c>
      <c r="V199" s="26" t="str">
        <v>Y</v>
      </c>
      <c r="W199" s="15" t="str">
        <v>0615在地图版本466自测，返回0</v>
      </c>
      <c r="Y199" s="15" t="str">
        <v>N</v>
      </c>
      <c r="AD199" s="15" t="str">
        <v>Fail</v>
      </c>
      <c r="AE199" s="18" t="str">
        <v>@路测</v>
      </c>
      <c r="AF199" s="128" t="str">
        <v>https://meego.larkoffice.com/telematics/issue/detail/7356456215</v>
      </c>
    </row>
    <row r="200" spans="1:31">
      <c r="A200" s="15" t="str">
        <v>道路导航</v>
      </c>
      <c r="H200" s="15" t="str">
        <v>duration</v>
      </c>
      <c r="I200" s="15" t="str">
        <v>剩余时长</v>
      </c>
      <c r="J200" s="18" t="str">
        <v>str</v>
      </c>
      <c r="K200" s="15" t="str">
        <v>s</v>
      </c>
      <c r="M200" s="16">
        <v>1</v>
      </c>
      <c r="N200" s="15" t="str">
        <v>Y</v>
      </c>
      <c r="O200" s="36" t="str">
        <v>Y</v>
      </c>
      <c r="P200" s="37" t="str">
        <v>Y</v>
      </c>
      <c r="S200" s="125" t="inlineStr">
        <is>
          <r>
            <t>@余明明</t>
          </r>
        </is>
      </c>
      <c r="T200" s="26" t="str">
        <v>N</v>
      </c>
      <c r="U200" s="115">
        <v>46151</v>
      </c>
      <c r="V200" s="26" t="str">
        <v>Y</v>
      </c>
      <c r="W200" s="15" t="str">
        <v>0615在地图版本466自测，返回0</v>
      </c>
      <c r="Y200" s="15" t="str">
        <v>N</v>
      </c>
      <c r="AD200" s="15" t="str">
        <v>Pass</v>
      </c>
      <c r="AE200" s="18" t="str">
        <v>@路测</v>
      </c>
    </row>
    <row r="201" spans="1:31">
      <c r="A201" s="15" t="str">
        <v>道路导航</v>
      </c>
      <c r="H201" s="15" t="str">
        <v>capacity</v>
      </c>
      <c r="I201" s="15" t="str">
        <v>剩余电量</v>
      </c>
      <c r="J201" s="18" t="str">
        <v>str</v>
      </c>
      <c r="K201" s="15" t="str">
        <v>%</v>
      </c>
      <c r="M201" s="16">
        <v>1</v>
      </c>
      <c r="N201" s="15" t="str">
        <v>Y</v>
      </c>
      <c r="O201" s="36" t="str">
        <v>Y（仅纯电车型有）</v>
      </c>
      <c r="P201" s="37" t="str">
        <v>Y</v>
      </c>
      <c r="S201" s="125" t="inlineStr">
        <is>
          <r>
            <t>@余明明</t>
          </r>
        </is>
      </c>
      <c r="T201" s="26" t="str">
        <v>Y</v>
      </c>
      <c r="U201" s="115">
        <v>46151</v>
      </c>
      <c r="V201" s="26" t="str">
        <v>Y</v>
      </c>
      <c r="W201" s="15" t="str">
        <v>0615在254通过地图版本466自测，有电量值返回</v>
      </c>
      <c r="Y201" s="15" t="str">
        <v>B</v>
      </c>
      <c r="AD201" s="15" t="str">
        <v>Block</v>
      </c>
      <c r="AE201" s="18" t="str">
        <v>@路测</v>
      </c>
    </row>
    <row r="202" spans="1:31">
      <c r="A202" s="15" t="str">
        <v>道路导航</v>
      </c>
      <c r="H202" s="15" t="str">
        <v>time</v>
      </c>
      <c r="I202" s="15" t="str">
        <v>到达时间</v>
      </c>
      <c r="J202" s="18" t="str">
        <v>str</v>
      </c>
      <c r="K202" s="15" t="str">
        <v>hh:mm</v>
      </c>
      <c r="M202" s="16">
        <v>1</v>
      </c>
      <c r="N202" s="15" t="str">
        <v>Y</v>
      </c>
      <c r="O202" s="36" t="str">
        <v>Y</v>
      </c>
      <c r="P202" s="37" t="str">
        <v>Y</v>
      </c>
      <c r="S202" s="125" t="inlineStr">
        <is>
          <r>
            <t>@余明明</t>
          </r>
        </is>
      </c>
      <c r="T202" s="26" t="str">
        <v>N</v>
      </c>
      <c r="U202" s="115">
        <v>46151</v>
      </c>
      <c r="V202" s="26" t="str">
        <v>Y</v>
      </c>
      <c r="W202" s="15" t="str">
        <v>0615在地图版本466自测，返回0</v>
      </c>
      <c r="Y202" s="15" t="str">
        <v>N</v>
      </c>
      <c r="AD202" s="15" t="str">
        <v>Pass</v>
      </c>
      <c r="AE202" s="18" t="str">
        <v>@路测</v>
      </c>
    </row>
    <row r="203" spans="1:32">
      <c r="A203" s="15" t="str">
        <v>道路导航</v>
      </c>
      <c r="B203" s="15" t="str">
        <v>位置</v>
      </c>
      <c r="C203" s="15" t="str">
        <v>navigation_0008</v>
      </c>
      <c r="F203" s="15" t="str">
        <v>沿途服务区位置</v>
      </c>
      <c r="G203" s="15" t="str">
        <v>高频变化</v>
      </c>
      <c r="H203" s="15" t="str">
        <v>address</v>
      </c>
      <c r="I203" s="15" t="str">
        <v>地址</v>
      </c>
      <c r="J203" s="18" t="str">
        <v>str</v>
      </c>
      <c r="N203" s="15" t="str">
        <v>Y</v>
      </c>
      <c r="O203" s="36" t="str">
        <v>Y</v>
      </c>
      <c r="P203" s="37" t="str">
        <v>Y</v>
      </c>
      <c r="Q203" s="117" t="str">
        <v>List&lt;ServiceInfo&gt; getServiceAreaInfo(int mapId)</v>
      </c>
      <c r="S203" s="125" t="inlineStr">
        <is>
          <r>
            <t>@余明明</t>
          </r>
        </is>
      </c>
      <c r="T203" s="26" t="str">
        <v>N</v>
      </c>
      <c r="U203" s="115">
        <v>46151</v>
      </c>
      <c r="V203" s="26" t="str">
        <v>Y</v>
      </c>
      <c r="W203" s="15" t="str">
        <v>0615在地图版本466自测，服务区没回调，主动获取接口返回null</v>
      </c>
      <c r="Y203" s="15" t="str">
        <v>B</v>
      </c>
      <c r="AD203" s="15" t="str">
        <v>Block</v>
      </c>
      <c r="AF203" s="125" t="str">
        <v>如何添加这个内容</v>
      </c>
    </row>
    <row r="204" spans="1:32">
      <c r="A204" s="15" t="str">
        <v>道路导航</v>
      </c>
      <c r="H204" s="15" t="str">
        <v>index</v>
      </c>
      <c r="I204" s="15" t="str">
        <v>沿途服务区序号</v>
      </c>
      <c r="J204" s="18" t="str">
        <v>str</v>
      </c>
      <c r="N204" s="15" t="str">
        <v>Y</v>
      </c>
      <c r="O204" s="36" t="str">
        <v>Y</v>
      </c>
      <c r="P204" s="37" t="str">
        <v>Y</v>
      </c>
      <c r="S204" s="125" t="inlineStr">
        <is>
          <r>
            <t>@余明明</t>
          </r>
        </is>
      </c>
      <c r="T204" s="48" t="str">
        <v>N</v>
      </c>
      <c r="U204" s="115">
        <v>46151</v>
      </c>
      <c r="V204" s="26" t="str">
        <v>Y</v>
      </c>
      <c r="Y204" s="15" t="str">
        <v>B</v>
      </c>
      <c r="AD204" s="15" t="str">
        <v>Block</v>
      </c>
      <c r="AF204" s="125" t="str">
        <v>如何添加这个内容</v>
      </c>
    </row>
    <row r="205" spans="8:30">
      <c r="H205" s="56" t="str">
        <v>poi_name</v>
      </c>
      <c r="I205" s="56" t="str">
        <v>地点名称</v>
      </c>
      <c r="J205" s="133" t="str">
        <v>str</v>
      </c>
      <c r="AD205" s="15" t="str">
        <v>Block</v>
      </c>
    </row>
    <row r="206" spans="1:32">
      <c r="A206" s="15" t="str">
        <v>道路导航</v>
      </c>
      <c r="H206" s="15" t="str">
        <v>distance</v>
      </c>
      <c r="I206" s="15" t="str">
        <v>剩余距离</v>
      </c>
      <c r="J206" s="18" t="str">
        <v>str</v>
      </c>
      <c r="K206" s="15" t="str">
        <v>m</v>
      </c>
      <c r="N206" s="15" t="str">
        <v>Y</v>
      </c>
      <c r="O206" s="36" t="str">
        <v>Y</v>
      </c>
      <c r="P206" s="37" t="str">
        <v>Y</v>
      </c>
      <c r="S206" s="125" t="inlineStr">
        <is>
          <r>
            <t>@余明明</t>
          </r>
        </is>
      </c>
      <c r="T206" s="48" t="str">
        <v>N</v>
      </c>
      <c r="U206" s="115">
        <v>46151</v>
      </c>
      <c r="V206" s="26" t="str">
        <v>Y</v>
      </c>
      <c r="Y206" s="15" t="str">
        <v>B</v>
      </c>
      <c r="AD206" s="15" t="str">
        <v>Block</v>
      </c>
      <c r="AE206" s="18" t="str">
        <v>@路测</v>
      </c>
      <c r="AF206" s="125" t="str">
        <v>如何添加这个内容</v>
      </c>
    </row>
    <row r="207" spans="1:32">
      <c r="A207" s="15" t="str">
        <v>道路导航</v>
      </c>
      <c r="H207" s="15" t="str">
        <v>duration</v>
      </c>
      <c r="I207" s="15" t="str">
        <v>剩余时长</v>
      </c>
      <c r="J207" s="18" t="str">
        <v>str</v>
      </c>
      <c r="K207" s="15" t="str">
        <v>s</v>
      </c>
      <c r="N207" s="15" t="str">
        <v>Y</v>
      </c>
      <c r="O207" s="36" t="str">
        <v>Y</v>
      </c>
      <c r="P207" s="37" t="str">
        <v>Y</v>
      </c>
      <c r="S207" s="125" t="inlineStr">
        <is>
          <r>
            <t>@余明明</t>
          </r>
        </is>
      </c>
      <c r="T207" s="48" t="str">
        <v>N</v>
      </c>
      <c r="U207" s="115">
        <v>46151</v>
      </c>
      <c r="V207" s="26" t="str">
        <v>Y</v>
      </c>
      <c r="Y207" s="15" t="str">
        <v>B</v>
      </c>
      <c r="AD207" s="15" t="str">
        <v>Block</v>
      </c>
      <c r="AE207" s="18" t="str">
        <v>@路测</v>
      </c>
      <c r="AF207" s="125" t="str">
        <v>如何添加这个内容</v>
      </c>
    </row>
    <row r="208" spans="1:32">
      <c r="A208" s="15" t="str">
        <v>道路导航</v>
      </c>
      <c r="H208" s="15" t="str">
        <v>capacity</v>
      </c>
      <c r="I208" s="15" t="str">
        <v>剩余电量</v>
      </c>
      <c r="J208" s="18" t="str">
        <v>str</v>
      </c>
      <c r="K208" s="15" t="str">
        <v>%</v>
      </c>
      <c r="N208" s="15" t="str">
        <v>Y</v>
      </c>
      <c r="O208" s="36" t="str">
        <v>Y（仅纯电车型有）</v>
      </c>
      <c r="P208" s="37" t="str">
        <v>Y</v>
      </c>
      <c r="S208" s="125" t="inlineStr">
        <is>
          <r>
            <t>@余明明</t>
          </r>
        </is>
      </c>
      <c r="T208" s="48" t="str">
        <v>N</v>
      </c>
      <c r="U208" s="115">
        <v>46151</v>
      </c>
      <c r="V208" s="26" t="str">
        <v>Y</v>
      </c>
      <c r="Y208" s="15" t="str">
        <v>B</v>
      </c>
      <c r="AD208" s="15" t="str">
        <v>Block</v>
      </c>
      <c r="AE208" s="18" t="str">
        <v>@路测</v>
      </c>
      <c r="AF208" s="125" t="str">
        <v>如何添加这个内容</v>
      </c>
    </row>
    <row r="209" spans="1:32">
      <c r="A209" s="15" t="str">
        <v>道路导航</v>
      </c>
      <c r="H209" s="15" t="str">
        <v>time</v>
      </c>
      <c r="I209" s="15" t="str">
        <v>到达时间</v>
      </c>
      <c r="J209" s="18" t="str">
        <v>str</v>
      </c>
      <c r="K209" s="15" t="str">
        <v>hh:mm</v>
      </c>
      <c r="N209" s="15" t="str">
        <v>Y</v>
      </c>
      <c r="O209" s="36" t="str">
        <v>Y</v>
      </c>
      <c r="P209" s="37" t="str">
        <v>Y</v>
      </c>
      <c r="S209" s="125" t="inlineStr">
        <is>
          <r>
            <t>@余明明</t>
          </r>
        </is>
      </c>
      <c r="T209" s="48" t="str">
        <v>N</v>
      </c>
      <c r="U209" s="115">
        <v>46151</v>
      </c>
      <c r="V209" s="26" t="str">
        <v>Y</v>
      </c>
      <c r="Y209" s="15" t="str">
        <v>B</v>
      </c>
      <c r="AD209" s="15" t="str">
        <v>Block</v>
      </c>
      <c r="AE209" s="18" t="str">
        <v>@路测</v>
      </c>
      <c r="AF209" s="125" t="str">
        <v>如何添加这个内容</v>
      </c>
    </row>
    <row r="210" spans="1:31">
      <c r="A210" s="15" t="str">
        <v>道路导航</v>
      </c>
      <c r="B210" s="15" t="str">
        <v>路况</v>
      </c>
      <c r="C210" s="15" t="str">
        <v>navigation_0005</v>
      </c>
      <c r="F210" s="15" t="str">
        <v>当前拥堵情况</v>
      </c>
      <c r="G210" s="15" t="str">
        <v>高频变化</v>
      </c>
      <c r="H210" s="15" t="str">
        <v>road_condition</v>
      </c>
      <c r="I210" s="15" t="str">
        <v>路况</v>
      </c>
      <c r="J210" s="18" t="str">
        <v>str</v>
      </c>
      <c r="K210" s="15" t="str">
        <v>畅通、缓行、拥堵、严重拥堵、无路况</v>
      </c>
      <c r="N210" s="15" t="str">
        <v>Y</v>
      </c>
      <c r="O210" s="36" t="str">
        <v>Y</v>
      </c>
      <c r="P210" s="37" t="str">
        <v>Y</v>
      </c>
      <c r="Q210" s="117" t="str">
        <v>requestCongestionInfo(OnCongestionInfoListener listener)</v>
      </c>
      <c r="S210" s="125" t="inlineStr">
        <is>
          <r>
            <t>@余明明</t>
          </r>
        </is>
      </c>
      <c r="T210" s="48" t="str">
        <v>N</v>
      </c>
      <c r="U210" s="115">
        <v>46151</v>
      </c>
      <c r="V210" s="26" t="str">
        <v>Y</v>
      </c>
      <c r="W210" s="15" t="str">
        <v>0615在地图版本466自测，没有返回</v>
      </c>
      <c r="Y210" s="15" t="str">
        <v>B</v>
      </c>
      <c r="AD210" s="15" t="str">
        <v>Pass</v>
      </c>
      <c r="AE210" s="18" t="str">
        <v>@路测</v>
      </c>
    </row>
    <row r="211" spans="1:31">
      <c r="A211" s="15" t="str">
        <v>道路导航</v>
      </c>
      <c r="H211" s="15" t="str">
        <v>congestion_time</v>
      </c>
      <c r="I211" s="15" t="str">
        <v>剩余拥堵时长</v>
      </c>
      <c r="J211" s="18" t="str">
        <v>str</v>
      </c>
      <c r="K211" s="15" t="str">
        <v>s</v>
      </c>
      <c r="N211" s="15" t="str">
        <v>Y</v>
      </c>
      <c r="O211" s="36" t="str">
        <v>Y</v>
      </c>
      <c r="R211" s="130" t="str">
        <v>http://jira.z-onesoftware.com:8080/browse/DNA-1850</v>
      </c>
      <c r="S211" s="124" t="inlineStr">
        <is>
          <r>
            <t>@余明明</t>
          </r>
        </is>
      </c>
      <c r="T211" s="48" t="str">
        <v>N</v>
      </c>
      <c r="V211" s="26" t="str">
        <v>Y</v>
      </c>
      <c r="W211" s="28" t="str">
        <v>0707 明明反馈上汽还没给包/已让张淳问黄林进展</v>
      </c>
      <c r="Y211" s="15" t="str">
        <v>B</v>
      </c>
      <c r="AD211" s="15" t="str">
        <v>Pass</v>
      </c>
      <c r="AE211" s="18" t="str">
        <v>@路测</v>
      </c>
    </row>
    <row r="212" spans="1:31">
      <c r="A212" s="15" t="str">
        <v>道路导航</v>
      </c>
      <c r="H212" s="15" t="str">
        <v>congestion_dist</v>
      </c>
      <c r="I212" s="15" t="str">
        <v>剩余拥堵长度</v>
      </c>
      <c r="J212" s="18" t="str">
        <v>str</v>
      </c>
      <c r="K212" s="15" t="str">
        <v>m</v>
      </c>
      <c r="N212" s="15" t="str">
        <v>Y</v>
      </c>
      <c r="O212" s="36" t="str">
        <v>Y</v>
      </c>
      <c r="R212" s="130" t="str">
        <v>http://jira.z-onesoftware.com:8080/browse/DNA-1850</v>
      </c>
      <c r="S212" s="124" t="inlineStr">
        <is>
          <r>
            <t>@余明明</t>
          </r>
        </is>
      </c>
      <c r="T212" s="48" t="str">
        <v>N</v>
      </c>
      <c r="V212" s="26" t="str">
        <v>Y</v>
      </c>
      <c r="W212" s="28" t="str">
        <v>0707 明明反馈上汽还没给包/已让张淳问黄林进展</v>
      </c>
      <c r="Y212" s="15" t="str">
        <v>B</v>
      </c>
      <c r="AD212" s="15" t="str">
        <v>Pass</v>
      </c>
      <c r="AE212" s="18" t="str">
        <v>@路测</v>
      </c>
    </row>
    <row r="213" spans="1:31">
      <c r="A213" s="15" t="str">
        <v>道路导航</v>
      </c>
      <c r="B213" s="15" t="str">
        <v>路况</v>
      </c>
      <c r="C213" s="15" t="str">
        <v>navigation_0006</v>
      </c>
      <c r="F213" s="15" t="str">
        <v>前方拥堵状态</v>
      </c>
      <c r="G213" s="15" t="str">
        <v>用户交互后变化</v>
      </c>
      <c r="H213" s="15" t="str">
        <v>road_condition</v>
      </c>
      <c r="I213" s="15" t="str">
        <v>路况</v>
      </c>
      <c r="J213" s="18" t="str">
        <v>str</v>
      </c>
      <c r="K213" s="15" t="str">
        <v>畅通、缓行、拥堵、严重拥堵、无路况</v>
      </c>
      <c r="N213" s="15" t="str">
        <v>Y</v>
      </c>
      <c r="O213" s="36" t="str">
        <v>Y</v>
      </c>
      <c r="P213" s="37" t="str">
        <v>Y</v>
      </c>
      <c r="Q213" s="117" t="str">
        <v>onAheadCongestedRoadInfoUpdated(AheadCongestedRoadInfo info)</v>
      </c>
      <c r="S213" s="125" t="inlineStr">
        <is>
          <r>
            <t>@余明明</t>
          </r>
        </is>
      </c>
      <c r="T213" s="26" t="str">
        <v>Y</v>
      </c>
      <c r="U213" s="115">
        <v>46151</v>
      </c>
      <c r="V213" s="26" t="str">
        <v>Y</v>
      </c>
      <c r="W213" s="75" t="str">
        <v>回调变化</v>
      </c>
      <c r="Y213" s="15" t="str">
        <v>Y</v>
      </c>
      <c r="AD213" s="15" t="str">
        <v>Block</v>
      </c>
      <c r="AE213" s="18" t="str">
        <v>@路测</v>
      </c>
    </row>
    <row r="214" spans="1:31">
      <c r="A214" s="15" t="str">
        <v>道路导航</v>
      </c>
      <c r="H214" s="15" t="str">
        <v>roda_name</v>
      </c>
      <c r="I214" s="15" t="str">
        <v>拥堵路段名称</v>
      </c>
      <c r="J214" s="18" t="str">
        <v>str</v>
      </c>
      <c r="N214" s="56" t="str">
        <v>Y</v>
      </c>
      <c r="O214" s="36" t="str">
        <v>Y</v>
      </c>
      <c r="R214" s="130" t="str">
        <v>http://jira.z-onesoftware.com:8080/browse/DNA-1850</v>
      </c>
      <c r="S214" s="124" t="inlineStr">
        <is>
          <r>
            <t>@余明明</t>
          </r>
        </is>
      </c>
      <c r="T214" s="26" t="str">
        <v>N</v>
      </c>
      <c r="V214" s="26" t="str">
        <v>Y</v>
      </c>
      <c r="W214" s="28" t="str">
        <v>0615在地图版本466自测，返回""
0707 明明反馈上汽还没给包/已让张淳问黄林进展</v>
      </c>
      <c r="Y214" s="15" t="str">
        <v>B</v>
      </c>
      <c r="AD214" s="15" t="str">
        <v>Block</v>
      </c>
      <c r="AE214" s="18" t="str">
        <v>@路测</v>
      </c>
    </row>
    <row r="215" spans="1:31">
      <c r="A215" s="15" t="str">
        <v>道路导航</v>
      </c>
      <c r="H215" s="15" t="str">
        <v>congestion_dist</v>
      </c>
      <c r="I215" s="15" t="str">
        <v>剩余拥堵长度</v>
      </c>
      <c r="J215" s="18" t="str">
        <v>str</v>
      </c>
      <c r="K215" s="15" t="str">
        <v>m</v>
      </c>
      <c r="N215" s="56" t="str">
        <v>Y</v>
      </c>
      <c r="O215" s="36" t="str">
        <v>Y</v>
      </c>
      <c r="P215" s="37" t="str">
        <v>Y</v>
      </c>
      <c r="S215" s="125" t="inlineStr">
        <is>
          <r>
            <t>@余明明</t>
          </r>
        </is>
      </c>
      <c r="T215" s="26" t="str">
        <v>Y</v>
      </c>
      <c r="V215" s="26" t="str">
        <v>Y</v>
      </c>
      <c r="Y215" s="15" t="str">
        <v>Y</v>
      </c>
      <c r="AD215" s="15" t="str">
        <v>Block</v>
      </c>
      <c r="AE215" s="18" t="str">
        <v>@路测</v>
      </c>
    </row>
    <row r="216" spans="1:31">
      <c r="A216" s="15" t="str">
        <v>道路导航</v>
      </c>
      <c r="H216" s="15" t="str">
        <v>congestion_time</v>
      </c>
      <c r="I216" s="15" t="str">
        <v>剩余拥堵时长</v>
      </c>
      <c r="J216" s="18" t="str">
        <v>str</v>
      </c>
      <c r="K216" s="15" t="str">
        <v>s</v>
      </c>
      <c r="N216" s="56" t="str">
        <v>Y</v>
      </c>
      <c r="O216" s="36" t="str">
        <v>Y</v>
      </c>
      <c r="P216" s="37" t="str">
        <v>Y</v>
      </c>
      <c r="S216" s="125" t="inlineStr">
        <is>
          <r>
            <t>@余明明</t>
          </r>
        </is>
      </c>
      <c r="T216" s="26" t="str">
        <v>Y</v>
      </c>
      <c r="V216" s="26" t="str">
        <v>Y</v>
      </c>
      <c r="Y216" s="15" t="str">
        <v>Y</v>
      </c>
      <c r="AD216" s="15" t="str">
        <v>Block</v>
      </c>
      <c r="AE216" s="18" t="str">
        <v>@路测</v>
      </c>
    </row>
    <row r="217" spans="1:31">
      <c r="A217" s="15" t="str">
        <v>道路导航</v>
      </c>
      <c r="H217" s="15" t="str">
        <v>to_congestion_dist</v>
      </c>
      <c r="I217" s="15" t="str">
        <v>当前位置到拥堵路段距离</v>
      </c>
      <c r="J217" s="18" t="str">
        <v>str</v>
      </c>
      <c r="K217" s="15" t="str">
        <v>m</v>
      </c>
      <c r="N217" s="56" t="str">
        <v>Y</v>
      </c>
      <c r="O217" s="36" t="str">
        <v>Y</v>
      </c>
      <c r="P217" s="37" t="str">
        <v>Y</v>
      </c>
      <c r="S217" s="125" t="inlineStr">
        <is>
          <r>
            <t>@余明明</t>
          </r>
        </is>
      </c>
      <c r="T217" s="26" t="str">
        <v>Y</v>
      </c>
      <c r="V217" s="26" t="str">
        <v>Y</v>
      </c>
      <c r="Y217" s="15" t="str">
        <v>Y</v>
      </c>
      <c r="AD217" s="15" t="str">
        <v>Block</v>
      </c>
      <c r="AE217" s="18" t="str">
        <v>@路测</v>
      </c>
    </row>
    <row r="218" spans="1:30">
      <c r="A218" s="15" t="str">
        <v>媒体播放</v>
      </c>
      <c r="B218" s="15" t="str">
        <v>音频</v>
      </c>
      <c r="C218" s="15" t="str">
        <v>media_0001</v>
      </c>
      <c r="F218" s="15" t="str">
        <v>当前播放音频</v>
      </c>
      <c r="G218" s="15" t="str">
        <v>用户交互后变化</v>
      </c>
      <c r="H218" s="15" t="str">
        <v>audio_name</v>
      </c>
      <c r="I218" s="15" t="str">
        <v>音频名称</v>
      </c>
      <c r="J218" s="18" t="str">
        <v>str</v>
      </c>
      <c r="M218" s="16">
        <v>1</v>
      </c>
      <c r="N218" s="15" t="str">
        <v>Y</v>
      </c>
      <c r="O218" s="36" t="str">
        <v>Y</v>
      </c>
      <c r="P218" s="37" t="str">
        <v>Y</v>
      </c>
      <c r="S218" s="149" t="inlineStr">
        <is>
          <r>
            <t>@田高琳</t>
          </r>
        </is>
      </c>
      <c r="T218" s="26" t="str">
        <v>Y</v>
      </c>
      <c r="U218" s="16">
        <v>5.8</v>
      </c>
      <c r="V218" s="129" t="str">
        <v>Y</v>
      </c>
      <c r="Y218" s="15" t="str">
        <v>Y</v>
      </c>
      <c r="AD218" s="15" t="str">
        <v>Pass</v>
      </c>
    </row>
    <row r="219" spans="1:30">
      <c r="A219" s="15" t="str">
        <v>媒体播放</v>
      </c>
      <c r="H219" s="15" t="str">
        <v>audio_artist</v>
      </c>
      <c r="I219" s="15" t="str">
        <v>音频作者</v>
      </c>
      <c r="J219" s="18" t="str">
        <v>str</v>
      </c>
      <c r="M219" s="16">
        <v>1</v>
      </c>
      <c r="N219" s="15" t="str">
        <v>Y</v>
      </c>
      <c r="O219" s="36" t="str">
        <v>Y</v>
      </c>
      <c r="P219" s="37" t="str">
        <v>Y</v>
      </c>
      <c r="S219" s="124" t="inlineStr">
        <is>
          <r>
            <t>@田高琳</t>
          </r>
        </is>
      </c>
      <c r="T219" s="26" t="str">
        <v>Y</v>
      </c>
      <c r="U219" s="16">
        <v>5.8</v>
      </c>
      <c r="V219" s="126" t="str">
        <v>Y</v>
      </c>
      <c r="Y219" s="15" t="str">
        <v>Y</v>
      </c>
      <c r="AD219" s="15" t="str">
        <v>Pass</v>
      </c>
    </row>
    <row r="220" spans="1:30">
      <c r="A220" s="15" t="str">
        <v>媒体播放</v>
      </c>
      <c r="H220" s="15" t="str">
        <v>app_name</v>
      </c>
      <c r="I220" s="15" t="str">
        <v>应用名称</v>
      </c>
      <c r="J220" s="18" t="str">
        <v>str</v>
      </c>
      <c r="K220" s="15" t="str">
        <v>QQ音乐，汽水音乐，网易云音乐，蓝牙音乐，USB音乐</v>
      </c>
      <c r="M220" s="16">
        <v>1</v>
      </c>
      <c r="N220" s="15" t="str">
        <v>Y</v>
      </c>
      <c r="O220" s="36" t="str">
        <v>Y</v>
      </c>
      <c r="P220" s="37" t="str">
        <v>Y</v>
      </c>
      <c r="S220" s="124" t="inlineStr">
        <is>
          <r>
            <t>@田高琳</t>
          </r>
        </is>
      </c>
      <c r="T220" s="26" t="str">
        <v>Y</v>
      </c>
      <c r="U220" s="16">
        <v>5.8</v>
      </c>
      <c r="V220" s="126" t="str">
        <v>Y</v>
      </c>
      <c r="Y220" s="15" t="str">
        <v>Y</v>
      </c>
      <c r="AD220" s="15" t="str">
        <v>Pass</v>
      </c>
    </row>
    <row r="221" spans="1:30">
      <c r="A221" s="15" t="str">
        <v>媒体播放</v>
      </c>
      <c r="H221" s="15" t="str">
        <v>album_name</v>
      </c>
      <c r="I221" s="15" t="str">
        <v>专辑名称</v>
      </c>
      <c r="J221" s="18" t="str">
        <v>str</v>
      </c>
      <c r="M221" s="16">
        <v>1</v>
      </c>
      <c r="N221" s="15" t="str">
        <v>Y</v>
      </c>
      <c r="O221" s="36" t="str">
        <v>Y（网易云、QQ音乐、酷我）</v>
      </c>
      <c r="P221" s="37" t="str">
        <v>Y</v>
      </c>
      <c r="S221" s="124" t="inlineStr">
        <is>
          <r>
            <t>@田高琳</t>
          </r>
        </is>
      </c>
      <c r="T221" s="26" t="str">
        <v>Y</v>
      </c>
      <c r="U221" s="16">
        <v>5.8</v>
      </c>
      <c r="V221" s="126" t="str">
        <v>Y</v>
      </c>
      <c r="Y221" s="15" t="str">
        <v>Y</v>
      </c>
      <c r="AD221" s="15" t="str">
        <v>Pass</v>
      </c>
    </row>
    <row r="222" spans="1:30">
      <c r="A222" s="15" t="str">
        <v>媒体播放</v>
      </c>
      <c r="H222" s="15" t="str">
        <v>song_duration</v>
      </c>
      <c r="I222" s="17" t="str">
        <v>歌曲时长</v>
      </c>
      <c r="J222" s="18" t="str">
        <v>str</v>
      </c>
      <c r="K222" s="15" t="str">
        <v>s</v>
      </c>
      <c r="N222" s="56" t="str">
        <v>Y</v>
      </c>
      <c r="O222" s="106" t="str">
        <v>Y(本地媒体中心都有，比如QQ音乐、网易云、酷我、喜马拉雅，三方不支持)</v>
      </c>
      <c r="P222" s="37" t="str">
        <v>Y</v>
      </c>
      <c r="S222" s="125" t="inlineStr">
        <is>
          <r>
            <t>@田高琳</t>
          </r>
        </is>
      </c>
      <c r="T222" s="26" t="str">
        <v>N</v>
      </c>
      <c r="U222" s="16">
        <v>5.8</v>
      </c>
      <c r="V222" s="126" t="str">
        <v>Y</v>
      </c>
      <c r="Y222" s="15" t="str">
        <v>Y</v>
      </c>
      <c r="AD222" s="15" t="str">
        <v>Pass</v>
      </c>
    </row>
    <row r="223" spans="1:30">
      <c r="A223" s="15" t="str">
        <v>媒体播放</v>
      </c>
      <c r="B223" s="15" t="str">
        <v>视频</v>
      </c>
      <c r="C223" s="15" t="str">
        <v>media_0002</v>
      </c>
      <c r="F223" s="15" t="str">
        <v>当前播放视频</v>
      </c>
      <c r="G223" s="15" t="str">
        <v>用户交互后变化</v>
      </c>
      <c r="H223" s="20" t="str">
        <v>video_name</v>
      </c>
      <c r="I223" s="20" t="str">
        <v>视频名称</v>
      </c>
      <c r="J223" s="25" t="str">
        <v>str</v>
      </c>
      <c r="M223" s="16">
        <v>1</v>
      </c>
      <c r="N223" s="15" t="str">
        <v>Y</v>
      </c>
      <c r="O223" s="36" t="str">
        <v>Y</v>
      </c>
      <c r="P223" s="37" t="str">
        <v>Y</v>
      </c>
      <c r="S223" s="125" t="inlineStr">
        <is>
          <r>
            <t>@田高琳</t>
          </r>
        </is>
      </c>
      <c r="T223" s="26" t="str">
        <v>Y</v>
      </c>
      <c r="U223" s="16">
        <v>5.8</v>
      </c>
      <c r="V223" s="126" t="str">
        <v>Y</v>
      </c>
      <c r="Y223" s="15" t="str">
        <v>Y</v>
      </c>
      <c r="AD223" s="15" t="str">
        <v>Pass</v>
      </c>
    </row>
    <row r="224" spans="1:32">
      <c r="A224" s="15" t="str">
        <v>媒体播放</v>
      </c>
      <c r="H224" s="15" t="str">
        <v>artist</v>
      </c>
      <c r="I224" s="26" t="str">
        <v>演员名字</v>
      </c>
      <c r="J224" s="18" t="str">
        <v>str</v>
      </c>
      <c r="M224" s="16">
        <v>1</v>
      </c>
      <c r="N224" s="56" t="str">
        <v>Y</v>
      </c>
      <c r="O224" s="36" t="str">
        <v>Y</v>
      </c>
      <c r="P224" s="37" t="str">
        <v>Y</v>
      </c>
      <c r="S224" s="125" t="inlineStr">
        <is>
          <r>
            <t>@田高琳</t>
          </r>
        </is>
      </c>
      <c r="T224" s="26" t="str">
        <v>N</v>
      </c>
      <c r="U224" s="16">
        <v>5.8</v>
      </c>
      <c r="V224" s="126" t="str">
        <v>Y</v>
      </c>
      <c r="Y224" s="15" t="str">
        <v>N</v>
      </c>
      <c r="AD224" s="15" t="str">
        <v>Fail</v>
      </c>
      <c r="AF224" s="131" t="str">
        <v>https://meego.larkoffice.com/telematics/issue/detail/7356090656</v>
      </c>
    </row>
    <row r="225" spans="1:32">
      <c r="A225" s="15" t="str">
        <v>媒体播放</v>
      </c>
      <c r="H225" s="15" t="str">
        <v>director</v>
      </c>
      <c r="I225" s="26" t="str">
        <v>导演名字</v>
      </c>
      <c r="J225" s="18" t="str">
        <v>str</v>
      </c>
      <c r="M225" s="16">
        <v>1</v>
      </c>
      <c r="N225" s="56" t="str">
        <v>Y</v>
      </c>
      <c r="O225" s="36" t="str">
        <v>Y</v>
      </c>
      <c r="P225" s="37" t="str">
        <v>Y</v>
      </c>
      <c r="S225" s="125" t="inlineStr">
        <is>
          <r>
            <t>@田高琳</t>
          </r>
        </is>
      </c>
      <c r="T225" s="26" t="str">
        <v>N</v>
      </c>
      <c r="U225" s="16">
        <v>5.8</v>
      </c>
      <c r="V225" s="126" t="str">
        <v>Y</v>
      </c>
      <c r="Y225" s="15" t="str">
        <v>N</v>
      </c>
      <c r="AD225" s="15" t="str">
        <v>Fail</v>
      </c>
      <c r="AF225" s="150"/>
    </row>
    <row r="226" spans="1:32">
      <c r="A226" s="15" t="str">
        <v>媒体播放</v>
      </c>
      <c r="H226" s="15" t="str">
        <v>media_source</v>
      </c>
      <c r="I226" s="26" t="str">
        <v>媒体源</v>
      </c>
      <c r="J226" s="18" t="str">
        <v>enum</v>
      </c>
      <c r="K226" s="15" t="str">
        <v>爱奇艺，优酷视频，哔哩哔哩，腾讯视频，芒果视频，华为视频，咪咕视频，小米视频，其他，空</v>
      </c>
      <c r="M226" s="16">
        <v>1</v>
      </c>
      <c r="N226" s="56" t="str">
        <v>Y</v>
      </c>
      <c r="O226" s="36" t="str">
        <v>Y</v>
      </c>
      <c r="P226" s="37" t="str">
        <v>Y</v>
      </c>
      <c r="S226" s="125" t="inlineStr">
        <is>
          <r>
            <t>@田高琳</t>
          </r>
        </is>
      </c>
      <c r="T226" s="26" t="str">
        <v>Y</v>
      </c>
      <c r="U226" s="16">
        <v>5.8</v>
      </c>
      <c r="V226" s="126" t="str">
        <v>Y</v>
      </c>
      <c r="Y226" s="15" t="str">
        <v>N</v>
      </c>
      <c r="AD226" s="15" t="str">
        <v>Fail</v>
      </c>
      <c r="AF226" s="132"/>
    </row>
    <row r="227" spans="1:30">
      <c r="A227" s="15" t="str">
        <v>媒体播放</v>
      </c>
      <c r="H227" s="45" t="str">
        <v>screen</v>
      </c>
      <c r="I227" s="45" t="str">
        <v>显示屏幕</v>
      </c>
      <c r="J227" s="58" t="str">
        <v>str</v>
      </c>
      <c r="K227" s="45" t="str">
        <v>中控屏、副驾屏、仪表、后排屏、左后屏、右后屏、前排屏、全部屏、PAD、语音屏、后排吸顶屏、其他</v>
      </c>
      <c r="L227" s="24">
        <v>1</v>
      </c>
      <c r="N227" s="56" t="str">
        <v>Y</v>
      </c>
      <c r="O227" s="36" t="str">
        <v>Y</v>
      </c>
      <c r="P227" s="37" t="str">
        <v>Y</v>
      </c>
      <c r="S227" s="125" t="inlineStr">
        <is>
          <r>
            <t>@田高琳</t>
          </r>
        </is>
      </c>
      <c r="T227" s="26" t="str">
        <v>Y</v>
      </c>
      <c r="U227" s="16">
        <v>5.8</v>
      </c>
      <c r="V227" s="126" t="str">
        <v>Y</v>
      </c>
      <c r="Y227" s="15" t="str">
        <v>Y</v>
      </c>
      <c r="AD227" s="15" t="str">
        <v>Pass</v>
      </c>
    </row>
    <row r="228" spans="1:30">
      <c r="A228" s="15" t="str">
        <v>媒体播放</v>
      </c>
      <c r="B228" s="15" t="str">
        <v>播放模式</v>
      </c>
      <c r="C228" s="15" t="str">
        <v>media_0003</v>
      </c>
      <c r="F228" s="15" t="str">
        <v>播放模式和状态</v>
      </c>
      <c r="G228" s="15" t="str">
        <v>用户交互后变化</v>
      </c>
      <c r="H228" s="15" t="str">
        <v>object</v>
      </c>
      <c r="I228" s="25" t="str">
        <v>播放对象</v>
      </c>
      <c r="J228" s="18" t="str">
        <v>enum</v>
      </c>
      <c r="K228" s="15" t="str">
        <v>音频，视频</v>
      </c>
      <c r="L228" s="24">
        <v>1</v>
      </c>
      <c r="M228" s="16">
        <v>1</v>
      </c>
      <c r="N228" s="15" t="str">
        <v>Y</v>
      </c>
      <c r="O228" s="36" t="str">
        <v>N</v>
      </c>
      <c r="P228" s="37" t="str">
        <v>NA</v>
      </c>
      <c r="S228" s="129" t="inlineStr">
        <is>
          <r>
            <t>@田高琳</t>
          </r>
        </is>
      </c>
      <c r="T228" s="26" t="str">
        <v>N</v>
      </c>
      <c r="U228" s="16">
        <v>4.23</v>
      </c>
      <c r="V228" s="129" t="str">
        <v>Y</v>
      </c>
      <c r="Y228" s="15" t="str">
        <v>Y</v>
      </c>
      <c r="AD228" s="15" t="str">
        <v>Pass</v>
      </c>
    </row>
    <row r="229" spans="1:30">
      <c r="A229" s="15" t="str">
        <v>媒体播放</v>
      </c>
      <c r="B229" s="15" t="str">
        <v>播放模式</v>
      </c>
      <c r="C229" s="15" t="str">
        <v>media_0003</v>
      </c>
      <c r="F229" s="15" t="str">
        <v>播放模式和状态</v>
      </c>
      <c r="G229" s="15" t="str">
        <v>用户交互后变化</v>
      </c>
      <c r="H229" s="15" t="str">
        <v>mode</v>
      </c>
      <c r="I229" s="15" t="str">
        <v>播放模式</v>
      </c>
      <c r="J229" s="18" t="str">
        <v>enum</v>
      </c>
      <c r="K229" s="15" t="str">
        <v>列表播放，单曲循环，随机播放，列表循环</v>
      </c>
      <c r="M229" s="16">
        <v>1</v>
      </c>
      <c r="N229" s="15" t="str">
        <v>Y</v>
      </c>
      <c r="O229" s="36" t="str">
        <v>Y</v>
      </c>
      <c r="P229" s="37" t="str">
        <v>Y</v>
      </c>
      <c r="S229" s="125" t="inlineStr">
        <is>
          <r>
            <t>@田高琳</t>
          </r>
        </is>
      </c>
      <c r="T229" s="26" t="str">
        <v>Y</v>
      </c>
      <c r="U229" s="16">
        <v>5.8</v>
      </c>
      <c r="V229" s="126" t="str">
        <v>Y</v>
      </c>
      <c r="W229" s="15" t="str">
        <v>只有三种模式[单曲循环，随机播放，列表循环]  
无列表播放模式</v>
      </c>
      <c r="Y229" s="15" t="str">
        <v>Y</v>
      </c>
      <c r="AD229" s="15" t="str">
        <v>Pass</v>
      </c>
    </row>
    <row r="230" spans="1:30">
      <c r="A230" s="15" t="str">
        <v>媒体播放</v>
      </c>
      <c r="H230" s="15" t="str">
        <v>states</v>
      </c>
      <c r="I230" s="15" t="str">
        <v>播放状态</v>
      </c>
      <c r="J230" s="18" t="str">
        <v>enum</v>
      </c>
      <c r="K230" s="15" t="str">
        <v>暂停，播放，停止</v>
      </c>
      <c r="M230" s="16">
        <v>1</v>
      </c>
      <c r="N230" s="15" t="str">
        <v>Y</v>
      </c>
      <c r="O230" s="36" t="str">
        <v>Y</v>
      </c>
      <c r="P230" s="37" t="str">
        <v>Y</v>
      </c>
      <c r="S230" s="125" t="inlineStr">
        <is>
          <r>
            <t>@田高琳</t>
          </r>
        </is>
      </c>
      <c r="T230" s="26" t="str">
        <v>Y</v>
      </c>
      <c r="U230" s="16">
        <v>5.8</v>
      </c>
      <c r="V230" s="126" t="str">
        <v>Y</v>
      </c>
      <c r="W230" s="15" t="str">
        <v>只有开始  暂停/停止两种状态</v>
      </c>
      <c r="Y230" s="15" t="str">
        <v>Y</v>
      </c>
      <c r="AD230" s="15" t="str">
        <v>Pass</v>
      </c>
    </row>
    <row r="231" spans="1:30">
      <c r="A231" s="15" t="str">
        <v>系统和设置</v>
      </c>
      <c r="B231" s="15" t="str">
        <v>保养类</v>
      </c>
      <c r="C231" s="15" t="str">
        <v>system_control_0001</v>
      </c>
      <c r="F231" s="15" t="str">
        <v>剩余保养时间和里程</v>
      </c>
      <c r="H231" s="20" t="str">
        <v>day</v>
      </c>
      <c r="I231" s="15" t="str">
        <v>天数</v>
      </c>
      <c r="J231" s="47" t="str">
        <v>str</v>
      </c>
      <c r="M231" s="16">
        <v>1</v>
      </c>
      <c r="N231" s="56" t="str">
        <v>Y</v>
      </c>
      <c r="O231" s="36" t="str">
        <v>N（如需要从云端主动查询，贺代贵）</v>
      </c>
      <c r="P231" s="37" t="str">
        <v>NA</v>
      </c>
      <c r="S231" s="125" t="inlineStr">
        <is>
          <r>
            <t>@杨忠谕</t>
          </r>
        </is>
      </c>
      <c r="T231" s="26" t="str">
        <v>Y</v>
      </c>
      <c r="V231" s="126" t="str">
        <v>Y</v>
      </c>
      <c r="W231" s="26" t="str">
        <v>暂时获取为空，没有实际的保养数据@周怀君</v>
      </c>
      <c r="AD231" s="15" t="str">
        <v>Block</v>
      </c>
    </row>
    <row r="232" spans="1:31">
      <c r="A232" s="15" t="str">
        <v>系统和设置</v>
      </c>
      <c r="H232" s="20" t="str">
        <v>distance</v>
      </c>
      <c r="I232" s="15" t="str">
        <v>里程</v>
      </c>
      <c r="J232" s="47" t="str">
        <v>str</v>
      </c>
      <c r="M232" s="16">
        <v>1</v>
      </c>
      <c r="N232" s="56" t="str">
        <v>Y</v>
      </c>
      <c r="O232" s="36" t="str">
        <v>N（如需要从云端主动查询，贺代贵）</v>
      </c>
      <c r="P232" s="37" t="str">
        <v>NA</v>
      </c>
      <c r="S232" s="125" t="inlineStr">
        <is>
          <r>
            <t>@杨忠谕</t>
          </r>
        </is>
      </c>
      <c r="T232" s="26" t="str">
        <v>Y</v>
      </c>
      <c r="V232" s="126" t="str">
        <v>Y</v>
      </c>
      <c r="W232" s="26" t="str">
        <v>暂时获取为空，没有实际的保养数据</v>
      </c>
      <c r="AD232" s="15" t="str">
        <v>Block</v>
      </c>
      <c r="AE232" s="18" t="str">
        <v>@路测</v>
      </c>
    </row>
    <row r="233" spans="1:30">
      <c r="A233" s="15" t="str">
        <v>系统和设置</v>
      </c>
      <c r="G233" s="15" t="str">
        <v>低频变化</v>
      </c>
      <c r="H233" s="20" t="str">
        <v>date</v>
      </c>
      <c r="I233" s="15" t="str">
        <v>日期</v>
      </c>
      <c r="J233" s="47" t="str">
        <v>str</v>
      </c>
      <c r="M233" s="16">
        <v>1</v>
      </c>
      <c r="N233" s="56" t="str">
        <v>Y</v>
      </c>
      <c r="O233" s="36" t="str">
        <v>N（如需要从云端主动查询，贺代贵）</v>
      </c>
      <c r="P233" s="37" t="str">
        <v>NA</v>
      </c>
      <c r="S233" s="125" t="inlineStr">
        <is>
          <r>
            <t>@杨忠谕</t>
          </r>
        </is>
      </c>
      <c r="T233" s="26" t="str">
        <v>Y</v>
      </c>
      <c r="V233" s="126" t="str">
        <v>Y</v>
      </c>
      <c r="W233" s="26" t="str">
        <v>暂时获取为空，没有实际的保养数据</v>
      </c>
      <c r="AD233" s="15" t="str">
        <v>Block</v>
      </c>
    </row>
    <row r="234" spans="1:30">
      <c r="A234" s="15" t="str">
        <v>系统和设置</v>
      </c>
      <c r="G234" s="15" t="str">
        <v>低频变化</v>
      </c>
      <c r="H234" s="15" t="str">
        <v>last_maintenance_date</v>
      </c>
      <c r="I234" s="15" t="str">
        <v>上次保养日期</v>
      </c>
      <c r="J234" s="18" t="str">
        <v>str</v>
      </c>
      <c r="M234" s="16">
        <v>1</v>
      </c>
      <c r="N234" s="15" t="str">
        <v>Y</v>
      </c>
      <c r="P234" s="37" t="str">
        <v>N</v>
      </c>
      <c r="S234" s="125" t="inlineStr">
        <is>
          <r>
            <t>@杨忠谕</t>
          </r>
        </is>
      </c>
      <c r="T234" s="26" t="str">
        <v>Y</v>
      </c>
      <c r="V234" s="126" t="str">
        <v>Y</v>
      </c>
      <c r="W234" s="26" t="str">
        <v>暂时获取为空，没有实际的保养数据</v>
      </c>
      <c r="AD234" s="15" t="str">
        <v>Block</v>
      </c>
    </row>
    <row r="235" spans="1:30">
      <c r="A235" s="15" t="str">
        <v>系统和设置</v>
      </c>
      <c r="B235" s="15" t="str">
        <v>身份信息</v>
      </c>
      <c r="C235" s="15" t="str">
        <v>system_control_0003</v>
      </c>
      <c r="F235" s="15" t="str">
        <v>乘客身份信息</v>
      </c>
      <c r="G235" s="15" t="str">
        <v>用户交互后变化</v>
      </c>
      <c r="H235" s="15" t="str">
        <v>position</v>
      </c>
      <c r="I235" s="15" t="str">
        <v>位置</v>
      </c>
      <c r="J235" s="18" t="str">
        <v>enum</v>
      </c>
      <c r="K235" s="15" t="str">
        <v>主驾，副驾，二排左，二排中，二排右，三排左，三排中，三排右</v>
      </c>
      <c r="L235" s="24">
        <v>1</v>
      </c>
      <c r="M235" s="16">
        <v>1</v>
      </c>
      <c r="N235" s="15" t="str">
        <v>Y</v>
      </c>
      <c r="O235" s="36" t="str">
        <v>Y（OMS可识别身份，主驾，副驾，二排左，二排中，二排右）</v>
      </c>
      <c r="P235" s="37" t="str">
        <v>Y</v>
      </c>
      <c r="Q235" s="119" t="str">
        <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v>
      </c>
      <c r="R235" s="39" t="str">
        <v>face id需求在讨论和排期
如果最终正式上无感face id功能，端状态能力在功能交付后+2周
如果正式不上无感face id功能，端状态去除face id相关，5/30提供</v>
      </c>
      <c r="S235" s="125" t="inlineStr">
        <is>
          <r>
            <t>@尹泽陆</t>
          </r>
        </is>
      </c>
      <c r="T235" s="75" t="str">
        <v>Y</v>
      </c>
      <c r="V235" s="75" t="str">
        <v>Y</v>
      </c>
      <c r="Y235" s="15" t="str">
        <v>N</v>
      </c>
      <c r="AA235" s="15" t="str">
        <v>上传的成员信息都为空，格式显示不一致</v>
      </c>
      <c r="AD235" s="15" t="str">
        <v>Pass</v>
      </c>
    </row>
    <row r="236" spans="8:31">
      <c r="H236" s="45" t="str">
        <v>gender</v>
      </c>
      <c r="I236" s="45" t="str">
        <v>性别</v>
      </c>
      <c r="J236" s="45" t="str">
        <v>enum</v>
      </c>
      <c r="K236" s="58" t="str">
        <v>男，女</v>
      </c>
      <c r="N236" s="15" t="str">
        <v>Y</v>
      </c>
      <c r="S236" s="125" t="inlineStr">
        <is>
          <r>
            <t>@尹泽陆</t>
          </r>
        </is>
      </c>
      <c r="T236" s="75" t="str">
        <v>Y</v>
      </c>
      <c r="V236" s="75" t="str">
        <v>Y</v>
      </c>
      <c r="AD236" s="15" t="str">
        <v>Block</v>
      </c>
      <c r="AE236" s="18" t="str">
        <v>目前未上报</v>
      </c>
    </row>
    <row r="237" spans="8:31">
      <c r="H237" s="45" t="str">
        <v>age</v>
      </c>
      <c r="I237" s="45" t="str">
        <v>年龄</v>
      </c>
      <c r="J237" s="45" t="str">
        <v>enum</v>
      </c>
      <c r="K237" s="58" t="str">
        <v>儿童，中青年，老年，未知</v>
      </c>
      <c r="N237" s="15" t="str">
        <v>Y</v>
      </c>
      <c r="S237" s="125" t="inlineStr">
        <is>
          <r>
            <t>@尹泽陆</t>
          </r>
        </is>
      </c>
      <c r="T237" s="75" t="str">
        <v>Y</v>
      </c>
      <c r="V237" s="75" t="str">
        <v>Y</v>
      </c>
      <c r="AD237" s="15" t="str">
        <v>Block</v>
      </c>
      <c r="AE237" s="18" t="str">
        <v>目前未上报</v>
      </c>
    </row>
    <row r="238" spans="1:30">
      <c r="A238" s="15" t="str">
        <v>系统和设置</v>
      </c>
      <c r="H238" s="15" t="str">
        <v>face_id</v>
      </c>
      <c r="I238" s="15" t="str">
        <v>用户身份标识</v>
      </c>
      <c r="J238" s="18" t="str">
        <v>str</v>
      </c>
      <c r="M238" s="16">
        <v>1</v>
      </c>
      <c r="N238" s="15" t="str">
        <v>Y</v>
      </c>
      <c r="O238" s="36" t="str">
        <v>Y OMS功能支持）</v>
      </c>
      <c r="P238" s="37" t="str">
        <v>Y</v>
      </c>
      <c r="Q238" s="119" t="str">
        <v>implementation ('com.zone.api.omssdk:omssdk:1.2.5-SNAPSHOT')
OMSManager::getInstance(Context ctx)
public void registerFaceIdListener(OMSFaceIdListener listener)
void onRecognizeFaceIdsNotify(Map&lt;String, String&gt; recognizeFaceIds);
/** {@value}: SEAT_POS_FRONT_LEFT: 前排左侧位置 */
 public static final String SEAT_POS_FRONT_LEFT = "FrontLeft";
 /** {@value}: SEAT_POS_FRONT_RIGHT: 前排右侧位置 */
 public static final String SEAT_POS_FRONT_RIGHT = "FrontRight";
 /** {@value}: SEAT_POS_REAR_LEFT: 后排左侧位置 */
 public static final String SEAT_POS_REAR_LEFT = "RearLeft";
 /** {@value}: SEAT_POS_REAR_MID: 后排中间位置 */
 public static final String SEAT_POS_REAR_MID = "RearMid";
 /** {@value}: SEAT_POS_REAR_RIGHT: 后排右侧位置 */
 public static final String SEAT_POS_REAR_RIGHT = "RearRight";</v>
      </c>
      <c r="S238" s="125" t="inlineStr">
        <is>
          <r>
            <t>@尹泽陆</t>
          </r>
        </is>
      </c>
      <c r="T238" s="75" t="str">
        <v>Y</v>
      </c>
      <c r="V238" s="75" t="str">
        <v>Y</v>
      </c>
      <c r="Y238" s="15" t="str">
        <v>B</v>
      </c>
      <c r="AD238" s="15" t="str">
        <v>Pass</v>
      </c>
    </row>
    <row r="239" spans="8:14">
      <c r="H239" s="56" t="str">
        <v>failed_msg</v>
      </c>
      <c r="I239" s="56" t="str">
        <v>识别失败原因</v>
      </c>
      <c r="J239" s="133" t="str">
        <v>str</v>
      </c>
      <c r="K239" s="57" t="str">
        <v>NO_PERSON：未识别到人
NO_USER_PERMISSION：无用户授权
NO_CAMERA_PERMISSION：无摄像头权限
FACE_UNRECOGNIZED：识别到人，但人脸识别失败
DEVICE_FAILURE：设备故障
UNKNOWN_ERROR：未知错误
SUCCESS：识别成功</v>
      </c>
      <c r="N239" s="15" t="str">
        <v>字节客户端转格式，上汽接口仅支持faceid</v>
      </c>
    </row>
    <row r="240" spans="1:27">
      <c r="A240" s="15" t="str">
        <v>系统和设置</v>
      </c>
      <c r="B240" s="15" t="str">
        <v>身份信息</v>
      </c>
      <c r="C240" s="15" t="str">
        <v>system_control_0004</v>
      </c>
      <c r="F240" s="15" t="str">
        <v>座位占座信息</v>
      </c>
      <c r="G240" s="15" t="str">
        <v>用户交互后变化</v>
      </c>
      <c r="H240" s="15" t="str">
        <v>position</v>
      </c>
      <c r="I240" s="15" t="str">
        <v>位置</v>
      </c>
      <c r="J240" s="18" t="str">
        <v>enum</v>
      </c>
      <c r="K240" s="15" t="str">
        <v>主驾，副驾，二排左，二排中，二排右，三排左，三排中，三排右</v>
      </c>
      <c r="L240" s="24">
        <v>1</v>
      </c>
      <c r="M240" s="16">
        <v>1</v>
      </c>
      <c r="N240" s="15" t="str">
        <v>Y（主副驾）</v>
      </c>
      <c r="O240" s="36" t="str">
        <v>Y（硬件上只有前排占位传感器； OMS支持识别各座位是否有人）</v>
      </c>
      <c r="P240" s="37" t="str">
        <v>Y</v>
      </c>
      <c r="Q240" s="119" t="str">
        <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v>
      </c>
      <c r="S240" s="125" t="inlineStr">
        <is>
          <r>
            <t>@尹泽陆</t>
          </r>
        </is>
      </c>
      <c r="T240" s="75" t="str">
        <v>Y</v>
      </c>
      <c r="V240" s="75" t="str">
        <v>Y</v>
      </c>
      <c r="Y240" s="15" t="str">
        <v>Y</v>
      </c>
      <c r="AA240" s="15" t="inlineStr">
        <is>
          <r>
            <rPr>
              <sz val="10"/>
              <color rgb="FF1F2329"/>
              <rFont val="Arial"/>
            </rPr>
            <t>目前只有前排的信息，无后排的，但是这个信号预计会和人脸合并使用，对服务端是个问题，结论：</t>
          </r>
          <r>
            <rPr>
              <sz val="10"/>
              <color rgb="FFF54A45"/>
              <rFont val="Arial"/>
            </rPr>
            <t>如果没有后排删除后排上报，仅上报前排</t>
          </r>
        </is>
      </c>
    </row>
    <row r="241" spans="1:27">
      <c r="A241" s="15" t="str">
        <v>系统和设置</v>
      </c>
      <c r="H241" s="15" t="str">
        <v>states</v>
      </c>
      <c r="I241" s="15" t="str">
        <v>状态</v>
      </c>
      <c r="J241" s="18" t="str">
        <v>enum</v>
      </c>
      <c r="K241" s="15" t="str">
        <v>已占用，未占用</v>
      </c>
      <c r="M241" s="16">
        <v>1</v>
      </c>
      <c r="N241" s="15" t="str">
        <v>Y</v>
      </c>
      <c r="O241" s="36" t="str">
        <v>Y</v>
      </c>
      <c r="P241" s="37" t="str">
        <v>Y</v>
      </c>
      <c r="Q241" s="119" t="str">
        <v>implementation ('com.zone.api.omssdk:omssdk:1.2.5-SNAPSHOT')
OMSManager::getInstance(Context ctx)
public List&lt;OMSOccupantAttrBean&gt; getOMSOccupantAttr(int pos)
* @param occupy 位置成员占位属性
 * &lt;pre&gt;
 * &lt;code&gt;OccupantAttrDefine.OccupantStatus.OCCUPIED&lt;/code&gt; 有人
 * &lt;code&gt;OccupantAttrDefine.OccupantStatus.UNOCCUPIED&lt;/code&gt; 无人
 * &lt;code&gt;OccupantAttrDefine.OccupantStatus.UNKNOWN&lt;/code&gt; 未知</v>
      </c>
      <c r="S241" s="125" t="inlineStr">
        <is>
          <r>
            <t>@尹泽陆</t>
          </r>
        </is>
      </c>
      <c r="T241" s="75" t="str">
        <v>Y</v>
      </c>
      <c r="V241" s="15" t="str">
        <v>Y</v>
      </c>
      <c r="Y241" s="15" t="str">
        <v>Y</v>
      </c>
      <c r="AA241" s="15" t="inlineStr">
        <is>
          <r>
            <rPr>
              <sz val="10"/>
              <color rgb="FF1F2329"/>
              <rFont val="Arial"/>
            </rPr>
            <t>目前只有前排的信息，无后排的，但是这个信号预计会和人脸合并使用，对服务端是个问题，结论：</t>
          </r>
          <r>
            <rPr>
              <sz val="10"/>
              <color rgb="FFF54A45"/>
              <rFont val="Arial"/>
            </rPr>
            <t>如果没有后排删除后排上报，仅上报前排</t>
          </r>
        </is>
      </c>
    </row>
    <row r="242" spans="1:21">
      <c r="A242" s="121" t="str">
        <v>新增</v>
      </c>
      <c r="S242" s="29" t="inlineStr">
        <is>
          <r>
            <t>@谢一鸣</t>
          </r>
        </is>
      </c>
      <c r="U242" s="29" t="str">
        <v>05.14：上汽内部需要讨论才能给出排期</v>
      </c>
    </row>
    <row r="243" spans="1:30">
      <c r="A243" s="93" t="str">
        <v>智驾</v>
      </c>
      <c r="B243" s="93" t="str">
        <v>导航驾驶辅助</v>
      </c>
      <c r="C243" s="93" t="str">
        <v>adsd_0041</v>
      </c>
      <c r="F243" s="93" t="str">
        <v>ETC车道优先开关</v>
      </c>
      <c r="G243" s="93" t="str">
        <v>低频变化</v>
      </c>
      <c r="H243" s="93" t="str">
        <v>switch</v>
      </c>
      <c r="I243" s="93" t="str">
        <v>开关</v>
      </c>
      <c r="J243" s="88" t="str">
        <v>enum</v>
      </c>
      <c r="K243" s="93" t="str">
        <v>关闭，打开</v>
      </c>
      <c r="N243" s="15" t="str">
        <v>Y</v>
      </c>
      <c r="O243" s="74" t="str">
        <v>Y</v>
      </c>
      <c r="P243" s="74" t="str">
        <v>Y</v>
      </c>
      <c r="Q243" s="75" t="str">
        <v>IAdsInterface:
获取接口：
int getToolBooth(@NonNull IntResult result)
注册&amp;解除接口：
void addCallback(I callback, ArrayList&lt;F&gt; flags)
void removeCallback(I callback, ArrayList&lt;F&gt; flags)
第二个参数：
AdsCallbackFlag.TOOL_BOOTH
通知接口：
IAdsCallback
void onToolBoothChanged(IntResult result)
返回值值含义：
0：车辆未配置ETC
1：车辆已配置ETC</v>
      </c>
      <c r="S243" s="15" t="inlineStr">
        <is>
          <r>
            <t>@谢一鸣</t>
          </r>
        </is>
      </c>
      <c r="T243" s="15" t="str">
        <v>Y</v>
      </c>
      <c r="V243" s="15" t="str">
        <v>Y</v>
      </c>
      <c r="W243" s="96" t="str">
        <v>06.14:未找到这个开关 =》上汽工程师反馈可能这个车型没有</v>
      </c>
      <c r="Y243" s="15" t="str">
        <v>B</v>
      </c>
      <c r="AD243" s="15" t="str">
        <v>Pass</v>
      </c>
    </row>
    <row r="244" spans="1:30">
      <c r="A244" s="93" t="str">
        <v>智驾</v>
      </c>
      <c r="B244" s="93" t="str">
        <v>自动紧急转向避让</v>
      </c>
      <c r="C244" s="93" t="str">
        <v>adsd_0042</v>
      </c>
      <c r="F244" s="93" t="str">
        <v>紧急转向避让</v>
      </c>
      <c r="G244" s="93" t="str">
        <v>低频变化</v>
      </c>
      <c r="H244" s="93" t="str">
        <v>switch</v>
      </c>
      <c r="I244" s="93" t="str">
        <v>开关</v>
      </c>
      <c r="J244" s="88" t="str">
        <v>enum</v>
      </c>
      <c r="K244" s="93" t="str">
        <v>关闭，辅助，自动</v>
      </c>
      <c r="N244" s="15" t="str">
        <v>Y</v>
      </c>
      <c r="O244" s="74" t="str">
        <v>Y</v>
      </c>
      <c r="P244" s="74" t="str">
        <v>Y</v>
      </c>
      <c r="Q244" s="75" t="str">
        <v>IAdsInterface:
获取接口：
int getAESSwSet(@NonNull IntResult result)
注册&amp;解除接口：
void addCallback(I callback, ArrayList&lt;F&gt; flags)
void removeCallback(I callback, ArrayList&lt;F&gt; flags)
第二个参数：
AdsCallbackFlag.AES_SW_SET
通知接口：
IAdsCallback
void onAESSwSetChanged(IntResult result)
返回值值含义：
0：Off
1：ESS_On
2：AES_On</v>
      </c>
      <c r="S244" s="15" t="inlineStr">
        <is>
          <r>
            <t>@谢一鸣</t>
          </r>
        </is>
      </c>
      <c r="T244" s="15" t="str">
        <v>Y</v>
      </c>
      <c r="V244" s="15" t="str">
        <v>Y</v>
      </c>
      <c r="W244" s="61" t="str">
        <v>05.26:没有接口 =》06.14：上汽工程师反馈没有这个功能</v>
      </c>
      <c r="Y244" s="15" t="str">
        <v>B</v>
      </c>
      <c r="AD244" s="15" t="str">
        <v>Pass</v>
      </c>
    </row>
    <row r="245" spans="1:30">
      <c r="A245" s="45" t="str">
        <v>智驾</v>
      </c>
      <c r="B245" s="45" t="str">
        <v>播报风格</v>
      </c>
      <c r="C245" s="45" t="str">
        <v>adsd_0044</v>
      </c>
      <c r="F245" s="45" t="str">
        <v>播报风格</v>
      </c>
      <c r="G245" s="93" t="str">
        <v>低频变化</v>
      </c>
      <c r="H245" s="45" t="str">
        <v>switch</v>
      </c>
      <c r="I245" s="45" t="str">
        <v>模式选项</v>
      </c>
      <c r="J245" s="58" t="str">
        <v>enum</v>
      </c>
      <c r="K245" s="45" t="str">
        <v>简洁，标准，详细</v>
      </c>
      <c r="N245" s="15" t="str">
        <v>Y</v>
      </c>
      <c r="O245" s="74" t="str">
        <v>Y</v>
      </c>
      <c r="P245" s="74" t="str">
        <v>Y</v>
      </c>
      <c r="Q245" s="75" t="str">
        <v>IAdsInterface:
获取接口：
int getNoaReportStatus(@NonNull IntResult result)
注册&amp;解除接口：
void addCallback(I callback, ArrayList&lt;F&gt; flags)
void removeCallback(I callback, ArrayList&lt;F&gt; flags)
第二个参数：
AdsCallbackFlag.INOAREPORT
通知接口：
IAdsCallback
void onNoaReportStatusChanged(@NonNull IntResult result) 
返回值值含义：
1：详细
2：标准
3：简洁</v>
      </c>
      <c r="S245" s="15" t="inlineStr">
        <is>
          <r>
            <t>@谢一鸣</t>
          </r>
        </is>
      </c>
      <c r="T245" s="15" t="str">
        <v>Y</v>
      </c>
      <c r="V245" s="15" t="str">
        <v>Y
</v>
      </c>
      <c r="W245" s="142" t="str">
        <v>05.26:未收到回调 =》 06.14:上汽毛富龙依然未收到回调 ==》07.01：已提Jira票 http://jira.z-onesoftware.com:8080/browse/DNA-2721
0707 张淳已拉群，上汽反馈有这个功能，让一鸣明天看一下情况 =&gt; 上汽提供新的接口</v>
      </c>
      <c r="Y245" s="15" t="str">
        <v>Y</v>
      </c>
      <c r="AD245" s="15" t="str">
        <v>Pass</v>
      </c>
    </row>
    <row r="246" spans="1:25">
      <c r="A246" s="45" t="str">
        <v>智驾</v>
      </c>
      <c r="B246" s="45" t="str">
        <v>车位到车位</v>
      </c>
      <c r="C246" s="45" t="str">
        <v>adsd_0045</v>
      </c>
      <c r="F246" s="45" t="str">
        <v>车位到车位</v>
      </c>
      <c r="G246" s="93" t="str">
        <v>低频变化</v>
      </c>
      <c r="H246" s="45" t="str">
        <v>switch</v>
      </c>
      <c r="I246" s="45" t="str">
        <v>开关</v>
      </c>
      <c r="J246" s="58" t="str">
        <v>enum</v>
      </c>
      <c r="K246" s="45" t="str">
        <v>关闭，开启</v>
      </c>
      <c r="N246" s="15" t="str">
        <v>Y</v>
      </c>
      <c r="O246" s="74" t="str">
        <v>Y</v>
      </c>
      <c r="P246" s="74" t="str">
        <v>Y</v>
      </c>
      <c r="Q246" s="75" t="str">
        <v>IAdsInterface:
获取接口：
int getD2dSwSet(@NonNull IntResult result)
注册&amp;解除接口：
void addCallback(I callback, ArrayList&lt;F&gt; flags)
void removeCallback(I callback, ArrayList&lt;F&gt; flags)
第二个参数：
AdsCallbackFlag.D2D_SW_SET
通知接口：
IAdsCallback
void onD2dSwSetChanged(IntResult result)
返回值值含义：
0：OFF
1：ON
3：功能不可用</v>
      </c>
      <c r="S246" s="15" t="inlineStr">
        <is>
          <r>
            <t>@谢一鸣</t>
          </r>
        </is>
      </c>
      <c r="T246" s="15" t="str">
        <v>N</v>
      </c>
      <c r="U246" s="45" t="str">
        <v>sop+</v>
      </c>
      <c r="V246" s="25" t="str">
        <v>已开发，上汽反馈已无此功能</v>
      </c>
      <c r="W246" s="142" t="str">
        <v>05.26:未在实车上发现该开关 =&gt; 06.14：上汽毛富龙开发说该功能已取消 ==》07.01：产品反馈需要到 sop+3日期才能开发http://jira.z-onesoftware.com:8080/browse/DNA-2899</v>
      </c>
      <c r="Y246" s="15" t="str">
        <v>B</v>
      </c>
    </row>
    <row r="247" spans="1:32">
      <c r="A247" s="45" t="str">
        <v>智驾</v>
      </c>
      <c r="B247" s="93" t="str">
        <v>自动紧急转向避让</v>
      </c>
      <c r="C247" s="45" t="str">
        <v>adsd_0046</v>
      </c>
      <c r="F247" s="45" t="str">
        <v>报警音</v>
      </c>
      <c r="G247" s="93" t="str">
        <v>低频变化</v>
      </c>
      <c r="H247" s="45" t="str">
        <v>switch</v>
      </c>
      <c r="I247" s="45" t="str">
        <v>开关</v>
      </c>
      <c r="J247" s="58" t="str">
        <v>enum</v>
      </c>
      <c r="K247" s="45" t="str">
        <v>关闭，开启</v>
      </c>
      <c r="N247" s="15" t="str">
        <v>Y</v>
      </c>
      <c r="O247" s="74" t="str">
        <v>Y</v>
      </c>
      <c r="P247" s="74" t="str">
        <v>Y</v>
      </c>
      <c r="Q247" s="75" t="str">
        <v>IAdsInterface:
获取接口：
int getEssAdoWarningSet(@NonNull IntResult result)
注册&amp;解除接口：
void addCallback(I callback, ArrayList&lt;F&gt; flags)
void removeCallback(I callback, ArrayList&lt;F&gt; flags)
第二个参数：
AdsCallbackFlag.ESS_ADO_WARNING_SET
通知接口：
IAdsCallback
void onEssAdoWarningSetChanged(IntResult result)
返回值值含义：
0：OFF
1：ON
3：功能不可用</v>
      </c>
      <c r="S247" s="15" t="inlineStr">
        <is>
          <r>
            <t>@谢一鸣</t>
          </r>
        </is>
      </c>
      <c r="T247" s="15" t="str">
        <v>N</v>
      </c>
      <c r="V247" s="15" t="str">
        <v>Y</v>
      </c>
      <c r="W247" s="96" t="str">
        <v>05.26：未收到状态回调 =》06.14：依然未收到回调</v>
      </c>
      <c r="Y247" s="15" t="str">
        <v>B</v>
      </c>
      <c r="AD247" s="15" t="str">
        <v>Pass</v>
      </c>
      <c r="AF247" s="125" t="str">
        <v>关闭紧急转向避让时是无法设置该选项的</v>
      </c>
    </row>
    <row r="248" spans="1:30">
      <c r="A248" s="45" t="str">
        <v>智驾</v>
      </c>
      <c r="B248" s="93" t="str">
        <v>低速碰撞辅助</v>
      </c>
      <c r="C248" s="45" t="str">
        <v>adsd_0047</v>
      </c>
      <c r="F248" s="45" t="str">
        <v>低速碰撞辅助</v>
      </c>
      <c r="G248" s="93" t="str">
        <v>低频变化</v>
      </c>
      <c r="H248" s="45" t="str">
        <v>switch</v>
      </c>
      <c r="I248" s="45" t="str">
        <v>开关</v>
      </c>
      <c r="J248" s="58" t="str">
        <v>enum</v>
      </c>
      <c r="K248" s="45" t="str">
        <v>关闭，开启</v>
      </c>
      <c r="N248" s="15" t="str">
        <v>Y</v>
      </c>
      <c r="O248" s="74" t="str">
        <v>Y</v>
      </c>
      <c r="P248" s="74" t="str">
        <v>Y</v>
      </c>
      <c r="Q248" s="75" t="str">
        <v>IAdsInterface:
获取接口：
int getAIParkingRBFSwitch(@NonNull IntResult result)
注册&amp;解除接口：
void addCallback(I callback, ArrayList&lt;F&gt; flags)
void removeCallback(I callback, ArrayList&lt;F&gt; flags)
第二个参数：
AdsCallbackFlag.AI_PRKG_RBF_SWT
通知接口：
IAdsCallback
void onAIParkingRBFSwitchChanged(IntResult result)
返回值值含义：
0：OFF
1：ON
</v>
      </c>
      <c r="S248" s="15" t="inlineStr">
        <is>
          <r>
            <t>@谢一鸣</t>
          </r>
        </is>
      </c>
      <c r="T248" s="15" t="str">
        <v>Y</v>
      </c>
      <c r="V248" s="15" t="str">
        <v>Y</v>
      </c>
      <c r="Y248" s="15" t="str">
        <v>B</v>
      </c>
      <c r="AD248" s="15" t="str">
        <v>Pass</v>
      </c>
    </row>
    <row r="249" spans="1:30">
      <c r="A249" s="45" t="str">
        <v>智驾</v>
      </c>
      <c r="B249" s="45" t="str">
        <v>行程报告</v>
      </c>
      <c r="C249" s="45" t="str">
        <v>adsd_0048</v>
      </c>
      <c r="F249" s="45" t="str">
        <v>行程报告开关</v>
      </c>
      <c r="G249" s="93" t="str">
        <v>低频变化</v>
      </c>
      <c r="H249" s="45" t="str">
        <v>switch</v>
      </c>
      <c r="I249" s="45" t="str">
        <v>开关</v>
      </c>
      <c r="J249" s="58" t="str">
        <v>enum</v>
      </c>
      <c r="K249" s="45" t="str">
        <v>关闭，开启</v>
      </c>
      <c r="N249" s="15" t="str">
        <v>Y</v>
      </c>
      <c r="O249" s="74" t="str">
        <v>Y</v>
      </c>
      <c r="P249" s="74" t="str">
        <v>Y</v>
      </c>
      <c r="Q249" s="75" t="str">
        <v>Settings.Global.putInt(contentResolver, "AI_PILOT_TRAVEL_REPORT", 1/0)</v>
      </c>
      <c r="S249" s="15" t="inlineStr">
        <is>
          <r>
            <t>@谢一鸣</t>
          </r>
        </is>
      </c>
      <c r="T249" s="15" t="str">
        <v>Y</v>
      </c>
      <c r="V249" s="15" t="str">
        <v>Y</v>
      </c>
      <c r="W249" s="96" t="str">
        <v>05.26：上汽是否可以提供回调的接口</v>
      </c>
      <c r="Y249" s="15" t="str">
        <v>B</v>
      </c>
      <c r="AD249" s="15" t="str">
        <v>Pass</v>
      </c>
    </row>
    <row r="250" spans="1:30">
      <c r="A250" s="45" t="str">
        <v>智驾</v>
      </c>
      <c r="B250" s="45" t="str">
        <v>行程报告</v>
      </c>
      <c r="C250" s="45" t="str">
        <v>adsd_0049</v>
      </c>
      <c r="F250" s="45" t="str">
        <v>数据自动同步到APP开关</v>
      </c>
      <c r="G250" s="93" t="str">
        <v>低频变化</v>
      </c>
      <c r="H250" s="45" t="str">
        <v>switch</v>
      </c>
      <c r="I250" s="45" t="str">
        <v>开关</v>
      </c>
      <c r="J250" s="58" t="str">
        <v>enum</v>
      </c>
      <c r="K250" s="45" t="str">
        <v>关闭，开启</v>
      </c>
      <c r="N250" s="15" t="str">
        <v>Y</v>
      </c>
      <c r="O250" s="74" t="str">
        <v>Y</v>
      </c>
      <c r="P250" s="74" t="str">
        <v>Y</v>
      </c>
      <c r="Q250" s="75" t="str">
        <v>Settings.Global.putInt(contentResolver, "AI_PILOT_SYNC_DATA_TO_APP", 1/0)</v>
      </c>
      <c r="S250" s="15" t="inlineStr">
        <is>
          <r>
            <t>@谢一鸣</t>
          </r>
        </is>
      </c>
      <c r="T250" s="15" t="str">
        <v>Y</v>
      </c>
      <c r="V250" s="15" t="str">
        <v>Y</v>
      </c>
      <c r="Y250" s="15" t="str">
        <v>B</v>
      </c>
      <c r="AD250" s="15" t="str">
        <v>Pass</v>
      </c>
    </row>
    <row r="251" spans="1:30">
      <c r="A251" s="45" t="str">
        <v>智驾</v>
      </c>
      <c r="B251" s="45" t="str">
        <v>前方安全辅助</v>
      </c>
      <c r="C251" s="45" t="str">
        <v>adsd_0050</v>
      </c>
      <c r="F251" s="45" t="str">
        <v>前方横穿危险预警和制动</v>
      </c>
      <c r="G251" s="93" t="str">
        <v>低频变化</v>
      </c>
      <c r="H251" s="45" t="str">
        <v>switch</v>
      </c>
      <c r="I251" s="45" t="str">
        <v>开关</v>
      </c>
      <c r="J251" s="58" t="str">
        <v>enum</v>
      </c>
      <c r="K251" s="45" t="str">
        <v>关闭，预警，预警+制动</v>
      </c>
      <c r="N251" s="15" t="str">
        <v>Y</v>
      </c>
      <c r="O251" s="74" t="str">
        <v>Y</v>
      </c>
      <c r="P251" s="74" t="str">
        <v>Y</v>
      </c>
      <c r="Q251" s="75" t="str">
        <v>IAdsInterface:
获取接口：
int getFctSysSel(@NonNull IntResult result) 
注册&amp;解除接口：
void addCallback(I callback, ArrayList&lt;F&gt; flags)
void removeCallback(I callback, ArrayList&lt;F&gt; flags)
第二个参数：
AdsCallbackFlag.FCT_SYS_SEL
通知接口：
IAdsCallback
void onFctSysSelChanged(IntResult result)
返回值值含义：
0：关闭
1：预警
2：预警和紧急制动
</v>
      </c>
      <c r="S251" s="15" t="inlineStr">
        <is>
          <r>
            <t>@谢一鸣</t>
          </r>
        </is>
      </c>
      <c r="T251" s="15" t="str">
        <v>Y</v>
      </c>
      <c r="V251" s="15" t="str">
        <v>Y</v>
      </c>
      <c r="Y251" s="15" t="str">
        <v>B</v>
      </c>
      <c r="AD251" s="15" t="str">
        <v>Pass</v>
      </c>
    </row>
    <row r="252" spans="1:30">
      <c r="A252" s="45" t="str">
        <v>车控功能</v>
      </c>
      <c r="B252" s="45" t="str">
        <v>驾驶类</v>
      </c>
      <c r="C252" s="45" t="str">
        <v>vehicle_control_0053</v>
      </c>
      <c r="F252" s="45" t="str">
        <v>动力源状态</v>
      </c>
      <c r="G252" s="45" t="str">
        <v>低频变化</v>
      </c>
      <c r="H252" s="45" t="str">
        <v>states</v>
      </c>
      <c r="I252" s="45" t="str">
        <v>动力源状态</v>
      </c>
      <c r="J252" s="58" t="str">
        <v>enum</v>
      </c>
      <c r="K252" s="45" t="str">
        <v>纯电，混动</v>
      </c>
      <c r="N252" s="15" t="str">
        <v>Y</v>
      </c>
      <c r="O252" s="74" t="str">
        <v>Y</v>
      </c>
      <c r="P252" s="74" t="str">
        <v>Y</v>
      </c>
      <c r="Q252" s="75" t="str">
        <v>获取当前动力源模式
int getEptPwrMd(IntResult result)
void onEptPwrMdChanged(@NonNull IntResult result)
注册Flag：
AdsCallbackFlag.EPTPWRMD
含义参照：
public @interface EptPwrMd { /** PURE_EV_EXTREM_ON = 0 ： 纯电模式，极致纯电开*/ int PURE_EV_EXTREM_ON = 0; /** PURE_EV_EXTREM_OFF = 1 ：纯电模式，极致纯电关*/ int PURE_EV_EXTREM_OFF = 1; /** HYBRID_EV_SAVE_ELEC_OFF = 2 ： 混动模式，保电关*/ int HYBRID_EV_SAVE_ELEC_OFF = 2; /** HYBRID_EV_SAVE_ELEC_ON = 3 ： 混动模式，保电开*/ int HYBRID_EV_SAVE_ELEC_ON = 3; }</v>
      </c>
      <c r="S252" s="125" t="inlineStr">
        <is>
          <r>
            <t>@谢一鸣</t>
          </r>
        </is>
      </c>
      <c r="T252" s="15" t="str">
        <v>Y</v>
      </c>
      <c r="U252" s="115">
        <v>46140</v>
      </c>
      <c r="V252" s="15" t="str">
        <v>Y</v>
      </c>
      <c r="Y252" s="15" t="str">
        <v>Y</v>
      </c>
      <c r="AD252" s="15" t="str">
        <v>Pass</v>
      </c>
    </row>
    <row r="253" spans="1:30">
      <c r="A253" s="45" t="str">
        <v>车控功能</v>
      </c>
      <c r="B253" s="45" t="str">
        <v>驾驶类</v>
      </c>
      <c r="C253" s="45" t="str">
        <v>vehicle_control_0054</v>
      </c>
      <c r="F253" s="45" t="str">
        <v>上下电状态</v>
      </c>
      <c r="G253" s="45" t="str">
        <v>低频变化</v>
      </c>
      <c r="H253" s="45" t="str">
        <v>states</v>
      </c>
      <c r="I253" s="45" t="str">
        <v>上下电状态</v>
      </c>
      <c r="J253" s="58" t="str">
        <v>enum</v>
      </c>
      <c r="K253" s="45" t="str">
        <v>上电，下电</v>
      </c>
      <c r="N253" s="15" t="str">
        <v>Y</v>
      </c>
      <c r="O253" s="74" t="str">
        <v>Y</v>
      </c>
      <c r="P253" s="74" t="str">
        <v>Y</v>
      </c>
      <c r="Q253" s="75" t="str">
        <v>IVehicleCommonInterface:
获取接口：
int getEPTSts(@NonNull IntResult result)
注册&amp;解除接口：
void addCallback(I callback, ArrayList&lt;F&gt; flags)
void removeCallback(I callback, ArrayList&lt;F&gt; flags)
第二个参数：
VehicleCommonCallbackFlag.EPT_STATUS
通知接口：
IVehicleCommonCallback
void onEPTStsChanged(IntResult result)
返回值值含义：
0：Not Ready
1：Ready
</v>
      </c>
      <c r="S253" s="125" t="inlineStr">
        <is>
          <r>
            <t>@谢一鸣</t>
          </r>
        </is>
      </c>
      <c r="T253" s="15" t="str">
        <v>Y</v>
      </c>
      <c r="U253" s="15" t="str">
        <v>5 月 12 日</v>
      </c>
      <c r="V253" s="15" t="str">
        <v>Y</v>
      </c>
      <c r="Y253" s="15" t="str">
        <v>Y</v>
      </c>
      <c r="AD253" s="15" t="str">
        <v>Pass</v>
      </c>
    </row>
    <row r="254" ht="127" customHeight="1" spans="1:31">
      <c r="A254" s="45" t="str">
        <v>车灯</v>
      </c>
      <c r="B254" s="45" t="str">
        <v>故障灯</v>
      </c>
      <c r="C254" s="45" t="str">
        <v>signal_light_0103</v>
      </c>
      <c r="D254" s="85">
        <v>1</v>
      </c>
      <c r="E254" s="125"/>
      <c r="F254" s="45" t="str">
        <v>ELK/LDW/LDP系统故障灯</v>
      </c>
      <c r="G254" s="15" t="str">
        <v>用户交互后变化</v>
      </c>
      <c r="H254" s="45" t="str">
        <v>states</v>
      </c>
      <c r="I254" s="45" t="str">
        <v>状态</v>
      </c>
      <c r="J254" s="58" t="str">
        <v>enum</v>
      </c>
      <c r="K254" s="45" t="str">
        <v>关闭，显示黄色</v>
      </c>
      <c r="N254" s="45" t="str">
        <v>Y</v>
      </c>
      <c r="O254" s="74" t="str">
        <v>Y</v>
      </c>
      <c r="P254" s="74" t="str">
        <v>Y</v>
      </c>
      <c r="Q254" s="122" t="str">
        <v>ELK：249
LDW：53
LDP：51</v>
      </c>
      <c r="S254" s="15" t="inlineStr">
        <is>
          <r>
            <t>@尹泽陆</t>
          </r>
        </is>
      </c>
      <c r="T254" s="15" t="str">
        <v>Y</v>
      </c>
      <c r="V254" s="15" t="str">
        <v>Y</v>
      </c>
      <c r="Y254" s="15" t="str">
        <v>Y</v>
      </c>
      <c r="Z254" s="15" t="str">
        <v>手动发信号验证</v>
      </c>
      <c r="AD254" s="15" t="str">
        <v>Pass</v>
      </c>
      <c r="AE254" s="18" t="str">
        <v>手动发信号验证</v>
      </c>
    </row>
    <row r="255" ht="128" customHeight="1" spans="1:31">
      <c r="A255" s="45" t="str">
        <v>车灯</v>
      </c>
      <c r="B255" s="45" t="str">
        <v>故障灯</v>
      </c>
      <c r="C255" s="45" t="str">
        <v>signal_light_0104</v>
      </c>
      <c r="D255" s="85">
        <v>1</v>
      </c>
      <c r="E255" s="125"/>
      <c r="F255" s="45" t="str">
        <v>ELK/LDW/LDP状态指示灯</v>
      </c>
      <c r="G255" s="15" t="str">
        <v>用户交互后变化</v>
      </c>
      <c r="H255" s="45" t="str">
        <v>states</v>
      </c>
      <c r="I255" s="45" t="str">
        <v>状态</v>
      </c>
      <c r="J255" s="58" t="str">
        <v>enum</v>
      </c>
      <c r="K255" s="45" t="str">
        <v>关闭，显示绿色</v>
      </c>
      <c r="N255" s="45" t="str">
        <v>Y</v>
      </c>
      <c r="O255" s="74" t="str">
        <v>Y</v>
      </c>
      <c r="P255" s="74" t="str">
        <v>Y</v>
      </c>
      <c r="Q255" s="122" t="str">
        <v>ELK：250
LDW：63
LDP：120</v>
      </c>
      <c r="S255" s="15" t="inlineStr">
        <is>
          <r>
            <t>@尹泽陆</t>
          </r>
        </is>
      </c>
      <c r="T255" s="15" t="str">
        <v>Y</v>
      </c>
      <c r="V255" s="15" t="str">
        <v>Y</v>
      </c>
      <c r="Y255" s="15" t="str">
        <v>Y</v>
      </c>
      <c r="AD255" s="15" t="str">
        <v>Pass</v>
      </c>
      <c r="AE255" s="18" t="str">
        <v>手动发信号验证</v>
      </c>
    </row>
    <row r="256" ht="113" customHeight="1" spans="1:31">
      <c r="A256" s="45" t="str">
        <v>车灯</v>
      </c>
      <c r="B256" s="45" t="str">
        <v>故障灯</v>
      </c>
      <c r="C256" s="45" t="str">
        <v>signal_light_0111</v>
      </c>
      <c r="D256" s="85">
        <v>1</v>
      </c>
      <c r="E256" s="45"/>
      <c r="F256" s="45" t="str">
        <v>ICA故障灯</v>
      </c>
      <c r="G256" s="15" t="str">
        <v>用户交互后变化</v>
      </c>
      <c r="H256" s="45" t="str">
        <v>states</v>
      </c>
      <c r="I256" s="45" t="str">
        <v>状态</v>
      </c>
      <c r="J256" s="58" t="str">
        <v>enum</v>
      </c>
      <c r="K256" s="45" t="str">
        <v>关闭，显示黄色，黄色闪烁</v>
      </c>
      <c r="N256" s="45" t="str">
        <v>Y</v>
      </c>
      <c r="O256" s="74" t="str">
        <v>Y</v>
      </c>
      <c r="P256" s="74" t="str">
        <v>Y</v>
      </c>
      <c r="Q256" s="75" t="str">
        <v>黄色：226
黄色闪烁：NA</v>
      </c>
      <c r="S256" s="15" t="inlineStr">
        <is>
          <r>
            <t>@尹泽陆</t>
          </r>
        </is>
      </c>
      <c r="T256" s="15" t="str">
        <v>Y</v>
      </c>
      <c r="V256" s="15" t="str">
        <v>Y</v>
      </c>
      <c r="Y256" s="15" t="str">
        <v>Y</v>
      </c>
      <c r="Z256" s="15" t="str">
        <v>手动发信号验证</v>
      </c>
      <c r="AD256" s="15" t="str">
        <v>Block</v>
      </c>
      <c r="AE256" s="18" t="str">
        <v>226 仪表没反应</v>
      </c>
    </row>
    <row r="257" ht="113" customHeight="1" spans="1:31">
      <c r="A257" s="45" t="str">
        <v>车灯</v>
      </c>
      <c r="B257" s="45" t="str">
        <v>故障灯</v>
      </c>
      <c r="C257" s="45" t="str">
        <v>signal_light_0112</v>
      </c>
      <c r="D257" s="85">
        <v>1</v>
      </c>
      <c r="E257" s="45"/>
      <c r="F257" s="45" t="str">
        <v>ALC变道功能故障</v>
      </c>
      <c r="G257" s="15" t="str">
        <v>用户交互后变化</v>
      </c>
      <c r="H257" s="45" t="str">
        <v>states</v>
      </c>
      <c r="I257" s="45" t="str">
        <v>状态</v>
      </c>
      <c r="J257" s="58" t="str">
        <v>enum</v>
      </c>
      <c r="K257" s="45" t="str">
        <v>关闭，显示黄色</v>
      </c>
      <c r="N257" s="45" t="str">
        <v>Y</v>
      </c>
      <c r="O257" s="74" t="str">
        <v>Y</v>
      </c>
      <c r="P257" s="74" t="str">
        <v>Y</v>
      </c>
      <c r="Q257" s="123">
        <v>172</v>
      </c>
      <c r="S257" s="15" t="inlineStr">
        <is>
          <r>
            <t>@尹泽陆</t>
          </r>
        </is>
      </c>
      <c r="T257" s="15" t="str">
        <v>Y</v>
      </c>
      <c r="V257" s="15" t="str">
        <v>Y</v>
      </c>
      <c r="Y257" s="15" t="str">
        <v>Y</v>
      </c>
      <c r="Z257" s="15" t="str">
        <v>手动发信号验证</v>
      </c>
      <c r="AD257" s="15" t="str">
        <v>Pass</v>
      </c>
      <c r="AE257" s="18" t="str">
        <v>手动发信号验证</v>
      </c>
    </row>
    <row r="258" ht="113" customHeight="1" spans="1:22">
      <c r="A258" s="45" t="str">
        <v>车灯</v>
      </c>
      <c r="B258" s="45" t="str">
        <v>故障灯</v>
      </c>
      <c r="C258" s="45" t="str">
        <v>signal_light_0113</v>
      </c>
      <c r="D258" s="85">
        <v>1</v>
      </c>
      <c r="E258" s="45"/>
      <c r="F258" s="45" t="str">
        <v>PDC系统故障指示灯</v>
      </c>
      <c r="G258" s="15" t="str">
        <v>用户交互后变化</v>
      </c>
      <c r="H258" s="45" t="str">
        <v>states</v>
      </c>
      <c r="I258" s="45" t="str">
        <v>状态</v>
      </c>
      <c r="J258" s="58" t="str">
        <v>enum</v>
      </c>
      <c r="K258" s="45" t="str">
        <v>关闭，显示黄色</v>
      </c>
      <c r="N258" s="45" t="str">
        <v>Y</v>
      </c>
      <c r="O258" s="15" t="str">
        <v>N</v>
      </c>
      <c r="P258" s="122" t="str">
        <v>NA</v>
      </c>
      <c r="Q258" s="122" t="str">
        <v>NA</v>
      </c>
      <c r="S258" s="15" t="inlineStr">
        <is>
          <r>
            <t>@尹泽陆</t>
          </r>
        </is>
      </c>
      <c r="T258" s="15" t="str">
        <v>N</v>
      </c>
      <c r="V258" s="15" t="str">
        <v>N</v>
      </c>
    </row>
    <row r="259" ht="113" customHeight="1" spans="1:31">
      <c r="A259" s="45" t="str">
        <v>车灯</v>
      </c>
      <c r="B259" s="45" t="str">
        <v>故障灯</v>
      </c>
      <c r="C259" s="45" t="str">
        <v>signal_light_0114</v>
      </c>
      <c r="D259" s="85">
        <v>1</v>
      </c>
      <c r="E259" s="45"/>
      <c r="F259" s="45" t="str">
        <v>智能领航辅助功能故障时状态灯</v>
      </c>
      <c r="G259" s="15" t="str">
        <v>用户交互后变化</v>
      </c>
      <c r="H259" s="45" t="str">
        <v>states</v>
      </c>
      <c r="I259" s="45" t="str">
        <v>状态</v>
      </c>
      <c r="J259" s="58" t="str">
        <v>enum</v>
      </c>
      <c r="K259" s="45" t="str">
        <v>关闭，显示黄色</v>
      </c>
      <c r="N259" s="45" t="str">
        <v>Y</v>
      </c>
      <c r="O259" s="74" t="str">
        <v>Y</v>
      </c>
      <c r="P259" s="74" t="str">
        <v>Y</v>
      </c>
      <c r="Q259" s="123">
        <v>175</v>
      </c>
      <c r="S259" s="15" t="inlineStr">
        <is>
          <r>
            <t>@尹泽陆</t>
          </r>
        </is>
      </c>
      <c r="T259" s="15" t="str">
        <v>Y</v>
      </c>
      <c r="V259" s="15" t="str">
        <v>Y</v>
      </c>
      <c r="Y259" s="15" t="str">
        <v>Y</v>
      </c>
      <c r="Z259" s="15" t="str">
        <v>手动发信号验证</v>
      </c>
      <c r="AD259" s="15" t="str">
        <v>Pass</v>
      </c>
      <c r="AE259" s="18" t="str">
        <v>手动发信号验证</v>
      </c>
    </row>
    <row r="260" ht="142" customHeight="1" spans="1:31">
      <c r="A260" s="45" t="str">
        <v>车灯</v>
      </c>
      <c r="B260" s="45" t="str">
        <v>故障灯</v>
      </c>
      <c r="C260" s="45" t="str">
        <v>signal_light_0115</v>
      </c>
      <c r="D260" s="85">
        <v>1</v>
      </c>
      <c r="E260" s="45"/>
      <c r="F260" s="45" t="str">
        <v>FCTA/FCTB前方横向碰撞辅助</v>
      </c>
      <c r="G260" s="15" t="str">
        <v>用户交互后变化</v>
      </c>
      <c r="H260" s="45" t="str">
        <v>states</v>
      </c>
      <c r="I260" s="45" t="str">
        <v>状态</v>
      </c>
      <c r="J260" s="58" t="str">
        <v>enum</v>
      </c>
      <c r="K260" s="45" t="str">
        <v>关闭，显示黄色</v>
      </c>
      <c r="N260" s="45" t="str">
        <v>Y</v>
      </c>
      <c r="O260" s="74" t="str">
        <v>Y</v>
      </c>
      <c r="P260" s="74" t="str">
        <v>Y</v>
      </c>
      <c r="Q260" s="123">
        <v>162</v>
      </c>
      <c r="S260" s="15" t="inlineStr">
        <is>
          <r>
            <t>@尹泽陆</t>
          </r>
        </is>
      </c>
      <c r="T260" s="15" t="str">
        <v>Y</v>
      </c>
      <c r="V260" s="15" t="str">
        <v>Y</v>
      </c>
      <c r="Y260" s="15" t="str">
        <v>Y</v>
      </c>
      <c r="AD260" s="15" t="str">
        <v>Pass</v>
      </c>
      <c r="AE260" s="18" t="str">
        <v>手动发信号验证</v>
      </c>
    </row>
    <row r="261" ht="179" customHeight="1" spans="1:31">
      <c r="A261" s="45" t="str">
        <v>车灯</v>
      </c>
      <c r="B261" s="45" t="str">
        <v>故障灯</v>
      </c>
      <c r="C261" s="45" t="str">
        <v>signal_light_0116</v>
      </c>
      <c r="D261" s="85">
        <v>1</v>
      </c>
      <c r="E261" s="45"/>
      <c r="F261" s="45" t="str">
        <v>LAEB低速碰撞辅助系统</v>
      </c>
      <c r="G261" s="15" t="str">
        <v>用户交互后变化</v>
      </c>
      <c r="H261" s="45" t="str">
        <v>states</v>
      </c>
      <c r="I261" s="45" t="str">
        <v>状态</v>
      </c>
      <c r="J261" s="58" t="str">
        <v>enum</v>
      </c>
      <c r="K261" s="45" t="str">
        <v>关闭，显示黄色</v>
      </c>
      <c r="N261" s="45" t="str">
        <v>Y</v>
      </c>
      <c r="O261" s="74" t="str">
        <v>Y</v>
      </c>
      <c r="P261" s="74" t="str">
        <v>Y</v>
      </c>
      <c r="Q261" s="123">
        <v>161</v>
      </c>
      <c r="S261" s="15" t="inlineStr">
        <is>
          <r>
            <t>@尹泽陆</t>
          </r>
        </is>
      </c>
      <c r="T261" s="15" t="str">
        <v>Y</v>
      </c>
      <c r="V261" s="15" t="str">
        <v>Y</v>
      </c>
      <c r="Y261" s="15" t="str">
        <v>Y</v>
      </c>
      <c r="AD261" s="15" t="str">
        <v>Pass</v>
      </c>
      <c r="AE261" s="18" t="str">
        <v>手动发信号验证</v>
      </c>
    </row>
    <row r="262" ht="119" customHeight="1" spans="1:32">
      <c r="A262" s="45" t="str">
        <v>车灯</v>
      </c>
      <c r="B262" s="45" t="str">
        <v>状态灯</v>
      </c>
      <c r="C262" s="45" t="str">
        <v>signal_light_0117</v>
      </c>
      <c r="D262" s="85">
        <v>1</v>
      </c>
      <c r="E262" s="45"/>
      <c r="F262" s="45" t="str">
        <v>全车安全带未系及座位分布提醒</v>
      </c>
      <c r="G262" s="15" t="str">
        <v>用户交互后变化</v>
      </c>
      <c r="H262" s="45" t="str">
        <v>states</v>
      </c>
      <c r="I262" s="45" t="str">
        <v>状态</v>
      </c>
      <c r="J262" s="58" t="str">
        <v>enum</v>
      </c>
      <c r="K262" s="45" t="str">
        <v>关闭，显示红色，红色闪烁</v>
      </c>
      <c r="N262" s="86" t="str">
        <v>Y</v>
      </c>
      <c r="O262" s="74" t="str">
        <v>Y</v>
      </c>
      <c r="P262" s="74" t="str">
        <v>Y</v>
      </c>
      <c r="Q262" s="124" t="str">
        <v>位置不包括：68</v>
      </c>
      <c r="S262" s="15" t="inlineStr">
        <is>
          <r>
            <t>@尹泽陆</t>
          </r>
        </is>
      </c>
      <c r="T262" s="15" t="str">
        <v>Y</v>
      </c>
      <c r="V262" s="15" t="str">
        <v>Y</v>
      </c>
      <c r="Y262" s="125" t="str">
        <v>N</v>
      </c>
      <c r="Z262" s="125" t="str">
        <v>上报信息不对</v>
      </c>
      <c r="AD262" s="125" t="str">
        <v>Fail</v>
      </c>
      <c r="AF262" s="131" t="str">
        <v>https://meego.larkoffice.com/telematics/issue/detail/7356511177</v>
      </c>
    </row>
    <row r="263" spans="1:32">
      <c r="A263" s="45" t="str">
        <v>车灯</v>
      </c>
      <c r="H263" s="45" t="str">
        <v>position</v>
      </c>
      <c r="I263" s="45" t="str">
        <v>位置</v>
      </c>
      <c r="J263" s="58" t="str">
        <v>enum</v>
      </c>
      <c r="K263" s="45" t="str">
        <v>主驾，副驾，二排左，二排中，二排右</v>
      </c>
      <c r="N263" s="86" t="str">
        <v>Y</v>
      </c>
      <c r="O263" s="74" t="str">
        <v>Y</v>
      </c>
      <c r="P263" s="74" t="str">
        <v>Y</v>
      </c>
      <c r="Q263" s="116" t="str">
        <v>/**
 * 安全带状态获取
 * PermissionRequest(permissions = { zone.permission.vehicle.DEVICE_GET })
 * @param seatType {@link SeatType}
 * @param result {@link IntResult#getResult}: {@link SwitchStatus}
 *
 * @return resultCode 返回结果码 {@link ResultCode}
 */
 int getSeatSbltAtc(@SeatType int seatType, @NonNull IntResult result);
 /**
 * 安全带状态通知
 *
 * @param seatType {@link SeatType}
 * @param result {@link IntResult#getResult}: {@link SwitchStatus}
 *
 * {@link IntResult#getCode()} {@link ResultCode}
 */
 default void onSeatSbltAtcChanged(int seatType, @NonNull IntResult result)
 /** onSeatSbltAtcChanged 回调注册Flag */
 SEAT_SEATBELT_ATTACHED,</v>
      </c>
      <c r="S263" s="15" t="inlineStr">
        <is>
          <r>
            <t>@尹泽陆</t>
          </r>
        </is>
      </c>
      <c r="T263" s="15" t="str">
        <v>Y</v>
      </c>
      <c r="V263" s="15" t="str">
        <v>Y</v>
      </c>
      <c r="Y263" s="125" t="str">
        <v>N</v>
      </c>
      <c r="AD263" s="125" t="str">
        <v>Fail</v>
      </c>
      <c r="AF263" s="132"/>
    </row>
    <row r="264" spans="1:31">
      <c r="A264" s="45" t="str">
        <v>车控功能</v>
      </c>
      <c r="B264" s="45" t="str">
        <v>门窗类</v>
      </c>
      <c r="C264" s="15" t="str">
        <v>vehicle_control_0055</v>
      </c>
      <c r="F264" s="15" t="str">
        <v>车窗锁状态</v>
      </c>
      <c r="G264" s="15" t="str">
        <v>用户交互后变化</v>
      </c>
      <c r="H264" s="15" t="str">
        <v>switch</v>
      </c>
      <c r="I264" s="15" t="str">
        <v>开关</v>
      </c>
      <c r="J264" s="18" t="str">
        <v>enum</v>
      </c>
      <c r="K264" s="15" t="str">
        <v>on，off</v>
      </c>
      <c r="M264" s="16">
        <v>1</v>
      </c>
      <c r="N264" s="15" t="str">
        <v>Y</v>
      </c>
      <c r="O264" s="36" t="str">
        <v>Y</v>
      </c>
      <c r="P264" s="37" t="str">
        <v>Y</v>
      </c>
      <c r="Q264" s="36" t="str">
        <v>onWindowRearLockChanged</v>
      </c>
      <c r="S264" s="125" t="inlineStr">
        <is>
          <r>
            <t>@余明明</t>
          </r>
        </is>
      </c>
      <c r="T264" s="37" t="str">
        <v>Y</v>
      </c>
      <c r="V264" s="37" t="str">
        <v>Y</v>
      </c>
      <c r="W264" s="37" t="str">
        <v>等服务端更新</v>
      </c>
      <c r="Y264" s="26" t="str">
        <v>B</v>
      </c>
      <c r="AA264" s="45" t="str">
        <v>车端上传数据正常，转需求</v>
      </c>
      <c r="AD264" s="45" t="str">
        <v>Block</v>
      </c>
      <c r="AE264" s="18" t="str">
        <v>转需求</v>
      </c>
    </row>
    <row r="265" spans="1:31">
      <c r="A265" s="45" t="str">
        <v>车控功能</v>
      </c>
      <c r="H265" s="15" t="str">
        <v>position</v>
      </c>
      <c r="I265" s="15" t="str">
        <v>位置</v>
      </c>
      <c r="J265" s="18" t="str">
        <v>enum</v>
      </c>
      <c r="K265" s="15" t="str">
        <v>主驾，副驾，左后，右后，整车</v>
      </c>
      <c r="L265" s="24">
        <v>1</v>
      </c>
      <c r="M265" s="16">
        <v>1</v>
      </c>
      <c r="N265" s="56" t="str">
        <v>Y（默认整车）</v>
      </c>
      <c r="O265" s="36" t="str">
        <v>Y</v>
      </c>
      <c r="P265" s="37" t="str">
        <v>Y</v>
      </c>
      <c r="Q265" s="36" t="str">
        <v>getWindowRearLock</v>
      </c>
      <c r="S265" s="125" t="inlineStr">
        <is>
          <r>
            <t>@余明明</t>
          </r>
        </is>
      </c>
      <c r="T265" s="37" t="str">
        <v>Y</v>
      </c>
      <c r="V265" s="37" t="str">
        <v>Y</v>
      </c>
      <c r="W265" s="37" t="str">
        <v>等服务端更新</v>
      </c>
      <c r="Y265" s="26" t="str">
        <v>B</v>
      </c>
      <c r="AA265" s="45" t="str">
        <v>车端上传数据正常，转需求</v>
      </c>
      <c r="AD265" s="45" t="str">
        <v>Block</v>
      </c>
      <c r="AE265" s="18" t="str">
        <v>转需求</v>
      </c>
    </row>
    <row r="266" spans="1:31">
      <c r="A266" s="45" t="str">
        <v>蓝牙</v>
      </c>
      <c r="B266" s="45" t="str">
        <v>蓝牙通讯录</v>
      </c>
      <c r="C266" s="45" t="str">
        <v>blue_tooth_contact_name</v>
      </c>
      <c r="F266" s="45" t="str">
        <v>通讯录名称信息描述</v>
      </c>
      <c r="G266" s="45" t="str">
        <v>低频变化</v>
      </c>
      <c r="H266" s="45" t="str">
        <v>contact_name</v>
      </c>
      <c r="I266" s="45" t="str">
        <v>通讯录名称</v>
      </c>
      <c r="J266" s="58" t="str">
        <v>str</v>
      </c>
      <c r="N266" s="86" t="str">
        <v>Y（字节业务）</v>
      </c>
      <c r="AE266" s="143" t="str">
        <v>蓝牙关闭时未清空数据</v>
      </c>
    </row>
    <row r="267" spans="1:31">
      <c r="A267" s="45" t="str">
        <v>道路导航</v>
      </c>
      <c r="B267" s="45" t="str">
        <v>速度</v>
      </c>
      <c r="C267" s="45" t="str">
        <v>navigation_0009</v>
      </c>
      <c r="F267" s="45" t="str">
        <v>当前限速</v>
      </c>
      <c r="G267" s="45" t="str">
        <v>用户交互后变化</v>
      </c>
      <c r="H267" s="45" t="str">
        <v>speed_limit</v>
      </c>
      <c r="I267" s="45" t="str">
        <v>限制速度</v>
      </c>
      <c r="J267" s="58" t="str">
        <v>str</v>
      </c>
      <c r="N267" s="86" t="str">
        <v>Y</v>
      </c>
      <c r="Q267" s="125" t="str">
        <v>onLimitSpeedUpdated</v>
      </c>
      <c r="S267" s="15" t="inlineStr">
        <is>
          <r>
            <t>@余明明</t>
          </r>
        </is>
      </c>
      <c r="T267" s="37" t="str">
        <v>Y</v>
      </c>
      <c r="V267" s="37" t="str">
        <v>Y</v>
      </c>
      <c r="W267" s="125" t="str">
        <v>回调变化</v>
      </c>
      <c r="AE267" s="143" t="str">
        <v>@路测</v>
      </c>
    </row>
    <row r="268" spans="1:14">
      <c r="A268" s="45" t="str">
        <v>系统和设置</v>
      </c>
      <c r="B268" s="45" t="str">
        <v>版本信息</v>
      </c>
      <c r="C268" s="45" t="str">
        <v>system_control_0005</v>
      </c>
      <c r="F268" s="45" t="str">
        <v>当前版本</v>
      </c>
      <c r="G268" s="45" t="str">
        <v>低频变化</v>
      </c>
      <c r="H268" s="45" t="str">
        <v>cur_ver</v>
      </c>
      <c r="I268" s="45" t="str">
        <v>当前版本</v>
      </c>
      <c r="J268" s="58" t="str">
        <v>str</v>
      </c>
      <c r="N268" s="86" t="str">
        <v>Y</v>
      </c>
    </row>
    <row r="269" spans="7:14">
      <c r="G269" s="45" t="str">
        <v>低频变化</v>
      </c>
      <c r="H269" s="45" t="str">
        <v>new_ver</v>
      </c>
      <c r="I269" s="45" t="str">
        <v>最新版本状态</v>
      </c>
      <c r="J269" s="58" t="str">
        <v>enum</v>
      </c>
      <c r="K269" s="45" t="str">
        <v>是，否</v>
      </c>
      <c r="N269" s="86" t="str">
        <v>Y</v>
      </c>
    </row>
  </sheetData>
  <mergeCells count="8">
    <mergeCell ref="AF37:AF38"/>
    <mergeCell ref="AF40:AF41"/>
    <mergeCell ref="AF138:AF139"/>
    <mergeCell ref="AF155:AF156"/>
    <mergeCell ref="AF161:AF162"/>
    <mergeCell ref="AE179:AE181"/>
    <mergeCell ref="AF224:AF226"/>
    <mergeCell ref="AF262:AF263"/>
  </mergeCells>
  <hyperlinks>
    <hyperlink ref="AF6" r:id="rId1"/>
    <hyperlink ref="AF7" r:id="rId2"/>
    <hyperlink ref="AF36" r:id="rId3"/>
    <hyperlink ref="AF37" r:id="rId4"/>
    <hyperlink ref="AF40" r:id="rId5"/>
    <hyperlink ref="AF78" r:id="rId6"/>
    <hyperlink ref="AF79" r:id="rId7"/>
    <hyperlink ref="W85" r:id="rId8"/>
    <hyperlink ref="AF91" r:id="rId9"/>
    <hyperlink ref="AF92" r:id="rId10"/>
    <hyperlink ref="AF93" r:id="rId11"/>
    <hyperlink ref="AF118" r:id="rId12"/>
    <hyperlink ref="AF138" r:id="rId13"/>
    <hyperlink ref="AF149" r:id="rId14"/>
    <hyperlink ref="AF154" r:id="rId15"/>
    <hyperlink ref="AF155" r:id="rId16"/>
    <hyperlink ref="AF157" r:id="rId17"/>
    <hyperlink ref="AF160" r:id="rId18"/>
    <hyperlink ref="AF199" r:id="rId19"/>
    <hyperlink ref="R211" r:id="rId20"/>
    <hyperlink ref="R212" r:id="rId21"/>
    <hyperlink ref="R214" r:id="rId22"/>
    <hyperlink ref="AF224" r:id="rId23"/>
    <hyperlink ref="W245" r:id="rId24"/>
    <hyperlink ref="W246" r:id="rId25"/>
    <hyperlink ref="AF262" r:id="rId26"/>
  </hyperlinks>
  <pageMargins left="0.7" right="0.7" top="0.75" bottom="0.75" header="0.3" footer="0.3"/>
  <pageSetup orientation="portrait"/>
  <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1.714285714285714" style="1" customWidth="1"/>
    <col min="2" max="3" width="9.428571428571429" style="1" customWidth="1"/>
    <col min="4" max="4" width="11.714285714285714" style="1" customWidth="1"/>
    <col min="5" max="5" width="10.857142857142858" style="1" customWidth="1"/>
    <col min="6" max="6" width="9.714285714285714" style="1" customWidth="1"/>
    <col min="7" max="7" width="10.857142857142858" style="1" customWidth="1"/>
    <col min="8" max="9" width="12.142857142857142" style="1" customWidth="1"/>
    <col min="10" max="10" width="11.714285714285714" style="1" customWidth="1"/>
    <col min="11" max="11" width="12" style="1" customWidth="1"/>
    <col min="12" max="12" width="12.571428571428571" style="1" customWidth="1"/>
    <col min="13" max="13" width="9.714285714285714" style="1" customWidth="1"/>
    <col min="14" max="14" width="64.14285714285714" style="1" customWidth="1"/>
    <col min="15" max="26" width="15" style="1" customWidth="1"/>
  </cols>
  <sheetData>
    <row r="1" spans="1:14">
      <c r="A1" s="32" t="str">
        <v>模块</v>
      </c>
      <c r="B1" s="32" t="str">
        <v>状态信号总数</v>
      </c>
      <c r="C1" s="32" t="str">
        <v>项目使用数信号数</v>
      </c>
      <c r="D1" s="32" t="str">
        <v>上汽已提供接口数</v>
      </c>
      <c r="E1" s="32" t="str">
        <v>研发确认可用接口数</v>
      </c>
      <c r="F1" s="32" t="str">
        <v>确认不可用接口数</v>
      </c>
      <c r="G1" s="32" t="str">
        <v>已完成开发数</v>
      </c>
      <c r="H1" s="32" t="str">
        <v>开发完成率</v>
      </c>
      <c r="I1" s="32" t="str">
        <v>已完成测试数</v>
      </c>
      <c r="J1" s="32" t="str">
        <v>测试率</v>
      </c>
      <c r="K1" s="32" t="str">
        <v>测试通过数</v>
      </c>
      <c r="L1" s="32" t="str">
        <v>测试不通过数</v>
      </c>
      <c r="M1" s="98" t="str">
        <v>验收完成率</v>
      </c>
      <c r="N1" s="32" t="str">
        <v>备注：未完成原因汇总</v>
      </c>
    </row>
    <row r="2" spans="1:14">
      <c r="A2" s="32" t="str">
        <v>车灯</v>
      </c>
      <c r="B2" s="32">
        <f>COUNTIFS('V2.5++'!ANaN:ANaN,"车灯")</f>
      </c>
      <c r="C2" s="32">
        <f>COUNTIFS('V2.5++'!ANaN:ANaN,"车灯",'V2.5++'!NNaN:NNaN,"*Y*",'V2.5++'!ONaN:ONaN,"*Y*")</f>
      </c>
      <c r="D2" s="32">
        <f>COUNTIFS('V2.5++'!ANaN:ANaN,"车灯",'V2.5++'!NNaN:NNaN,"*Y*",'V2.5++'!ONaN:ONaN,"*Y*",'V2.5++'!PNaN:PNaN,"*Y*")</f>
      </c>
      <c r="E2" s="7">
        <f>COUNTIFS('V2.5++'!ANaN:ANaN,"车灯",'V2.5++'!NNaN:NNaN,"*Y*",'V2.5++'!ONaN:ONaN,"*Y*",'V2.5++'!PNaN:PNaN,"*Y*",'V2.5++'!TNaN:TNaN,"*Y*")</f>
      </c>
      <c r="F2" s="32">
        <f>C2-E2</f>
      </c>
      <c r="G2" s="7">
        <f>COUNTIFS('V2.5++'!ANaN:ANaN,"车灯",'V2.5++'!NNaN:NNaN,"*Y*",'V2.5++'!ONaN:ONaN,"*Y*",'V2.5++'!PNaN:PNaN,"*Y*",'V2.5++'!TNaN:TNaN,"*Y*",'V2.5++'!VNaN:VNaN,"*Y*")</f>
      </c>
      <c r="H2" s="151">
        <f>G2/D2*100%</f>
      </c>
      <c r="I2" s="32">
        <f>COUNTIFS('V2.5++'!ANaN:ANaN,"车灯",'V2.5++'!NNaN:NNaN,"*Y*",'V2.5++'!ONaN:ONaN,"*Y*",'V2.5++'!PNaN:PNaN,"*Y*",'V2.5++'!TNaN:TNaN,"*Y*",'V2.5++'!VNaN:VNaN,"*Y*",'V2.5++'!YNaN:YNaN,"&lt;&gt;")</f>
      </c>
      <c r="J2" s="151">
        <f>I2/G2</f>
      </c>
      <c r="K2" s="32">
        <f>COUNTIFS('V2.5++'!ANaN:ANaN,"车灯",'V2.5++'!NNaN:NNaN,"*Y*",'V2.5++'!ONaN:ONaN,"*Y*",'V2.5++'!PNaN:PNaN,"*Y*",'V2.5++'!TNaN:TNaN,"*Y*",'V2.5++'!VNaN:VNaN,"*Y*",'V2.5++'!YNaN:YNaN,"Y")</f>
      </c>
      <c r="L2" s="32">
        <f>I2-K2</f>
      </c>
      <c r="M2" s="152">
        <f>K2/C2</f>
      </c>
      <c r="N2" s="32" t="str">
        <v>1、0053不可用，依赖P基线的车；
2、12项block测试</v>
      </c>
    </row>
    <row r="3" spans="1:14">
      <c r="A3" s="32" t="str">
        <v>车控功能</v>
      </c>
      <c r="B3" s="32">
        <f>COUNTIFS('V2.5++'!ANaN:ANaN,"车控功能")</f>
      </c>
      <c r="C3" s="32">
        <f>COUNTIFS('V2.5++'!ANaN:ANaN,"车控功能",'V2.5++'!NNaN:NNaN,"*Y*",'V2.5++'!ONaN:ONaN,"*Y*")</f>
      </c>
      <c r="D3" s="7">
        <f>COUNTIFS('V2.5++'!ANaN:ANaN,"车控功能",'V2.5++'!NNaN:NNaN,"*Y*",'V2.5++'!ONaN:ONaN,"*Y*",'V2.5++'!PNaN:PNaN,"*Y*")</f>
      </c>
      <c r="E3" s="32">
        <f>COUNTIFS('V2.5++'!ANaN:ANaN,"车控功能",'V2.5++'!NNaN:NNaN,"*Y*",'V2.5++'!ONaN:ONaN,"*Y*",'V2.5++'!PNaN:PNaN,"*Y*",'V2.5++'!TNaN:TNaN,"*Y*")</f>
      </c>
      <c r="F3" s="32">
        <f>C3-E3</f>
      </c>
      <c r="G3" s="32">
        <f>COUNTIFS('V2.5++'!ANaN:ANaN,"车控功能",'V2.5++'!NNaN:NNaN,"*Y*",'V2.5++'!ONaN:ONaN,"*Y*",'V2.5++'!PNaN:PNaN,"*Y*",'V2.5++'!TNaN:TNaN,"*Y*",'V2.5++'!VNaN:VNaN,"*Y*")</f>
      </c>
      <c r="H3" s="151">
        <f>G3/D3*100%</f>
      </c>
      <c r="I3" s="32">
        <f>COUNTIFS('V2.5++'!ANaN:ANaN,"车控功能",'V2.5++'!NNaN:NNaN,"*Y*",'V2.5++'!ONaN:ONaN,"*Y*",'V2.5++'!PNaN:PNaN,"*Y*",'V2.5++'!TNaN:TNaN,"*Y*",'V2.5++'!VNaN:VNaN,"*Y*",'V2.5++'!YNaN:YNaN,"&lt;&gt;")</f>
      </c>
      <c r="J3" s="151">
        <f>I3/G3</f>
      </c>
      <c r="K3" s="32">
        <f>COUNTIFS('V2.5++'!ANaN:ANaN,"车控功能",'V2.5++'!NNaN:NNaN,"*Y*",'V2.5++'!ONaN:ONaN,"*Y*",'V2.5++'!PNaN:PNaN,"*Y*",'V2.5++'!TNaN:TNaN,"*Y*",'V2.5++'!VNaN:VNaN,"*Y*",'V2.5++'!YNaN:YNaN,"Y")</f>
      </c>
      <c r="L3" s="32">
        <f>I3-K3</f>
      </c>
      <c r="M3" s="152">
        <f>K3/C3</f>
      </c>
      <c r="N3" s="32" t="str">
        <v>1、248行实车不支持，依赖纯电车；
2、</v>
      </c>
    </row>
    <row r="4" spans="1:14">
      <c r="A4" s="32" t="str">
        <v>道路导航</v>
      </c>
      <c r="B4" s="32">
        <f>COUNTIFS('V2.5++'!ANaN:ANaN,"道路导航")</f>
      </c>
      <c r="C4" s="32">
        <f>COUNTIFS('V2.5++'!ANaN:ANaN,"道路导航",'V2.5++'!NNaN:NNaN,"*Y*",'V2.5++'!ONaN:ONaN,"*Y*")</f>
      </c>
      <c r="D4" s="32">
        <f>COUNTIFS('V2.5++'!ANaN:ANaN,"道路导航",'V2.5++'!NNaN:NNaN,"*Y*",'V2.5++'!ONaN:ONaN,"*Y*",'V2.5++'!PNaN:PNaN,"*Y*")</f>
      </c>
      <c r="E4" s="32">
        <f>COUNTIFS('V2.5++'!ANaN:ANaN,"道路导航",'V2.5++'!NNaN:NNaN,"*Y*",'V2.5++'!ONaN:ONaN,"*Y*",'V2.5++'!PNaN:PNaN,"*Y*",'V2.5++'!TNaN:TNaN,"*Y*")</f>
      </c>
      <c r="F4" s="32">
        <f>C4-E4</f>
      </c>
      <c r="G4" s="32">
        <f>COUNTIFS('V2.5++'!ANaN:ANaN,"道路导航",'V2.5++'!NNaN:NNaN,"*Y*",'V2.5++'!ONaN:ONaN,"*Y*",'V2.5++'!PNaN:PNaN,"*Y*",'V2.5++'!TNaN:TNaN,"*Y*",'V2.5++'!VNaN:VNaN,"*Y*")</f>
      </c>
      <c r="H4" s="151">
        <f>G4/D4*100%</f>
      </c>
      <c r="I4" s="32">
        <f>COUNTIFS('V2.5++'!ANaN:ANaN,"道路导航",'V2.5++'!NNaN:NNaN,"*Y*",'V2.5++'!ONaN:ONaN,"*Y*",'V2.5++'!PNaN:PNaN,"*Y*",'V2.5++'!TNaN:TNaN,"*Y*",'V2.5++'!VNaN:VNaN,"*Y*",'V2.5++'!YNaN:YNaN,"&lt;&gt;")</f>
      </c>
      <c r="J4" s="151">
        <f>I4/G4</f>
      </c>
      <c r="K4" s="32">
        <f>COUNTIFS('V2.5++'!ANaN:ANaN,"道路导航",'V2.5++'!NNaN:NNaN,"*Y*",'V2.5++'!ONaN:ONaN,"*Y*",'V2.5++'!PNaN:PNaN,"*Y*",'V2.5++'!TNaN:TNaN,"*Y*",'V2.5++'!VNaN:VNaN,"*Y*",'V2.5++'!YNaN:YNaN,"Y")</f>
      </c>
      <c r="L4" s="32">
        <f>I4-K4</f>
      </c>
      <c r="M4" s="152">
        <f>K4/C4</f>
      </c>
      <c r="N4" s="32" t="str">
        <v>待研发更新进展；</v>
      </c>
    </row>
    <row r="5" spans="1:14">
      <c r="A5" s="32" t="str">
        <v>交互状态</v>
      </c>
      <c r="B5" s="32">
        <f>COUNTIFS('V2.5++'!ANaN:ANaN,"交互状态")</f>
      </c>
      <c r="C5" s="32">
        <f>COUNTIFS('V2.5++'!ANaN:ANaN,"交互状态",'V2.5++'!NNaN:NNaN,"*Y*",'V2.5++'!ONaN:ONaN,"*Y*")</f>
      </c>
      <c r="D5" s="32">
        <f>COUNTIFS('V2.5++'!ANaN:ANaN,"交互状态",'V2.5++'!NNaN:NNaN,"*Y*",'V2.5++'!ONaN:ONaN,"*Y*",'V2.5++'!PNaN:PNaN,"*Y*")</f>
      </c>
      <c r="E5" s="32">
        <f>COUNTIFS('V2.5++'!ANaN:ANaN,"交互状态",'V2.5++'!NNaN:NNaN,"*Y*",'V2.5++'!ONaN:ONaN,"*Y*",'V2.5++'!PNaN:PNaN,"*Y*",'V2.5++'!TNaN:TNaN,"*Y*")</f>
      </c>
      <c r="F5" s="32">
        <f>C5-E5</f>
      </c>
      <c r="G5" s="32">
        <f>COUNTIFS('V2.5++'!ANaN:ANaN,"交互状态",'V2.5++'!NNaN:NNaN,"*Y*",'V2.5++'!ONaN:ONaN,"*Y*",'V2.5++'!PNaN:PNaN,"*Y*",'V2.5++'!TNaN:TNaN,"*Y*",'V2.5++'!VNaN:VNaN,"*Y*")</f>
      </c>
      <c r="H5" s="151">
        <f>G5/D5*100%</f>
      </c>
      <c r="I5" s="32">
        <f>COUNTIFS('V2.5++'!ANaN:ANaN,"交互状态",'V2.5++'!NNaN:NNaN,"*Y*",'V2.5++'!ONaN:ONaN,"*Y*",'V2.5++'!PNaN:PNaN,"*Y*",'V2.5++'!TNaN:TNaN,"*Y*",'V2.5++'!VNaN:VNaN,"*Y*",'V2.5++'!YNaN:YNaN,"&lt;&gt;")</f>
      </c>
      <c r="J5" s="151">
        <f>I5/G5</f>
      </c>
      <c r="K5" s="32">
        <f>COUNTIFS('V2.5++'!ANaN:ANaN,"交互状态",'V2.5++'!NNaN:NNaN,"*Y*",'V2.5++'!ONaN:ONaN,"*Y*",'V2.5++'!PNaN:PNaN,"*Y*",'V2.5++'!TNaN:TNaN,"*Y*",'V2.5++'!VNaN:VNaN,"*Y*",'V2.5++'!YNaN:YNaN,"Y")</f>
      </c>
      <c r="L5" s="32">
        <f>I5-K5</f>
      </c>
      <c r="M5" s="152">
        <f>K5/C5</f>
      </c>
      <c r="N5" s="32" t="str">
        <v>已完成（语音接口，字节可自闭环）</v>
      </c>
    </row>
    <row r="6" spans="1:13">
      <c r="A6" s="32" t="str">
        <v>媒体播放</v>
      </c>
      <c r="B6" s="32">
        <f>COUNTIFS('V2.5++'!ANaN:ANaN,"媒体播放")</f>
      </c>
      <c r="C6" s="32">
        <f>COUNTIFS('V2.5++'!ANaN:ANaN,"媒体播放",'V2.5++'!NNaN:NNaN,"*Y*",'V2.5++'!ONaN:ONaN,"*Y*")</f>
      </c>
      <c r="D6" s="32">
        <f>COUNTIFS('V2.5++'!ANaN:ANaN,"媒体播放",'V2.5++'!NNaN:NNaN,"*Y*",'V2.5++'!ONaN:ONaN,"*Y*",'V2.5++'!PNaN:PNaN,"*Y*")</f>
      </c>
      <c r="E6" s="32">
        <f>COUNTIFS('V2.5++'!ANaN:ANaN,"媒体播放",'V2.5++'!NNaN:NNaN,"*Y*",'V2.5++'!ONaN:ONaN,"*Y*",'V2.5++'!PNaN:PNaN,"*Y*",'V2.5++'!TNaN:TNaN,"*Y*")</f>
      </c>
      <c r="F6" s="32">
        <f>C6-E6</f>
      </c>
      <c r="G6" s="32">
        <f>COUNTIFS('V2.5++'!ANaN:ANaN,"媒体播放",'V2.5++'!NNaN:NNaN,"*Y*",'V2.5++'!ONaN:ONaN,"*Y*",'V2.5++'!PNaN:PNaN,"*Y*",'V2.5++'!TNaN:TNaN,"*Y*",'V2.5++'!VNaN:VNaN,"*Y*")</f>
      </c>
      <c r="H6" s="151">
        <f>G6/D6*100%</f>
      </c>
      <c r="I6" s="32">
        <f>COUNTIFS('V2.5++'!ANaN:ANaN,"媒体播放",'V2.5++'!NNaN:NNaN,"*Y*",'V2.5++'!ONaN:ONaN,"*Y*",'V2.5++'!PNaN:PNaN,"*Y*",'V2.5++'!TNaN:TNaN,"*Y*",'V2.5++'!VNaN:VNaN,"*Y*",'V2.5++'!YNaN:YNaN,"&lt;&gt;")</f>
      </c>
      <c r="J6" s="151">
        <f>I6/G6</f>
      </c>
      <c r="K6" s="32">
        <f>COUNTIFS('V2.5++'!ANaN:ANaN,"媒体播放",'V2.5++'!NNaN:NNaN,"*Y*",'V2.5++'!ONaN:ONaN,"*Y*",'V2.5++'!PNaN:PNaN,"*Y*",'V2.5++'!TNaN:TNaN,"*Y*",'V2.5++'!VNaN:VNaN,"*Y*",'V2.5++'!YNaN:YNaN,"Y")</f>
      </c>
      <c r="L6" s="32">
        <f>I6-K6</f>
      </c>
      <c r="M6" s="152">
        <f>K6/C6</f>
      </c>
    </row>
    <row r="7" spans="1:14">
      <c r="A7" s="32" t="str">
        <v>系统和设置</v>
      </c>
      <c r="B7" s="32">
        <f>COUNTIFS('V2.5++'!ANaN:ANaN,"系统和设置")</f>
      </c>
      <c r="C7" s="32">
        <f>COUNTIFS('V2.5++'!ANaN:ANaN,"系统和设置",'V2.5++'!NNaN:NNaN,"*Y*",'V2.5++'!ONaN:ONaN,"*Y*")</f>
      </c>
      <c r="D7" s="32">
        <f>COUNTIFS('V2.5++'!ANaN:ANaN,"系统和设置",'V2.5++'!NNaN:NNaN,"*Y*",'V2.5++'!ONaN:ONaN,"*Y*",'V2.5++'!PNaN:PNaN,"*Y*")</f>
      </c>
      <c r="E7" s="32">
        <f>COUNTIFS('V2.5++'!ANaN:ANaN,"系统和设置",'V2.5++'!NNaN:NNaN,"*Y*",'V2.5++'!ONaN:ONaN,"*Y*",'V2.5++'!PNaN:PNaN,"*Y*",'V2.5++'!TNaN:TNaN,"*Y*")</f>
      </c>
      <c r="F7" s="32">
        <f>C7-E7</f>
      </c>
      <c r="G7" s="32">
        <f>COUNTIFS('V2.5++'!ANaN:ANaN,"系统和设置",'V2.5++'!NNaN:NNaN,"*Y*",'V2.5++'!ONaN:ONaN,"*Y*",'V2.5++'!PNaN:PNaN,"*Y*",'V2.5++'!TNaN:TNaN,"*Y*",'V2.5++'!VNaN:VNaN,"*Y*")</f>
      </c>
      <c r="H7" s="151">
        <f>G7/D7*100%</f>
      </c>
      <c r="I7" s="32">
        <f>COUNTIFS('V2.5++'!ANaN:ANaN,"系统和设置",'V2.5++'!NNaN:NNaN,"*Y*",'V2.5++'!ONaN:ONaN,"*Y*",'V2.5++'!PNaN:PNaN,"*Y*",'V2.5++'!TNaN:TNaN,"*Y*",'V2.5++'!VNaN:VNaN,"*Y*",'V2.5++'!YNaN:YNaN,"&lt;&gt;")</f>
      </c>
      <c r="J7" s="151">
        <f>I7/G7</f>
      </c>
      <c r="K7" s="32">
        <f>COUNTIFS('V2.5++'!ANaN:ANaN,"系统和设置",'V2.5++'!NNaN:NNaN,"*Y*",'V2.5++'!ONaN:ONaN,"*Y*",'V2.5++'!PNaN:PNaN,"*Y*",'V2.5++'!TNaN:TNaN,"*Y*",'V2.5++'!VNaN:VNaN,"*Y*",'V2.5++'!YNaN:YNaN,"Y")</f>
      </c>
      <c r="L7" s="32">
        <f>I7-K7</f>
      </c>
      <c r="M7" s="152">
        <f>K7/C7</f>
      </c>
      <c r="N7" s="32" t="str">
        <v>依赖faceid的方案，预计需要P基线的车</v>
      </c>
    </row>
    <row r="8" spans="1:14">
      <c r="A8" s="71" t="str">
        <v>智驾</v>
      </c>
      <c r="B8" s="71">
        <f>COUNTIFS('V2.5++'!ANaN:ANaN,"智驾")</f>
      </c>
      <c r="C8" s="32">
        <f>COUNTIFS('V2.5++'!ANaN:ANaN,"智驾",'V2.5++'!NNaN:NNaN,"*Y*",'V2.5++'!ONaN:ONaN,"*Y*")</f>
      </c>
      <c r="D8" s="71">
        <f>COUNTIFS('V2.5++'!ANaN:ANaN,"智驾",'V2.5++'!NNaN:NNaN,"*Y*",'V2.5++'!ONaN:ONaN,"*Y*",'V2.5++'!PNaN:PNaN,"*Y*")</f>
      </c>
      <c r="E8" s="153">
        <v>29</v>
      </c>
      <c r="F8" s="32">
        <f>C8-E8</f>
      </c>
      <c r="G8" s="71">
        <f>COUNTIFS('V2.5++'!ANaN:ANaN,"智驾",'V2.5++'!NNaN:NNaN,"*Y*",'V2.5++'!ONaN:ONaN,"*Y*",'V2.5++'!PNaN:PNaN,"*Y*",'V2.5++'!TNaN:TNaN,"*Y*",'V2.5++'!VNaN:VNaN,"*Y*")</f>
      </c>
      <c r="H8" s="151">
        <f>G8/D8*100%</f>
      </c>
      <c r="I8" s="71">
        <f>COUNTIFS('V2.5++'!ANaN:ANaN,"智驾",'V2.5++'!NNaN:NNaN,"*Y*",'V2.5++'!ONaN:ONaN,"*Y*",'V2.5++'!PNaN:PNaN,"*Y*",'V2.5++'!TNaN:TNaN,"*Y*",'V2.5++'!VNaN:VNaN,"*Y*",'V2.5++'!YNaN:YNaN,"&lt;&gt;")</f>
      </c>
      <c r="J8" s="151">
        <f>I8/G8</f>
      </c>
      <c r="K8" s="71">
        <f>COUNTIFS('V2.5++'!ANaN:ANaN,"智驾",'V2.5++'!NNaN:NNaN,"*Y*",'V2.5++'!ONaN:ONaN,"*Y*",'V2.5++'!PNaN:PNaN,"*Y*",'V2.5++'!TNaN:TNaN,"*Y*",'V2.5++'!VNaN:VNaN,"*Y*",'V2.5++'!YNaN:YNaN,"Y")</f>
      </c>
      <c r="L8" s="32">
        <f>I8-K8</f>
      </c>
      <c r="M8" s="152">
        <f>K8/C8</f>
      </c>
      <c r="N8" s="32" t="str">
        <v>pending，需要做动态测试才可以确认相关接口，目前没有测试条件。</v>
      </c>
    </row>
    <row r="9" spans="1:14">
      <c r="A9" s="154" t="str">
        <v>汇总</v>
      </c>
      <c r="B9" s="32">
        <f>SUM(B2:B8)</f>
      </c>
      <c r="C9" s="32">
        <f>SUM(C2:C8)</f>
      </c>
      <c r="D9" s="32">
        <f>SUM(D2:D8)</f>
      </c>
      <c r="E9" s="32">
        <f>SUM(E2:E8)</f>
      </c>
      <c r="F9" s="32">
        <f>SUM(F2:F8)</f>
      </c>
      <c r="G9" s="32">
        <f>SUM(G2:G8)</f>
      </c>
      <c r="H9" s="32">
        <f>SUM(H2:H8)</f>
      </c>
      <c r="I9" s="32">
        <f>SUM(I2:I8)</f>
      </c>
      <c r="J9" s="32">
        <f>SUM(J2:J8)</f>
      </c>
      <c r="K9" s="32">
        <f>SUM(K2:K8)</f>
      </c>
      <c r="L9" s="32">
        <f>SUM(L2:L8)</f>
      </c>
      <c r="M9" s="152">
        <f>K9/C9</f>
      </c>
      <c r="N9" s="32" t="inlineStr">
        <is>
          <r>
            <rPr>
              <sz val="10"/>
              <rFont val="Arial"/>
            </rPr>
            <t xml:space="preserve">字节侧依赖：
</t>
          </r>
          <r>
            <rPr>
              <b/>
              <sz val="10"/>
              <rFont val="Arial"/>
            </rPr>
            <t xml:space="preserve">1、阅读灯+系统和设置相关的信号共9个，依赖P基线的实车。
2、道路导航相关的，拥堵、沿途服务区，相关的API上汽已提供
3、媒体播放2个，演员+导演名字，验证不通过；
4、智驾相关的，当前不具备验证条件；
</t>
          </r>
          <r>
            <rPr>
              <sz val="10"/>
              <rFont val="Arial"/>
            </rPr>
            <t xml:space="preserve">无依赖进展：
1、道路导航相关的正在开发；
2、</t>
          </r>
          <r>
            <rPr>
              <sz val="10"/>
              <color rgb="FFF54A45"/>
              <rFont val="Arial"/>
            </rPr>
            <t>较多的异常信号，实车没有对应的信号block测试（47）</t>
          </r>
          <r>
            <rPr>
              <sz val="10"/>
              <rFont val="Arial"/>
            </rPr>
            <t>；除去block通过率在：73%左右。</t>
          </r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7.571428571428571" style="1" customWidth="1"/>
    <col min="2" max="2" width="11.888888888888886" style="1" customWidth="1"/>
    <col min="3" max="3" width="15" style="1" customWidth="1"/>
    <col min="4" max="4" width="21.714285714285715" style="1" customWidth="1"/>
    <col min="5" max="5" width="23.428571428571427" style="1" customWidth="1"/>
    <col min="6" max="6" width="20.142857142857142" style="1" customWidth="1"/>
    <col min="7" max="7" width="22" style="1" customWidth="1"/>
    <col min="8" max="8" width="21.285714285714285" style="1" customWidth="1"/>
    <col min="9" max="9" width="19.571428571428573" style="1" customWidth="1"/>
    <col min="10" max="10" width="22.428571428571427" style="1" customWidth="1"/>
    <col min="11" max="11" width="27" style="1" customWidth="1"/>
    <col min="12" max="20" width="15" style="1" customWidth="1"/>
  </cols>
  <sheetData>
    <row r="1" spans="1:12">
      <c r="A1" s="155" t="str">
        <v>日期</v>
      </c>
      <c r="B1" s="155" t="str">
        <v>API总数</v>
      </c>
      <c r="C1" s="156" t="str">
        <v>API可用总数</v>
      </c>
      <c r="D1" s="156" t="inlineStr">
        <is>
          <r>
            <t>计划新增API可用数量</t>
          </r>
          <r>
            <t xml:space="preserve">
</t>
          </r>
          <r>
            <t>@周怀君</t>
          </r>
        </is>
      </c>
      <c r="E1" s="156" t="inlineStr">
        <is>
          <r>
            <t>实际新增API可用数量</t>
          </r>
          <r>
            <t xml:space="preserve">
</t>
          </r>
          <r>
            <t>@周怀君</t>
          </r>
        </is>
      </c>
      <c r="F1" s="157" t="inlineStr">
        <is>
          <r>
            <t>已开发自测API数量</t>
          </r>
          <r>
            <t xml:space="preserve">
</t>
          </r>
          <r>
            <t>@汪帅</t>
          </r>
        </is>
      </c>
      <c r="G1" s="157" t="inlineStr">
        <is>
          <r>
            <t>计划开发自测API数量</t>
          </r>
          <r>
            <t xml:space="preserve">
</t>
          </r>
          <r>
            <t>@汪帅</t>
          </r>
        </is>
      </c>
      <c r="H1" s="157" t="inlineStr">
        <is>
          <r>
            <t>实际开发自测API数量</t>
          </r>
          <r>
            <t xml:space="preserve">
</t>
          </r>
          <r>
            <t>@汪帅</t>
          </r>
        </is>
      </c>
      <c r="I1" s="158" t="inlineStr">
        <is>
          <r>
            <t>测试通过case数量</t>
          </r>
          <r>
            <t xml:space="preserve">
</t>
          </r>
          <r>
            <t>@赵晓健</t>
          </r>
        </is>
      </c>
      <c r="J1" s="158" t="inlineStr">
        <is>
          <r>
            <t>已测试case数量</t>
          </r>
          <r>
            <t xml:space="preserve">
</t>
          </r>
          <r>
            <t>@赵晓健</t>
          </r>
        </is>
      </c>
      <c r="K1" s="158" t="inlineStr">
        <is>
          <r>
            <t>case总数</t>
          </r>
          <r>
            <t xml:space="preserve">
</t>
          </r>
          <r>
            <t>@赵晓健</t>
          </r>
        </is>
      </c>
      <c r="L1" s="7" t="str">
        <v>备注</v>
      </c>
    </row>
    <row r="2" spans="1:11">
      <c r="A2" s="159" t="str">
        <v>04.22</v>
      </c>
      <c r="B2" s="160">
        <v>217</v>
      </c>
      <c r="C2" s="160">
        <v>58</v>
      </c>
      <c r="D2" s="161">
        <v>190</v>
      </c>
      <c r="E2" s="161">
        <v>190</v>
      </c>
      <c r="F2" s="161">
        <v>68</v>
      </c>
      <c r="G2" s="161">
        <v>19</v>
      </c>
      <c r="H2" s="161">
        <v>9</v>
      </c>
      <c r="I2" s="161">
        <v>49</v>
      </c>
      <c r="J2" s="161">
        <v>56</v>
      </c>
      <c r="K2" s="161">
        <v>240</v>
      </c>
    </row>
    <row r="3" spans="1:11">
      <c r="A3" s="162" t="str">
        <v>04.23</v>
      </c>
      <c r="B3" s="161">
        <v>237</v>
      </c>
      <c r="C3" s="161">
        <v>66</v>
      </c>
      <c r="D3" s="1">
        <v>0</v>
      </c>
      <c r="E3" s="1">
        <v>0</v>
      </c>
      <c r="F3" s="8">
        <v>73</v>
      </c>
      <c r="G3" s="161">
        <v>14</v>
      </c>
      <c r="H3" s="161">
        <v>8</v>
      </c>
      <c r="I3" s="161">
        <v>46</v>
      </c>
      <c r="J3" s="161">
        <v>56</v>
      </c>
      <c r="K3" s="161">
        <v>227</v>
      </c>
    </row>
    <row r="4" spans="1:11">
      <c r="A4" s="159" t="str">
        <v>04.24</v>
      </c>
      <c r="B4" s="163">
        <v>237</v>
      </c>
      <c r="C4" s="163">
        <v>66</v>
      </c>
      <c r="D4" s="1">
        <v>0</v>
      </c>
      <c r="E4" s="1">
        <v>0</v>
      </c>
      <c r="F4" s="161">
        <v>73</v>
      </c>
      <c r="G4" s="161">
        <v>18</v>
      </c>
      <c r="H4" s="161">
        <v>18</v>
      </c>
      <c r="I4" s="161">
        <v>46</v>
      </c>
      <c r="J4" s="161">
        <v>56</v>
      </c>
      <c r="K4" s="161">
        <v>227</v>
      </c>
    </row>
    <row r="5" spans="1:8">
      <c r="A5" s="159" t="str">
        <v>04.25</v>
      </c>
      <c r="B5" s="161">
        <v>227</v>
      </c>
      <c r="C5" s="161">
        <v>76</v>
      </c>
      <c r="D5" s="1">
        <v>0</v>
      </c>
      <c r="E5" s="1">
        <v>0</v>
      </c>
      <c r="F5" s="161">
        <v>90</v>
      </c>
      <c r="G5" s="1">
        <v>0</v>
      </c>
      <c r="H5" s="1">
        <v>0</v>
      </c>
    </row>
    <row r="6" spans="1:8">
      <c r="A6" s="159" t="str">
        <v>04.26</v>
      </c>
      <c r="B6" s="161">
        <v>227</v>
      </c>
      <c r="F6" s="161">
        <v>109</v>
      </c>
      <c r="G6" s="1">
        <v>0</v>
      </c>
      <c r="H6" s="1">
        <v>0</v>
      </c>
    </row>
    <row r="7" spans="1:8">
      <c r="A7" s="159" t="str">
        <v>04.27</v>
      </c>
      <c r="G7" s="161">
        <v>24</v>
      </c>
      <c r="H7" s="161">
        <v>49</v>
      </c>
    </row>
    <row r="8" spans="1:9">
      <c r="A8" s="159" t="str">
        <v>04.28</v>
      </c>
      <c r="B8" s="161">
        <v>227</v>
      </c>
      <c r="C8" s="161">
        <v>132</v>
      </c>
      <c r="D8" s="1">
        <v>0</v>
      </c>
      <c r="E8" s="1">
        <v>0</v>
      </c>
      <c r="F8" s="161">
        <v>132</v>
      </c>
      <c r="G8" s="1">
        <v>0</v>
      </c>
      <c r="H8" s="1">
        <v>0</v>
      </c>
      <c r="I8" s="161">
        <v>111</v>
      </c>
    </row>
    <row r="9" spans="1:8">
      <c r="A9" s="159" t="str">
        <v>04.29</v>
      </c>
      <c r="B9" s="161">
        <v>227</v>
      </c>
      <c r="C9" s="161">
        <v>134</v>
      </c>
      <c r="D9" s="1">
        <v>0</v>
      </c>
      <c r="E9" s="1">
        <v>0</v>
      </c>
      <c r="F9" s="161">
        <v>146</v>
      </c>
      <c r="G9" s="1">
        <v>0</v>
      </c>
      <c r="H9" s="1">
        <v>0</v>
      </c>
    </row>
    <row r="10" spans="1:8">
      <c r="A10" s="159" t="str">
        <v>04.30</v>
      </c>
      <c r="B10" s="8">
        <v>227</v>
      </c>
      <c r="C10" s="8">
        <v>134</v>
      </c>
      <c r="D10" s="8">
        <v>30</v>
      </c>
      <c r="E10" s="8">
        <v>30</v>
      </c>
      <c r="F10" s="8">
        <v>148</v>
      </c>
      <c r="G10" s="1">
        <v>0</v>
      </c>
      <c r="H10" s="1">
        <v>0</v>
      </c>
    </row>
    <row r="11" spans="1:8">
      <c r="A11" s="159" t="str">
        <v>05.01</v>
      </c>
      <c r="B11" s="8">
        <v>227</v>
      </c>
      <c r="C11" s="8">
        <v>134</v>
      </c>
      <c r="D11" s="1">
        <v>0</v>
      </c>
      <c r="E11" s="1">
        <v>0</v>
      </c>
      <c r="F11" s="8">
        <v>148</v>
      </c>
      <c r="G11" s="1">
        <v>0</v>
      </c>
      <c r="H11" s="1">
        <v>0</v>
      </c>
    </row>
    <row r="12" spans="1:8">
      <c r="A12" s="159" t="str">
        <v>05.02</v>
      </c>
      <c r="B12" s="8">
        <v>227</v>
      </c>
      <c r="C12" s="8">
        <v>134</v>
      </c>
      <c r="D12" s="1">
        <v>0</v>
      </c>
      <c r="E12" s="1">
        <v>0</v>
      </c>
      <c r="F12" s="8">
        <v>148</v>
      </c>
      <c r="G12" s="1">
        <v>0</v>
      </c>
      <c r="H12" s="1">
        <v>0</v>
      </c>
    </row>
    <row r="13" spans="1:8">
      <c r="A13" s="159" t="str">
        <v>05.03</v>
      </c>
      <c r="B13" s="8">
        <v>227</v>
      </c>
      <c r="C13" s="8">
        <v>134</v>
      </c>
      <c r="D13" s="1">
        <v>0</v>
      </c>
      <c r="E13" s="1">
        <v>0</v>
      </c>
      <c r="F13" s="8">
        <v>148</v>
      </c>
      <c r="G13" s="1">
        <v>0</v>
      </c>
      <c r="H13" s="1">
        <v>0</v>
      </c>
    </row>
    <row r="14" spans="1:8">
      <c r="A14" s="159" t="str">
        <v>05.04</v>
      </c>
      <c r="B14" s="8">
        <v>227</v>
      </c>
      <c r="C14" s="8">
        <v>134</v>
      </c>
      <c r="D14" s="1">
        <v>0</v>
      </c>
      <c r="E14" s="1">
        <v>0</v>
      </c>
      <c r="F14" s="8">
        <v>148</v>
      </c>
      <c r="G14" s="1">
        <v>0</v>
      </c>
      <c r="H14" s="1">
        <v>0</v>
      </c>
    </row>
    <row r="15" spans="1:8">
      <c r="A15" s="159" t="str">
        <v>05.05</v>
      </c>
      <c r="B15" s="8">
        <v>227</v>
      </c>
      <c r="C15" s="8">
        <v>135</v>
      </c>
      <c r="D15" s="1">
        <v>0</v>
      </c>
      <c r="E15" s="1">
        <v>0</v>
      </c>
      <c r="F15" s="8">
        <v>154</v>
      </c>
      <c r="G15" s="1">
        <v>0</v>
      </c>
      <c r="H15" s="1">
        <v>0</v>
      </c>
    </row>
    <row r="16" spans="1:8">
      <c r="A16" s="159" t="str">
        <v>05.06</v>
      </c>
      <c r="B16" s="8">
        <v>227</v>
      </c>
      <c r="C16" s="8">
        <v>153</v>
      </c>
      <c r="D16" s="1">
        <v>0</v>
      </c>
      <c r="E16" s="1">
        <v>0</v>
      </c>
      <c r="F16" s="8">
        <v>153</v>
      </c>
      <c r="G16" s="8">
        <v>1</v>
      </c>
      <c r="H16" s="8">
        <v>1</v>
      </c>
    </row>
    <row r="17" spans="1:8">
      <c r="A17" s="159" t="str">
        <v>05.07</v>
      </c>
      <c r="B17" s="8">
        <v>218</v>
      </c>
      <c r="C17" s="8">
        <v>160</v>
      </c>
      <c r="D17" s="1">
        <v>0</v>
      </c>
      <c r="E17" s="1">
        <v>0</v>
      </c>
      <c r="F17" s="8">
        <v>160</v>
      </c>
      <c r="G17" s="8">
        <v>1</v>
      </c>
      <c r="H17" s="8">
        <v>1</v>
      </c>
    </row>
    <row r="18" spans="1:8">
      <c r="A18" s="159" t="str">
        <v>05.08</v>
      </c>
      <c r="B18" s="8">
        <v>218</v>
      </c>
      <c r="C18" s="8">
        <v>143</v>
      </c>
      <c r="D18" s="1">
        <v>0</v>
      </c>
      <c r="E18" s="1">
        <v>0</v>
      </c>
      <c r="F18" s="8">
        <v>160</v>
      </c>
      <c r="G18" s="1">
        <v>0</v>
      </c>
      <c r="H18" s="1">
        <v>0</v>
      </c>
    </row>
    <row r="19" spans="1:8">
      <c r="A19" s="159" t="str">
        <v>05.09</v>
      </c>
      <c r="B19" s="8">
        <v>218</v>
      </c>
      <c r="C19" s="8">
        <v>143</v>
      </c>
      <c r="D19" s="1">
        <v>0</v>
      </c>
      <c r="E19" s="1">
        <v>0</v>
      </c>
      <c r="F19" s="8">
        <v>161</v>
      </c>
      <c r="G19" s="1">
        <v>0</v>
      </c>
      <c r="H19" s="1">
        <v>0</v>
      </c>
    </row>
    <row r="20" spans="1:8">
      <c r="A20" s="159" t="str">
        <v>05.10</v>
      </c>
      <c r="B20" s="8">
        <v>218</v>
      </c>
      <c r="C20" s="8">
        <v>143</v>
      </c>
      <c r="F20" s="8">
        <v>161</v>
      </c>
      <c r="G20" s="1">
        <v>0</v>
      </c>
      <c r="H20" s="1">
        <v>0</v>
      </c>
    </row>
    <row r="21" spans="1:8">
      <c r="A21" s="159" t="str">
        <v>05.11</v>
      </c>
      <c r="B21" s="8">
        <v>218</v>
      </c>
      <c r="C21" s="8">
        <v>146</v>
      </c>
      <c r="F21" s="8">
        <v>161</v>
      </c>
      <c r="G21" s="1">
        <v>0</v>
      </c>
      <c r="H21" s="1">
        <v>0</v>
      </c>
    </row>
    <row r="22" spans="1:8">
      <c r="A22" s="159" t="str">
        <v>05.12</v>
      </c>
      <c r="B22" s="8">
        <v>218</v>
      </c>
      <c r="C22" s="8">
        <v>146</v>
      </c>
      <c r="F22" s="8">
        <v>161</v>
      </c>
      <c r="G22" s="1">
        <v>0</v>
      </c>
      <c r="H22" s="1">
        <v>0</v>
      </c>
    </row>
    <row r="23" spans="1:8">
      <c r="A23" s="159" t="str">
        <v>05.13</v>
      </c>
      <c r="B23" s="8">
        <v>218</v>
      </c>
      <c r="C23" s="8">
        <v>149</v>
      </c>
      <c r="F23" s="8">
        <v>162</v>
      </c>
      <c r="G23" s="8">
        <v>1</v>
      </c>
      <c r="H23" s="8">
        <v>1</v>
      </c>
    </row>
    <row r="24" spans="1:8">
      <c r="A24" s="159" t="str">
        <v>05.14</v>
      </c>
      <c r="B24" s="8">
        <v>218</v>
      </c>
      <c r="C24" s="8">
        <v>149</v>
      </c>
      <c r="F24" s="8">
        <v>162</v>
      </c>
      <c r="G24" s="1">
        <v>0</v>
      </c>
      <c r="H24" s="1">
        <v>0</v>
      </c>
    </row>
    <row r="25" spans="1:8">
      <c r="A25" s="159" t="str">
        <v>05.15</v>
      </c>
      <c r="B25" s="8">
        <v>218</v>
      </c>
      <c r="C25" s="8">
        <v>152</v>
      </c>
      <c r="F25" s="8">
        <v>165</v>
      </c>
      <c r="G25" s="1">
        <v>0</v>
      </c>
      <c r="H25" s="1">
        <v>0</v>
      </c>
    </row>
    <row r="26" spans="1:8">
      <c r="A26" s="159" t="str">
        <v>05.16</v>
      </c>
      <c r="B26" s="8">
        <v>218</v>
      </c>
      <c r="C26" s="8">
        <v>152</v>
      </c>
      <c r="F26" s="8">
        <v>165</v>
      </c>
      <c r="G26" s="1">
        <v>0</v>
      </c>
      <c r="H26" s="1">
        <v>0</v>
      </c>
    </row>
    <row r="27" spans="1:8">
      <c r="A27" s="159" t="str">
        <v>05.17</v>
      </c>
      <c r="B27" s="8">
        <v>218</v>
      </c>
      <c r="C27" s="8">
        <v>152</v>
      </c>
      <c r="F27" s="8">
        <v>165</v>
      </c>
      <c r="G27" s="1">
        <v>0</v>
      </c>
      <c r="H27" s="1">
        <v>0</v>
      </c>
    </row>
    <row r="28" spans="1:8">
      <c r="A28" s="159" t="str">
        <v>05.18</v>
      </c>
      <c r="B28" s="8">
        <v>219</v>
      </c>
      <c r="C28" s="8">
        <v>167</v>
      </c>
      <c r="F28" s="8">
        <v>172</v>
      </c>
      <c r="G28" s="1">
        <v>0</v>
      </c>
      <c r="H28" s="1">
        <v>0</v>
      </c>
    </row>
    <row r="29" spans="1:8">
      <c r="A29" s="159" t="str">
        <v>05.19</v>
      </c>
      <c r="B29" s="8">
        <v>241</v>
      </c>
      <c r="C29" s="8">
        <v>173</v>
      </c>
      <c r="F29" s="8">
        <v>172</v>
      </c>
      <c r="G29" s="1">
        <v>0</v>
      </c>
      <c r="H29" s="1">
        <v>0</v>
      </c>
    </row>
    <row r="30" spans="1:8">
      <c r="A30" s="159" t="str">
        <v>05.20</v>
      </c>
      <c r="B30" s="8">
        <v>241</v>
      </c>
      <c r="C30" s="8">
        <v>178</v>
      </c>
      <c r="F30" s="8">
        <v>182</v>
      </c>
      <c r="G30" s="8">
        <v>7</v>
      </c>
      <c r="H30" s="8">
        <v>7</v>
      </c>
    </row>
    <row r="31" spans="1:8">
      <c r="A31" s="159" t="str">
        <v>05.21</v>
      </c>
      <c r="B31" s="8">
        <v>241</v>
      </c>
      <c r="C31" s="8">
        <v>180</v>
      </c>
      <c r="F31" s="8">
        <v>184</v>
      </c>
      <c r="G31" s="1">
        <v>0</v>
      </c>
      <c r="H31" s="1">
        <v>0</v>
      </c>
    </row>
    <row r="32" spans="1:8">
      <c r="A32" s="159" t="str">
        <v>05.22</v>
      </c>
      <c r="B32" s="8">
        <v>241</v>
      </c>
      <c r="C32" s="8">
        <v>180</v>
      </c>
      <c r="F32" s="8">
        <v>184</v>
      </c>
      <c r="G32" s="1">
        <v>0</v>
      </c>
      <c r="H32" s="1">
        <v>0</v>
      </c>
    </row>
    <row r="33" spans="1:8">
      <c r="A33" s="159" t="str">
        <v>05.23</v>
      </c>
      <c r="B33" s="8">
        <v>241</v>
      </c>
      <c r="C33" s="8">
        <v>180</v>
      </c>
      <c r="F33" s="8">
        <v>184</v>
      </c>
      <c r="G33" s="1">
        <v>0</v>
      </c>
      <c r="H33" s="1">
        <v>0</v>
      </c>
    </row>
    <row r="34" spans="1:8">
      <c r="A34" s="159" t="str">
        <v>05.24</v>
      </c>
      <c r="B34" s="8">
        <v>241</v>
      </c>
      <c r="C34" s="8">
        <v>180</v>
      </c>
      <c r="F34" s="8">
        <v>184</v>
      </c>
      <c r="G34" s="1">
        <v>0</v>
      </c>
      <c r="H34" s="1">
        <v>0</v>
      </c>
    </row>
    <row r="35" spans="1:8">
      <c r="A35" s="159" t="str">
        <v>05.25</v>
      </c>
      <c r="B35" s="8">
        <v>241</v>
      </c>
      <c r="C35" s="8">
        <v>191</v>
      </c>
      <c r="F35" s="8">
        <v>195</v>
      </c>
      <c r="G35" s="1">
        <v>0</v>
      </c>
      <c r="H35" s="1">
        <v>0</v>
      </c>
    </row>
    <row r="36" spans="1:12">
      <c r="A36" s="159" t="str">
        <v>05.26</v>
      </c>
      <c r="B36" s="8">
        <v>241</v>
      </c>
      <c r="C36" s="8">
        <v>208</v>
      </c>
      <c r="F36" s="8">
        <v>208</v>
      </c>
      <c r="G36" s="8">
        <v>1</v>
      </c>
      <c r="H36" s="8">
        <v>1</v>
      </c>
      <c r="L36" s="7" t="str">
        <v>1、上汽信号API未就绪：9个；
2、上汽信号已就绪研发测试不通过：31个</v>
      </c>
    </row>
    <row r="37" spans="1:8">
      <c r="A37" s="159" t="str">
        <v>05.27</v>
      </c>
      <c r="B37" s="8">
        <v>241</v>
      </c>
      <c r="C37" s="8">
        <v>210</v>
      </c>
      <c r="F37" s="8">
        <v>205</v>
      </c>
      <c r="G37" s="1">
        <v>0</v>
      </c>
      <c r="H37" s="1">
        <v>0</v>
      </c>
    </row>
    <row r="38" spans="1:8">
      <c r="A38" s="159" t="str">
        <v>05.28</v>
      </c>
      <c r="C38" s="8">
        <v>212</v>
      </c>
      <c r="F38" s="8">
        <v>212</v>
      </c>
      <c r="G38" s="8">
        <v>7</v>
      </c>
      <c r="H38" s="8">
        <v>7</v>
      </c>
    </row>
    <row r="39" spans="1:8">
      <c r="A39" s="159" t="str">
        <v>05.29</v>
      </c>
      <c r="C39" s="8">
        <v>211</v>
      </c>
      <c r="F39" s="8">
        <v>212</v>
      </c>
      <c r="G39" s="1">
        <v>0</v>
      </c>
      <c r="H39" s="1">
        <v>0</v>
      </c>
    </row>
    <row r="40" spans="1:8">
      <c r="A40" s="159" t="str">
        <v>05.30</v>
      </c>
      <c r="C40" s="8">
        <v>211</v>
      </c>
      <c r="F40" s="8">
        <v>212</v>
      </c>
      <c r="G40" s="1">
        <v>0</v>
      </c>
      <c r="H40" s="1">
        <v>0</v>
      </c>
    </row>
    <row r="41" spans="1:8">
      <c r="A41" s="159" t="str">
        <v>05.31</v>
      </c>
      <c r="C41" s="8">
        <v>211</v>
      </c>
      <c r="F41" s="8">
        <v>212</v>
      </c>
      <c r="G41" s="1">
        <v>0</v>
      </c>
      <c r="H41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版本历史</vt:lpstr>
      <vt:lpstr> v2.4</vt:lpstr>
      <vt:lpstr>V2.5++</vt:lpstr>
      <vt:lpstr>【New!!!】V2.6</vt:lpstr>
      <vt:lpstr>端状态进展汇总</vt:lpstr>
      <vt:lpstr>工作任务趋势分析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2026-07-31T07:37:13Z</dcterms:created>
  <dcterms:modified xsi:type="dcterms:W3CDTF">2026-07-31T07:37:13Z</dcterms:modified>
</cp:coreProperties>
</file>